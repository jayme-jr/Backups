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\\servidor-ila\Desenvolvimento de Produtos\Granja Experimental\GEILA 1 - Irati\2019\01_19 G1 - Butifour CCB, NFORCE Poultry  (R19BU110)\Dados\"/>
    </mc:Choice>
  </mc:AlternateContent>
  <xr:revisionPtr revIDLastSave="0" documentId="13_ncr:1_{CF4656EE-3B6E-4A5B-B933-C772EC7E9D21}" xr6:coauthVersionLast="36" xr6:coauthVersionMax="36" xr10:uidLastSave="{00000000-0000-0000-0000-000000000000}"/>
  <bookViews>
    <workbookView xWindow="-120" yWindow="-120" windowWidth="38640" windowHeight="15840" tabRatio="874" activeTab="7" xr2:uid="{00000000-000D-0000-FFFF-FFFF00000000}"/>
  </bookViews>
  <sheets>
    <sheet name="Map" sheetId="11" r:id="rId1"/>
    <sheet name="1 day" sheetId="2" r:id="rId2"/>
    <sheet name="14 days" sheetId="1" r:id="rId3"/>
    <sheet name="23 days" sheetId="3" r:id="rId4"/>
    <sheet name="32 days" sheetId="4" r:id="rId5"/>
    <sheet name="39 days" sheetId="5" r:id="rId6"/>
    <sheet name="Raw data" sheetId="8" r:id="rId7"/>
    <sheet name="Wide data" sheetId="27" r:id="rId8"/>
    <sheet name="Chi square" sheetId="29" r:id="rId9"/>
    <sheet name="Summary" sheetId="26" r:id="rId10"/>
    <sheet name="Body weight" sheetId="30" r:id="rId11"/>
    <sheet name="Body weight gain" sheetId="36" r:id="rId12"/>
    <sheet name="Feed intake" sheetId="37" r:id="rId13"/>
    <sheet name="Feed conversion ratio" sheetId="38" r:id="rId14"/>
    <sheet name="Mortality" sheetId="39" r:id="rId15"/>
  </sheets>
  <definedNames>
    <definedName name="_xlnm._FilterDatabase" localSheetId="7" hidden="1">'Wide data'!$A$1:$T$84</definedName>
    <definedName name="lista_pesagem" localSheetId="1">#REF!</definedName>
    <definedName name="lista_pesagem" localSheetId="3">#REF!</definedName>
    <definedName name="lista_pesagem" localSheetId="4">#REF!</definedName>
    <definedName name="lista_pesagem" localSheetId="5">#REF!</definedName>
    <definedName name="lista_pesagem" localSheetId="11">#REF!</definedName>
    <definedName name="lista_pesagem" localSheetId="8">#REF!</definedName>
    <definedName name="lista_pesagem" localSheetId="13">#REF!</definedName>
    <definedName name="lista_pesagem" localSheetId="12">#REF!</definedName>
    <definedName name="lista_pesagem" localSheetId="14">#REF!</definedName>
    <definedName name="lista_pesagem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A3" i="27" l="1" a="1"/>
  <c r="AA3" i="27" s="1"/>
  <c r="AB3" i="27" a="1"/>
  <c r="AB3" i="27"/>
  <c r="AC3" i="27" a="1"/>
  <c r="AC3" i="27" s="1"/>
  <c r="AD3" i="27" a="1"/>
  <c r="AD3" i="27" s="1"/>
  <c r="AE3" i="27" a="1"/>
  <c r="AE3" i="27" s="1"/>
  <c r="AF3" i="27" a="1"/>
  <c r="AF3" i="27" s="1"/>
  <c r="AA4" i="27" a="1"/>
  <c r="AA4" i="27" s="1"/>
  <c r="AB4" i="27" a="1"/>
  <c r="AB4" i="27"/>
  <c r="AC4" i="27" a="1"/>
  <c r="AC4" i="27" s="1"/>
  <c r="AD4" i="27" a="1"/>
  <c r="AD4" i="27"/>
  <c r="AE4" i="27" a="1"/>
  <c r="AE4" i="27" s="1"/>
  <c r="AF4" i="27" a="1"/>
  <c r="AF4" i="27" s="1"/>
  <c r="AA5" i="27" a="1"/>
  <c r="AA5" i="27" s="1"/>
  <c r="AB5" i="27" a="1"/>
  <c r="AB5" i="27" s="1"/>
  <c r="AC5" i="27" a="1"/>
  <c r="AC5" i="27" s="1"/>
  <c r="AD5" i="27" a="1"/>
  <c r="AD5" i="27"/>
  <c r="AE5" i="27" a="1"/>
  <c r="AE5" i="27" s="1"/>
  <c r="AF5" i="27" a="1"/>
  <c r="AF5" i="27"/>
  <c r="AA6" i="27" a="1"/>
  <c r="AA6" i="27" s="1"/>
  <c r="AB6" i="27" a="1"/>
  <c r="AB6" i="27" s="1"/>
  <c r="AC6" i="27" a="1"/>
  <c r="AC6" i="27" s="1"/>
  <c r="AD6" i="27" a="1"/>
  <c r="AD6" i="27" s="1"/>
  <c r="AE6" i="27" a="1"/>
  <c r="AE6" i="27" s="1"/>
  <c r="AF6" i="27" a="1"/>
  <c r="AF6" i="27"/>
  <c r="AA7" i="27" a="1"/>
  <c r="AA7" i="27" s="1"/>
  <c r="AB7" i="27" a="1"/>
  <c r="AB7" i="27"/>
  <c r="AC7" i="27" a="1"/>
  <c r="AC7" i="27" s="1"/>
  <c r="AD7" i="27" a="1"/>
  <c r="AD7" i="27" s="1"/>
  <c r="AE7" i="27" a="1"/>
  <c r="AE7" i="27" s="1"/>
  <c r="AF7" i="27" a="1"/>
  <c r="AF7" i="27" s="1"/>
  <c r="AA8" i="27" a="1"/>
  <c r="AA8" i="27" s="1"/>
  <c r="AB8" i="27" a="1"/>
  <c r="AB8" i="27"/>
  <c r="AC8" i="27" a="1"/>
  <c r="AC8" i="27" s="1"/>
  <c r="AD8" i="27" a="1"/>
  <c r="AD8" i="27"/>
  <c r="AE8" i="27" a="1"/>
  <c r="AE8" i="27" s="1"/>
  <c r="AF8" i="27" a="1"/>
  <c r="AF8" i="27" s="1"/>
  <c r="AA9" i="27" a="1"/>
  <c r="AA9" i="27" s="1"/>
  <c r="AB9" i="27" a="1"/>
  <c r="AB9" i="27" s="1"/>
  <c r="AC9" i="27" a="1"/>
  <c r="AC9" i="27" s="1"/>
  <c r="AD9" i="27" a="1"/>
  <c r="AD9" i="27"/>
  <c r="AE9" i="27" a="1"/>
  <c r="AE9" i="27" s="1"/>
  <c r="AF9" i="27" a="1"/>
  <c r="AF9" i="27"/>
  <c r="AA10" i="27" a="1"/>
  <c r="AA10" i="27" s="1"/>
  <c r="AB10" i="27" a="1"/>
  <c r="AB10" i="27" s="1"/>
  <c r="AC10" i="27" a="1"/>
  <c r="AC10" i="27" s="1"/>
  <c r="AD10" i="27" a="1"/>
  <c r="AD10" i="27" s="1"/>
  <c r="AE10" i="27" a="1"/>
  <c r="AE10" i="27" s="1"/>
  <c r="AF10" i="27" a="1"/>
  <c r="AF10" i="27"/>
  <c r="AA11" i="27" a="1"/>
  <c r="AA11" i="27" s="1"/>
  <c r="AB11" i="27" a="1"/>
  <c r="AB11" i="27"/>
  <c r="AC11" i="27" a="1"/>
  <c r="AC11" i="27" s="1"/>
  <c r="AD11" i="27" a="1"/>
  <c r="AD11" i="27"/>
  <c r="AE11" i="27" a="1"/>
  <c r="AE11" i="27" s="1"/>
  <c r="AF11" i="27" a="1"/>
  <c r="AF11" i="27" s="1"/>
  <c r="AA12" i="27" a="1"/>
  <c r="AA12" i="27" s="1"/>
  <c r="AB12" i="27" a="1"/>
  <c r="AB12" i="27"/>
  <c r="AC12" i="27" a="1"/>
  <c r="AC12" i="27" s="1"/>
  <c r="AD12" i="27" a="1"/>
  <c r="AD12" i="27"/>
  <c r="AE12" i="27" a="1"/>
  <c r="AE12" i="27" s="1"/>
  <c r="AF12" i="27" a="1"/>
  <c r="AF12" i="27" s="1"/>
  <c r="AA13" i="27" a="1"/>
  <c r="AA13" i="27" s="1"/>
  <c r="AB13" i="27" a="1"/>
  <c r="AB13" i="27" s="1"/>
  <c r="AC13" i="27" a="1"/>
  <c r="AC13" i="27" s="1"/>
  <c r="AD13" i="27" a="1"/>
  <c r="AD13" i="27"/>
  <c r="AE13" i="27" a="1"/>
  <c r="AE13" i="27" s="1"/>
  <c r="AF13" i="27" a="1"/>
  <c r="AF13" i="27"/>
  <c r="AA14" i="27" a="1"/>
  <c r="AA14" i="27" s="1"/>
  <c r="AB14" i="27" a="1"/>
  <c r="AB14" i="27" s="1"/>
  <c r="AC14" i="27" a="1"/>
  <c r="AC14" i="27" s="1"/>
  <c r="AD14" i="27" a="1"/>
  <c r="AD14" i="27" s="1"/>
  <c r="AE14" i="27" a="1"/>
  <c r="AE14" i="27" s="1"/>
  <c r="AF14" i="27" a="1"/>
  <c r="AF14" i="27"/>
  <c r="AA15" i="27" a="1"/>
  <c r="AA15" i="27" s="1"/>
  <c r="AB15" i="27" a="1"/>
  <c r="AB15" i="27"/>
  <c r="AC15" i="27" a="1"/>
  <c r="AC15" i="27" s="1"/>
  <c r="AD15" i="27" a="1"/>
  <c r="AD15" i="27" s="1"/>
  <c r="AE15" i="27" a="1"/>
  <c r="AE15" i="27" s="1"/>
  <c r="AF15" i="27" a="1"/>
  <c r="AF15" i="27" s="1"/>
  <c r="AA16" i="27" a="1"/>
  <c r="AA16" i="27" s="1"/>
  <c r="AB16" i="27" a="1"/>
  <c r="AB16" i="27"/>
  <c r="AC16" i="27" a="1"/>
  <c r="AC16" i="27" s="1"/>
  <c r="AD16" i="27" a="1"/>
  <c r="AD16" i="27"/>
  <c r="AE16" i="27" a="1"/>
  <c r="AE16" i="27" s="1"/>
  <c r="AF16" i="27" a="1"/>
  <c r="AF16" i="27" s="1"/>
  <c r="AA17" i="27" a="1"/>
  <c r="AA17" i="27" s="1"/>
  <c r="AB17" i="27" a="1"/>
  <c r="AB17" i="27" s="1"/>
  <c r="AC17" i="27" a="1"/>
  <c r="AC17" i="27" s="1"/>
  <c r="AD17" i="27" a="1"/>
  <c r="AD17" i="27" s="1"/>
  <c r="AE17" i="27" a="1"/>
  <c r="AE17" i="27" s="1"/>
  <c r="AF17" i="27" a="1"/>
  <c r="AF17" i="27"/>
  <c r="AA18" i="27" a="1"/>
  <c r="AA18" i="27" s="1"/>
  <c r="AB18" i="27" a="1"/>
  <c r="AB18" i="27" s="1"/>
  <c r="AC18" i="27" a="1"/>
  <c r="AC18" i="27" s="1"/>
  <c r="AD18" i="27" a="1"/>
  <c r="AD18" i="27" s="1"/>
  <c r="AE18" i="27" a="1"/>
  <c r="AE18" i="27" s="1"/>
  <c r="AF18" i="27" a="1"/>
  <c r="AF18" i="27" s="1"/>
  <c r="AA19" i="27" a="1"/>
  <c r="AA19" i="27" s="1"/>
  <c r="AB19" i="27" a="1"/>
  <c r="AB19" i="27"/>
  <c r="AC19" i="27" a="1"/>
  <c r="AC19" i="27" s="1"/>
  <c r="AD19" i="27" a="1"/>
  <c r="AD19" i="27" s="1"/>
  <c r="AE19" i="27" a="1"/>
  <c r="AE19" i="27" s="1"/>
  <c r="AF19" i="27" a="1"/>
  <c r="AF19" i="27" s="1"/>
  <c r="AA20" i="27" a="1"/>
  <c r="AA20" i="27" s="1"/>
  <c r="AB20" i="27" a="1"/>
  <c r="AB20" i="27" s="1"/>
  <c r="AC20" i="27" a="1"/>
  <c r="AC20" i="27" s="1"/>
  <c r="AD20" i="27" a="1"/>
  <c r="AD20" i="27"/>
  <c r="AE20" i="27" a="1"/>
  <c r="AE20" i="27" s="1"/>
  <c r="AF20" i="27" a="1"/>
  <c r="AF20" i="27" s="1"/>
  <c r="AA21" i="27" a="1"/>
  <c r="AA21" i="27" s="1"/>
  <c r="AB21" i="27" a="1"/>
  <c r="AB21" i="27" s="1"/>
  <c r="AC21" i="27" a="1"/>
  <c r="AC21" i="27" s="1"/>
  <c r="AD21" i="27" a="1"/>
  <c r="AD21" i="27" s="1"/>
  <c r="AE21" i="27" a="1"/>
  <c r="AE21" i="27" s="1"/>
  <c r="AF21" i="27" a="1"/>
  <c r="AF21" i="27"/>
  <c r="AA22" i="27" a="1"/>
  <c r="AA22" i="27" s="1"/>
  <c r="AB22" i="27" a="1"/>
  <c r="AB22" i="27"/>
  <c r="AC22" i="27" a="1"/>
  <c r="AC22" i="27" s="1"/>
  <c r="AD22" i="27" a="1"/>
  <c r="AD22" i="27" s="1"/>
  <c r="AE22" i="27" a="1"/>
  <c r="AE22" i="27" s="1"/>
  <c r="AF22" i="27" a="1"/>
  <c r="AF22" i="27"/>
  <c r="AA23" i="27" a="1"/>
  <c r="AA23" i="27" s="1"/>
  <c r="AB23" i="27" a="1"/>
  <c r="AB23" i="27"/>
  <c r="AC23" i="27" a="1"/>
  <c r="AC23" i="27" s="1"/>
  <c r="AD23" i="27" a="1"/>
  <c r="AD23" i="27"/>
  <c r="AE23" i="27" a="1"/>
  <c r="AE23" i="27" s="1"/>
  <c r="AF23" i="27" a="1"/>
  <c r="AF23" i="27" s="1"/>
  <c r="AA24" i="27" a="1"/>
  <c r="AA24" i="27" s="1"/>
  <c r="AB24" i="27" a="1"/>
  <c r="AB24" i="27" s="1"/>
  <c r="AC24" i="27" a="1"/>
  <c r="AC24" i="27" s="1"/>
  <c r="AD24" i="27" a="1"/>
  <c r="AD24" i="27"/>
  <c r="AE24" i="27" a="1"/>
  <c r="AE24" i="27" s="1"/>
  <c r="AF24" i="27" a="1"/>
  <c r="AF24" i="27"/>
  <c r="AA25" i="27" a="1"/>
  <c r="AA25" i="27" s="1"/>
  <c r="AB25" i="27" a="1"/>
  <c r="AB25" i="27" s="1"/>
  <c r="AC25" i="27" a="1"/>
  <c r="AC25" i="27" s="1"/>
  <c r="AD25" i="27" a="1"/>
  <c r="AD25" i="27"/>
  <c r="AE25" i="27" a="1"/>
  <c r="AE25" i="27" s="1"/>
  <c r="AF25" i="27" a="1"/>
  <c r="AF25" i="27"/>
  <c r="AA26" i="27" a="1"/>
  <c r="AA26" i="27" s="1"/>
  <c r="AB26" i="27" a="1"/>
  <c r="AB26" i="27"/>
  <c r="AC26" i="27" a="1"/>
  <c r="AC26" i="27" s="1"/>
  <c r="AD26" i="27" a="1"/>
  <c r="AD26" i="27" s="1"/>
  <c r="AE26" i="27" a="1"/>
  <c r="AE26" i="27" s="1"/>
  <c r="AF26" i="27" a="1"/>
  <c r="AF26" i="27" s="1"/>
  <c r="AA27" i="27" a="1"/>
  <c r="AA27" i="27" s="1"/>
  <c r="AB27" i="27" a="1"/>
  <c r="AB27" i="27"/>
  <c r="AC27" i="27" a="1"/>
  <c r="AC27" i="27" s="1"/>
  <c r="AD27" i="27" a="1"/>
  <c r="AD27" i="27"/>
  <c r="AE27" i="27" a="1"/>
  <c r="AE27" i="27" s="1"/>
  <c r="AF27" i="27" a="1"/>
  <c r="AF27" i="27" s="1"/>
  <c r="AA28" i="27" a="1"/>
  <c r="AA28" i="27" s="1"/>
  <c r="AB28" i="27" a="1"/>
  <c r="AB28" i="27"/>
  <c r="AC28" i="27" a="1"/>
  <c r="AC28" i="27" s="1"/>
  <c r="AD28" i="27" a="1"/>
  <c r="AD28" i="27"/>
  <c r="AE28" i="27" a="1"/>
  <c r="AE28" i="27" s="1"/>
  <c r="AF28" i="27" a="1"/>
  <c r="AF28" i="27"/>
  <c r="AA29" i="27" a="1"/>
  <c r="AA29" i="27" s="1"/>
  <c r="AB29" i="27" a="1"/>
  <c r="AB29" i="27" s="1"/>
  <c r="AC29" i="27" a="1"/>
  <c r="AC29" i="27" s="1"/>
  <c r="AD29" i="27" a="1"/>
  <c r="AD29" i="27" s="1"/>
  <c r="AE29" i="27" a="1"/>
  <c r="AE29" i="27" s="1"/>
  <c r="AF29" i="27" a="1"/>
  <c r="AF29" i="27"/>
  <c r="AA30" i="27" a="1"/>
  <c r="AA30" i="27" s="1"/>
  <c r="AB30" i="27" a="1"/>
  <c r="AB30" i="27"/>
  <c r="AC30" i="27" a="1"/>
  <c r="AC30" i="27" s="1"/>
  <c r="AD30" i="27" a="1"/>
  <c r="AD30" i="27" s="1"/>
  <c r="AE30" i="27" a="1"/>
  <c r="AE30" i="27" s="1"/>
  <c r="AF30" i="27" a="1"/>
  <c r="AF30" i="27"/>
  <c r="AA31" i="27" a="1"/>
  <c r="AA31" i="27" s="1"/>
  <c r="AB31" i="27" a="1"/>
  <c r="AB31" i="27" s="1"/>
  <c r="AC31" i="27" a="1"/>
  <c r="AC31" i="27" s="1"/>
  <c r="AD31" i="27" a="1"/>
  <c r="AD31" i="27"/>
  <c r="AE31" i="27" a="1"/>
  <c r="AE31" i="27" s="1"/>
  <c r="AF31" i="27" a="1"/>
  <c r="AF31" i="27" s="1"/>
  <c r="AA32" i="27" a="1"/>
  <c r="AA32" i="27" s="1"/>
  <c r="AB32" i="27" a="1"/>
  <c r="AB32" i="27"/>
  <c r="AC32" i="27" a="1"/>
  <c r="AC32" i="27" s="1"/>
  <c r="AD32" i="27" a="1"/>
  <c r="AD32" i="27" s="1"/>
  <c r="AE32" i="27" a="1"/>
  <c r="AE32" i="27" s="1"/>
  <c r="AF32" i="27" a="1"/>
  <c r="AF32" i="27"/>
  <c r="AA33" i="27" a="1"/>
  <c r="AA33" i="27" s="1"/>
  <c r="AB33" i="27" a="1"/>
  <c r="AB33" i="27" s="1"/>
  <c r="AC33" i="27" a="1"/>
  <c r="AC33" i="27" s="1"/>
  <c r="AD33" i="27" a="1"/>
  <c r="AD33" i="27"/>
  <c r="AE33" i="27" a="1"/>
  <c r="AE33" i="27" s="1"/>
  <c r="AF33" i="27" a="1"/>
  <c r="AF33" i="27" s="1"/>
  <c r="AA34" i="27" a="1"/>
  <c r="AA34" i="27" s="1"/>
  <c r="AB34" i="27" a="1"/>
  <c r="AB34" i="27"/>
  <c r="AC34" i="27" a="1"/>
  <c r="AC34" i="27" s="1"/>
  <c r="AD34" i="27" a="1"/>
  <c r="AD34" i="27" s="1"/>
  <c r="AE34" i="27" a="1"/>
  <c r="AE34" i="27" s="1"/>
  <c r="AF34" i="27" a="1"/>
  <c r="AF34" i="27"/>
  <c r="AA35" i="27" a="1"/>
  <c r="AA35" i="27" s="1"/>
  <c r="AB35" i="27" a="1"/>
  <c r="AB35" i="27" s="1"/>
  <c r="AC35" i="27" a="1"/>
  <c r="AC35" i="27" s="1"/>
  <c r="AD35" i="27" a="1"/>
  <c r="AD35" i="27"/>
  <c r="AE35" i="27" a="1"/>
  <c r="AE35" i="27" s="1"/>
  <c r="AF35" i="27" a="1"/>
  <c r="AF35" i="27" s="1"/>
  <c r="AA36" i="27" a="1"/>
  <c r="AA36" i="27" s="1"/>
  <c r="AB36" i="27" a="1"/>
  <c r="AB36" i="27"/>
  <c r="AC36" i="27" a="1"/>
  <c r="AC36" i="27" s="1"/>
  <c r="AD36" i="27" a="1"/>
  <c r="AD36" i="27" s="1"/>
  <c r="AE36" i="27" a="1"/>
  <c r="AE36" i="27" s="1"/>
  <c r="AF36" i="27" a="1"/>
  <c r="AF36" i="27"/>
  <c r="AA37" i="27" a="1"/>
  <c r="AA37" i="27" s="1"/>
  <c r="AB37" i="27" a="1"/>
  <c r="AB37" i="27" s="1"/>
  <c r="AC37" i="27" a="1"/>
  <c r="AC37" i="27" s="1"/>
  <c r="AD37" i="27" a="1"/>
  <c r="AD37" i="27"/>
  <c r="AE37" i="27" a="1"/>
  <c r="AE37" i="27" s="1"/>
  <c r="AF37" i="27" a="1"/>
  <c r="AF37" i="27" s="1"/>
  <c r="AA38" i="27" a="1"/>
  <c r="AA38" i="27" s="1"/>
  <c r="AB38" i="27" a="1"/>
  <c r="AB38" i="27"/>
  <c r="AC38" i="27" a="1"/>
  <c r="AC38" i="27" s="1"/>
  <c r="AD38" i="27" a="1"/>
  <c r="AD38" i="27" s="1"/>
  <c r="AE38" i="27" a="1"/>
  <c r="AE38" i="27" s="1"/>
  <c r="AF38" i="27" a="1"/>
  <c r="AF38" i="27"/>
  <c r="AA39" i="27" a="1"/>
  <c r="AA39" i="27" s="1"/>
  <c r="AB39" i="27" a="1"/>
  <c r="AB39" i="27" s="1"/>
  <c r="AC39" i="27" a="1"/>
  <c r="AC39" i="27" s="1"/>
  <c r="AD39" i="27" a="1"/>
  <c r="AD39" i="27"/>
  <c r="AE39" i="27" a="1"/>
  <c r="AE39" i="27" s="1"/>
  <c r="AF39" i="27" a="1"/>
  <c r="AF39" i="27" s="1"/>
  <c r="AA40" i="27" a="1"/>
  <c r="AA40" i="27" s="1"/>
  <c r="AB40" i="27" a="1"/>
  <c r="AB40" i="27"/>
  <c r="AC40" i="27" a="1"/>
  <c r="AC40" i="27" s="1"/>
  <c r="AD40" i="27" a="1"/>
  <c r="AD40" i="27" s="1"/>
  <c r="AE40" i="27" a="1"/>
  <c r="AE40" i="27" s="1"/>
  <c r="AF40" i="27" a="1"/>
  <c r="AF40" i="27"/>
  <c r="AA41" i="27" a="1"/>
  <c r="AA41" i="27" s="1"/>
  <c r="AB41" i="27" a="1"/>
  <c r="AB41" i="27" s="1"/>
  <c r="AC41" i="27" a="1"/>
  <c r="AC41" i="27" s="1"/>
  <c r="AD41" i="27" a="1"/>
  <c r="AD41" i="27"/>
  <c r="AE41" i="27" a="1"/>
  <c r="AE41" i="27" s="1"/>
  <c r="AF41" i="27" a="1"/>
  <c r="AF41" i="27" s="1"/>
  <c r="AA42" i="27" a="1"/>
  <c r="AA42" i="27" s="1"/>
  <c r="AB42" i="27" a="1"/>
  <c r="AB42" i="27"/>
  <c r="AC42" i="27" a="1"/>
  <c r="AC42" i="27" s="1"/>
  <c r="AD42" i="27" a="1"/>
  <c r="AD42" i="27" s="1"/>
  <c r="AE42" i="27" a="1"/>
  <c r="AE42" i="27" s="1"/>
  <c r="AF42" i="27" a="1"/>
  <c r="AF42" i="27"/>
  <c r="AA43" i="27" a="1"/>
  <c r="AA43" i="27" s="1"/>
  <c r="AB43" i="27" a="1"/>
  <c r="AB43" i="27" s="1"/>
  <c r="AC43" i="27" a="1"/>
  <c r="AC43" i="27" s="1"/>
  <c r="AD43" i="27" a="1"/>
  <c r="AD43" i="27"/>
  <c r="AE43" i="27" a="1"/>
  <c r="AE43" i="27" s="1"/>
  <c r="AF43" i="27" a="1"/>
  <c r="AF43" i="27" s="1"/>
  <c r="AA44" i="27" a="1"/>
  <c r="AA44" i="27" s="1"/>
  <c r="AB44" i="27" a="1"/>
  <c r="AB44" i="27"/>
  <c r="AC44" i="27" a="1"/>
  <c r="AC44" i="27" s="1"/>
  <c r="AD44" i="27" a="1"/>
  <c r="AD44" i="27" s="1"/>
  <c r="AE44" i="27" a="1"/>
  <c r="AE44" i="27" s="1"/>
  <c r="AF44" i="27" a="1"/>
  <c r="AF44" i="27"/>
  <c r="AA45" i="27" a="1"/>
  <c r="AA45" i="27" s="1"/>
  <c r="AB45" i="27" a="1"/>
  <c r="AB45" i="27" s="1"/>
  <c r="AC45" i="27" a="1"/>
  <c r="AC45" i="27" s="1"/>
  <c r="AD45" i="27" a="1"/>
  <c r="AD45" i="27"/>
  <c r="AE45" i="27" a="1"/>
  <c r="AE45" i="27" s="1"/>
  <c r="AF45" i="27" a="1"/>
  <c r="AF45" i="27" s="1"/>
  <c r="AA46" i="27" a="1"/>
  <c r="AA46" i="27" s="1"/>
  <c r="AB46" i="27" a="1"/>
  <c r="AB46" i="27"/>
  <c r="AC46" i="27" a="1"/>
  <c r="AC46" i="27" s="1"/>
  <c r="AD46" i="27" a="1"/>
  <c r="AD46" i="27" s="1"/>
  <c r="AE46" i="27" a="1"/>
  <c r="AE46" i="27" s="1"/>
  <c r="AF46" i="27" a="1"/>
  <c r="AF46" i="27"/>
  <c r="AA47" i="27" a="1"/>
  <c r="AA47" i="27" s="1"/>
  <c r="AB47" i="27" a="1"/>
  <c r="AB47" i="27" s="1"/>
  <c r="AC47" i="27" a="1"/>
  <c r="AC47" i="27" s="1"/>
  <c r="AD47" i="27" a="1"/>
  <c r="AD47" i="27"/>
  <c r="AE47" i="27" a="1"/>
  <c r="AE47" i="27" s="1"/>
  <c r="AF47" i="27" a="1"/>
  <c r="AF47" i="27" s="1"/>
  <c r="AA48" i="27" a="1"/>
  <c r="AA48" i="27" s="1"/>
  <c r="AB48" i="27" a="1"/>
  <c r="AB48" i="27"/>
  <c r="AC48" i="27" a="1"/>
  <c r="AC48" i="27" s="1"/>
  <c r="AD48" i="27" a="1"/>
  <c r="AD48" i="27" s="1"/>
  <c r="AE48" i="27" a="1"/>
  <c r="AE48" i="27" s="1"/>
  <c r="AF48" i="27" a="1"/>
  <c r="AF48" i="27"/>
  <c r="AA49" i="27" a="1"/>
  <c r="AA49" i="27" s="1"/>
  <c r="AB49" i="27" a="1"/>
  <c r="AB49" i="27" s="1"/>
  <c r="AC49" i="27" a="1"/>
  <c r="AC49" i="27" s="1"/>
  <c r="AD49" i="27" a="1"/>
  <c r="AD49" i="27"/>
  <c r="AE49" i="27" a="1"/>
  <c r="AE49" i="27" s="1"/>
  <c r="AF49" i="27" a="1"/>
  <c r="AF49" i="27" s="1"/>
  <c r="AA50" i="27" a="1"/>
  <c r="AA50" i="27" s="1"/>
  <c r="AB50" i="27" a="1"/>
  <c r="AB50" i="27"/>
  <c r="AC50" i="27" a="1"/>
  <c r="AC50" i="27" s="1"/>
  <c r="AD50" i="27" a="1"/>
  <c r="AD50" i="27" s="1"/>
  <c r="AE50" i="27" a="1"/>
  <c r="AE50" i="27" s="1"/>
  <c r="AF50" i="27" a="1"/>
  <c r="AF50" i="27"/>
  <c r="AA51" i="27" a="1"/>
  <c r="AA51" i="27" s="1"/>
  <c r="AB51" i="27" a="1"/>
  <c r="AB51" i="27" s="1"/>
  <c r="AC51" i="27" a="1"/>
  <c r="AC51" i="27" s="1"/>
  <c r="AD51" i="27" a="1"/>
  <c r="AD51" i="27"/>
  <c r="AE51" i="27" a="1"/>
  <c r="AE51" i="27" s="1"/>
  <c r="AF51" i="27" a="1"/>
  <c r="AF51" i="27" s="1"/>
  <c r="AA52" i="27" a="1"/>
  <c r="AA52" i="27" s="1"/>
  <c r="AB52" i="27" a="1"/>
  <c r="AB52" i="27"/>
  <c r="AC52" i="27" a="1"/>
  <c r="AC52" i="27" s="1"/>
  <c r="AD52" i="27" a="1"/>
  <c r="AD52" i="27" s="1"/>
  <c r="AE52" i="27" a="1"/>
  <c r="AE52" i="27" s="1"/>
  <c r="AF52" i="27" a="1"/>
  <c r="AF52" i="27" s="1"/>
  <c r="AA53" i="27" a="1"/>
  <c r="AA53" i="27" s="1"/>
  <c r="AB53" i="27" a="1"/>
  <c r="AB53" i="27" s="1"/>
  <c r="AC53" i="27" a="1"/>
  <c r="AC53" i="27" s="1"/>
  <c r="AD53" i="27" a="1"/>
  <c r="AD53" i="27" s="1"/>
  <c r="AE53" i="27" a="1"/>
  <c r="AE53" i="27" s="1"/>
  <c r="AF53" i="27" a="1"/>
  <c r="AF53" i="27" s="1"/>
  <c r="AA54" i="27" a="1"/>
  <c r="AA54" i="27" s="1"/>
  <c r="AB54" i="27" a="1"/>
  <c r="AB54" i="27" s="1"/>
  <c r="AC54" i="27" a="1"/>
  <c r="AC54" i="27" s="1"/>
  <c r="AD54" i="27" a="1"/>
  <c r="AD54" i="27" s="1"/>
  <c r="AE54" i="27" a="1"/>
  <c r="AE54" i="27" s="1"/>
  <c r="AF54" i="27" a="1"/>
  <c r="AF54" i="27" s="1"/>
  <c r="AA55" i="27" a="1"/>
  <c r="AA55" i="27" s="1"/>
  <c r="AB55" i="27" a="1"/>
  <c r="AB55" i="27" s="1"/>
  <c r="AC55" i="27" a="1"/>
  <c r="AC55" i="27" s="1"/>
  <c r="AD55" i="27" a="1"/>
  <c r="AD55" i="27" s="1"/>
  <c r="AE55" i="27" a="1"/>
  <c r="AE55" i="27" s="1"/>
  <c r="AF55" i="27" a="1"/>
  <c r="AF55" i="27" s="1"/>
  <c r="AA56" i="27" a="1"/>
  <c r="AA56" i="27" s="1"/>
  <c r="AB56" i="27" a="1"/>
  <c r="AB56" i="27" s="1"/>
  <c r="AC56" i="27" a="1"/>
  <c r="AC56" i="27" s="1"/>
  <c r="AD56" i="27" a="1"/>
  <c r="AD56" i="27" s="1"/>
  <c r="AE56" i="27" a="1"/>
  <c r="AE56" i="27" s="1"/>
  <c r="AF56" i="27" a="1"/>
  <c r="AF56" i="27" s="1"/>
  <c r="AA57" i="27" a="1"/>
  <c r="AA57" i="27" s="1"/>
  <c r="AB57" i="27" a="1"/>
  <c r="AB57" i="27" s="1"/>
  <c r="AC57" i="27" a="1"/>
  <c r="AC57" i="27" s="1"/>
  <c r="AD57" i="27" a="1"/>
  <c r="AD57" i="27" s="1"/>
  <c r="AE57" i="27" a="1"/>
  <c r="AE57" i="27" s="1"/>
  <c r="AF57" i="27" a="1"/>
  <c r="AF57" i="27" s="1"/>
  <c r="AA58" i="27" a="1"/>
  <c r="AA58" i="27" s="1"/>
  <c r="AB58" i="27" a="1"/>
  <c r="AB58" i="27" s="1"/>
  <c r="AC58" i="27" a="1"/>
  <c r="AC58" i="27" s="1"/>
  <c r="AD58" i="27" a="1"/>
  <c r="AD58" i="27" s="1"/>
  <c r="AE58" i="27" a="1"/>
  <c r="AE58" i="27" s="1"/>
  <c r="AF58" i="27" a="1"/>
  <c r="AF58" i="27" s="1"/>
  <c r="AA59" i="27" a="1"/>
  <c r="AA59" i="27" s="1"/>
  <c r="AB59" i="27" a="1"/>
  <c r="AB59" i="27" s="1"/>
  <c r="AC59" i="27" a="1"/>
  <c r="AC59" i="27" s="1"/>
  <c r="AD59" i="27" a="1"/>
  <c r="AD59" i="27" s="1"/>
  <c r="AE59" i="27" a="1"/>
  <c r="AE59" i="27" s="1"/>
  <c r="AF59" i="27" a="1"/>
  <c r="AF59" i="27" s="1"/>
  <c r="AA60" i="27" a="1"/>
  <c r="AA60" i="27" s="1"/>
  <c r="AB60" i="27" a="1"/>
  <c r="AB60" i="27" s="1"/>
  <c r="AC60" i="27" a="1"/>
  <c r="AC60" i="27" s="1"/>
  <c r="AD60" i="27" a="1"/>
  <c r="AD60" i="27" s="1"/>
  <c r="AE60" i="27" a="1"/>
  <c r="AE60" i="27" s="1"/>
  <c r="AF60" i="27" a="1"/>
  <c r="AF60" i="27" s="1"/>
  <c r="AA61" i="27" a="1"/>
  <c r="AA61" i="27" s="1"/>
  <c r="AB61" i="27" a="1"/>
  <c r="AB61" i="27" s="1"/>
  <c r="AC61" i="27" a="1"/>
  <c r="AC61" i="27" s="1"/>
  <c r="AD61" i="27" a="1"/>
  <c r="AD61" i="27" s="1"/>
  <c r="AE61" i="27" a="1"/>
  <c r="AE61" i="27" s="1"/>
  <c r="AF61" i="27" a="1"/>
  <c r="AF61" i="27" s="1"/>
  <c r="AA62" i="27" a="1"/>
  <c r="AA62" i="27" s="1"/>
  <c r="AB62" i="27" a="1"/>
  <c r="AB62" i="27" s="1"/>
  <c r="AC62" i="27" a="1"/>
  <c r="AC62" i="27" s="1"/>
  <c r="AD62" i="27" a="1"/>
  <c r="AD62" i="27" s="1"/>
  <c r="AE62" i="27" a="1"/>
  <c r="AE62" i="27" s="1"/>
  <c r="AF62" i="27" a="1"/>
  <c r="AF62" i="27" s="1"/>
  <c r="AA63" i="27" a="1"/>
  <c r="AA63" i="27" s="1"/>
  <c r="AB63" i="27" a="1"/>
  <c r="AB63" i="27" s="1"/>
  <c r="AC63" i="27" a="1"/>
  <c r="AC63" i="27" s="1"/>
  <c r="AD63" i="27" a="1"/>
  <c r="AD63" i="27" s="1"/>
  <c r="AE63" i="27" a="1"/>
  <c r="AE63" i="27" s="1"/>
  <c r="AF63" i="27" a="1"/>
  <c r="AF63" i="27" s="1"/>
  <c r="AA64" i="27" a="1"/>
  <c r="AA64" i="27" s="1"/>
  <c r="AB64" i="27" a="1"/>
  <c r="AB64" i="27" s="1"/>
  <c r="AC64" i="27" a="1"/>
  <c r="AC64" i="27" s="1"/>
  <c r="AD64" i="27" a="1"/>
  <c r="AD64" i="27" s="1"/>
  <c r="AE64" i="27" a="1"/>
  <c r="AE64" i="27" s="1"/>
  <c r="AF64" i="27" a="1"/>
  <c r="AF64" i="27" s="1"/>
  <c r="AA65" i="27" a="1"/>
  <c r="AA65" i="27" s="1"/>
  <c r="AB65" i="27" a="1"/>
  <c r="AB65" i="27" s="1"/>
  <c r="AC65" i="27" a="1"/>
  <c r="AC65" i="27" s="1"/>
  <c r="AD65" i="27" a="1"/>
  <c r="AD65" i="27" s="1"/>
  <c r="AE65" i="27" a="1"/>
  <c r="AE65" i="27" s="1"/>
  <c r="AF65" i="27" a="1"/>
  <c r="AF65" i="27" s="1"/>
  <c r="AA66" i="27" a="1"/>
  <c r="AA66" i="27" s="1"/>
  <c r="AB66" i="27" a="1"/>
  <c r="AB66" i="27" s="1"/>
  <c r="AC66" i="27" a="1"/>
  <c r="AC66" i="27" s="1"/>
  <c r="AD66" i="27" a="1"/>
  <c r="AD66" i="27" s="1"/>
  <c r="AE66" i="27" a="1"/>
  <c r="AE66" i="27" s="1"/>
  <c r="AF66" i="27" a="1"/>
  <c r="AF66" i="27" s="1"/>
  <c r="AA67" i="27" a="1"/>
  <c r="AA67" i="27" s="1"/>
  <c r="AB67" i="27" a="1"/>
  <c r="AB67" i="27" s="1"/>
  <c r="AC67" i="27" a="1"/>
  <c r="AC67" i="27" s="1"/>
  <c r="AD67" i="27" a="1"/>
  <c r="AD67" i="27" s="1"/>
  <c r="AE67" i="27" a="1"/>
  <c r="AE67" i="27" s="1"/>
  <c r="AF67" i="27" a="1"/>
  <c r="AF67" i="27" s="1"/>
  <c r="AF2" i="27" a="1"/>
  <c r="AF2" i="27" s="1"/>
  <c r="AE2" i="27" a="1"/>
  <c r="AE2" i="27" s="1"/>
  <c r="AD2" i="27" a="1"/>
  <c r="AD2" i="27" s="1"/>
  <c r="AC2" i="27" a="1"/>
  <c r="AC2" i="27" s="1"/>
  <c r="AB2" i="27" a="1"/>
  <c r="AB2" i="27" s="1"/>
  <c r="AA2" i="27" a="1"/>
  <c r="AA2" i="27" s="1"/>
  <c r="X3" i="27" a="1"/>
  <c r="X3" i="27" s="1"/>
  <c r="Y3" i="27" a="1"/>
  <c r="Y3" i="27"/>
  <c r="Z3" i="27" a="1"/>
  <c r="Z3" i="27" s="1"/>
  <c r="X4" i="27" a="1"/>
  <c r="X4" i="27" s="1"/>
  <c r="Y4" i="27" a="1"/>
  <c r="Y4" i="27" s="1"/>
  <c r="Z4" i="27" a="1"/>
  <c r="Z4" i="27" s="1"/>
  <c r="X5" i="27" a="1"/>
  <c r="X5" i="27" s="1"/>
  <c r="Y5" i="27" a="1"/>
  <c r="Y5" i="27"/>
  <c r="Z5" i="27" a="1"/>
  <c r="Z5" i="27" s="1"/>
  <c r="X6" i="27" a="1"/>
  <c r="X6" i="27"/>
  <c r="Y6" i="27" a="1"/>
  <c r="Y6" i="27" s="1"/>
  <c r="Z6" i="27" a="1"/>
  <c r="Z6" i="27" s="1"/>
  <c r="X7" i="27" a="1"/>
  <c r="X7" i="27" s="1"/>
  <c r="Y7" i="27" a="1"/>
  <c r="Y7" i="27" s="1"/>
  <c r="Z7" i="27" a="1"/>
  <c r="Z7" i="27" s="1"/>
  <c r="X8" i="27" a="1"/>
  <c r="X8" i="27"/>
  <c r="Y8" i="27" a="1"/>
  <c r="Y8" i="27" s="1"/>
  <c r="Z8" i="27" a="1"/>
  <c r="Z8" i="27"/>
  <c r="X9" i="27" a="1"/>
  <c r="X9" i="27" s="1"/>
  <c r="Y9" i="27" a="1"/>
  <c r="Y9" i="27" s="1"/>
  <c r="Z9" i="27" a="1"/>
  <c r="Z9" i="27" s="1"/>
  <c r="X10" i="27" a="1"/>
  <c r="X10" i="27" s="1"/>
  <c r="Y10" i="27" a="1"/>
  <c r="Y10" i="27" s="1"/>
  <c r="Z10" i="27" a="1"/>
  <c r="Z10" i="27"/>
  <c r="X11" i="27" a="1"/>
  <c r="X11" i="27" s="1"/>
  <c r="Y11" i="27" a="1"/>
  <c r="Y11" i="27"/>
  <c r="Z11" i="27" a="1"/>
  <c r="Z11" i="27" s="1"/>
  <c r="X12" i="27" a="1"/>
  <c r="X12" i="27" s="1"/>
  <c r="Y12" i="27" a="1"/>
  <c r="Y12" i="27" s="1"/>
  <c r="Z12" i="27" a="1"/>
  <c r="Z12" i="27" s="1"/>
  <c r="X13" i="27" a="1"/>
  <c r="X13" i="27" s="1"/>
  <c r="Y13" i="27" a="1"/>
  <c r="Y13" i="27"/>
  <c r="Z13" i="27" a="1"/>
  <c r="Z13" i="27" s="1"/>
  <c r="X14" i="27" a="1"/>
  <c r="X14" i="27"/>
  <c r="Y14" i="27" a="1"/>
  <c r="Y14" i="27" s="1"/>
  <c r="Z14" i="27" a="1"/>
  <c r="Z14" i="27" s="1"/>
  <c r="X15" i="27" a="1"/>
  <c r="X15" i="27" s="1"/>
  <c r="Y15" i="27" a="1"/>
  <c r="Y15" i="27" s="1"/>
  <c r="Z15" i="27" a="1"/>
  <c r="Z15" i="27" s="1"/>
  <c r="X16" i="27" a="1"/>
  <c r="X16" i="27"/>
  <c r="Y16" i="27" a="1"/>
  <c r="Y16" i="27" s="1"/>
  <c r="Z16" i="27" a="1"/>
  <c r="Z16" i="27"/>
  <c r="X17" i="27" a="1"/>
  <c r="X17" i="27" s="1"/>
  <c r="Y17" i="27" a="1"/>
  <c r="Y17" i="27" s="1"/>
  <c r="Z17" i="27" a="1"/>
  <c r="Z17" i="27" s="1"/>
  <c r="X18" i="27" a="1"/>
  <c r="X18" i="27" s="1"/>
  <c r="Y18" i="27" a="1"/>
  <c r="Y18" i="27" s="1"/>
  <c r="Z18" i="27" a="1"/>
  <c r="Z18" i="27"/>
  <c r="X19" i="27" a="1"/>
  <c r="X19" i="27" s="1"/>
  <c r="Y19" i="27" a="1"/>
  <c r="Y19" i="27"/>
  <c r="Z19" i="27" a="1"/>
  <c r="Z19" i="27" s="1"/>
  <c r="X20" i="27" a="1"/>
  <c r="X20" i="27" s="1"/>
  <c r="Y20" i="27" a="1"/>
  <c r="Y20" i="27" s="1"/>
  <c r="Z20" i="27" a="1"/>
  <c r="Z20" i="27" s="1"/>
  <c r="X21" i="27" a="1"/>
  <c r="X21" i="27" s="1"/>
  <c r="Y21" i="27" a="1"/>
  <c r="Y21" i="27"/>
  <c r="Z21" i="27" a="1"/>
  <c r="Z21" i="27" s="1"/>
  <c r="X22" i="27" a="1"/>
  <c r="X22" i="27"/>
  <c r="Y22" i="27" a="1"/>
  <c r="Y22" i="27" s="1"/>
  <c r="Z22" i="27" a="1"/>
  <c r="Z22" i="27" s="1"/>
  <c r="X23" i="27" a="1"/>
  <c r="X23" i="27" s="1"/>
  <c r="Y23" i="27" a="1"/>
  <c r="Y23" i="27" s="1"/>
  <c r="Z23" i="27" a="1"/>
  <c r="Z23" i="27" s="1"/>
  <c r="X24" i="27" a="1"/>
  <c r="X24" i="27"/>
  <c r="Y24" i="27" a="1"/>
  <c r="Y24" i="27" s="1"/>
  <c r="Z24" i="27" a="1"/>
  <c r="Z24" i="27"/>
  <c r="X25" i="27" a="1"/>
  <c r="X25" i="27" s="1"/>
  <c r="Y25" i="27" a="1"/>
  <c r="Y25" i="27" s="1"/>
  <c r="Z25" i="27" a="1"/>
  <c r="Z25" i="27" s="1"/>
  <c r="X26" i="27" a="1"/>
  <c r="X26" i="27" s="1"/>
  <c r="Y26" i="27" a="1"/>
  <c r="Y26" i="27" s="1"/>
  <c r="Z26" i="27" a="1"/>
  <c r="Z26" i="27"/>
  <c r="X27" i="27" a="1"/>
  <c r="X27" i="27" s="1"/>
  <c r="Y27" i="27" a="1"/>
  <c r="Y27" i="27"/>
  <c r="Z27" i="27" a="1"/>
  <c r="Z27" i="27" s="1"/>
  <c r="X28" i="27" a="1"/>
  <c r="X28" i="27" s="1"/>
  <c r="Y28" i="27" a="1"/>
  <c r="Y28" i="27" s="1"/>
  <c r="Z28" i="27" a="1"/>
  <c r="Z28" i="27" s="1"/>
  <c r="X29" i="27" a="1"/>
  <c r="X29" i="27" s="1"/>
  <c r="Y29" i="27" a="1"/>
  <c r="Y29" i="27"/>
  <c r="Z29" i="27" a="1"/>
  <c r="Z29" i="27" s="1"/>
  <c r="X30" i="27" a="1"/>
  <c r="X30" i="27"/>
  <c r="Y30" i="27" a="1"/>
  <c r="Y30" i="27" s="1"/>
  <c r="Z30" i="27" a="1"/>
  <c r="Z30" i="27" s="1"/>
  <c r="X31" i="27" a="1"/>
  <c r="X31" i="27" s="1"/>
  <c r="Y31" i="27" a="1"/>
  <c r="Y31" i="27" s="1"/>
  <c r="Z31" i="27" a="1"/>
  <c r="Z31" i="27" s="1"/>
  <c r="X32" i="27" a="1"/>
  <c r="X32" i="27"/>
  <c r="Y32" i="27" a="1"/>
  <c r="Y32" i="27" s="1"/>
  <c r="Z32" i="27" a="1"/>
  <c r="Z32" i="27"/>
  <c r="X33" i="27" a="1"/>
  <c r="X33" i="27" s="1"/>
  <c r="Y33" i="27" a="1"/>
  <c r="Y33" i="27" s="1"/>
  <c r="Z33" i="27" a="1"/>
  <c r="Z33" i="27" s="1"/>
  <c r="X34" i="27" a="1"/>
  <c r="X34" i="27" s="1"/>
  <c r="Y34" i="27" a="1"/>
  <c r="Y34" i="27" s="1"/>
  <c r="Z34" i="27" a="1"/>
  <c r="Z34" i="27"/>
  <c r="X35" i="27" a="1"/>
  <c r="X35" i="27" s="1"/>
  <c r="Y35" i="27" a="1"/>
  <c r="Y35" i="27"/>
  <c r="Z35" i="27" a="1"/>
  <c r="Z35" i="27" s="1"/>
  <c r="X36" i="27" a="1"/>
  <c r="X36" i="27" s="1"/>
  <c r="Y36" i="27" a="1"/>
  <c r="Y36" i="27" s="1"/>
  <c r="Z36" i="27" a="1"/>
  <c r="Z36" i="27" s="1"/>
  <c r="X37" i="27" a="1"/>
  <c r="X37" i="27" s="1"/>
  <c r="Y37" i="27" a="1"/>
  <c r="Y37" i="27"/>
  <c r="Z37" i="27" a="1"/>
  <c r="Z37" i="27" s="1"/>
  <c r="X38" i="27" a="1"/>
  <c r="X38" i="27"/>
  <c r="Y38" i="27" a="1"/>
  <c r="Y38" i="27" s="1"/>
  <c r="Z38" i="27" a="1"/>
  <c r="Z38" i="27" s="1"/>
  <c r="X39" i="27" a="1"/>
  <c r="X39" i="27" s="1"/>
  <c r="Y39" i="27" a="1"/>
  <c r="Y39" i="27" s="1"/>
  <c r="Z39" i="27" a="1"/>
  <c r="Z39" i="27" s="1"/>
  <c r="X40" i="27" a="1"/>
  <c r="X40" i="27"/>
  <c r="Y40" i="27" a="1"/>
  <c r="Y40" i="27" s="1"/>
  <c r="Z40" i="27" a="1"/>
  <c r="Z40" i="27"/>
  <c r="X41" i="27" a="1"/>
  <c r="X41" i="27" s="1"/>
  <c r="Y41" i="27" a="1"/>
  <c r="Y41" i="27" s="1"/>
  <c r="Z41" i="27" a="1"/>
  <c r="Z41" i="27" s="1"/>
  <c r="X42" i="27" a="1"/>
  <c r="X42" i="27" s="1"/>
  <c r="Y42" i="27" a="1"/>
  <c r="Y42" i="27" s="1"/>
  <c r="Z42" i="27" a="1"/>
  <c r="Z42" i="27"/>
  <c r="X43" i="27" a="1"/>
  <c r="X43" i="27" s="1"/>
  <c r="Y43" i="27" a="1"/>
  <c r="Y43" i="27"/>
  <c r="Z43" i="27" a="1"/>
  <c r="Z43" i="27" s="1"/>
  <c r="X44" i="27" a="1"/>
  <c r="X44" i="27" s="1"/>
  <c r="Y44" i="27" a="1"/>
  <c r="Y44" i="27" s="1"/>
  <c r="Z44" i="27" a="1"/>
  <c r="Z44" i="27" s="1"/>
  <c r="X45" i="27" a="1"/>
  <c r="X45" i="27" s="1"/>
  <c r="Y45" i="27" a="1"/>
  <c r="Y45" i="27"/>
  <c r="Z45" i="27" a="1"/>
  <c r="Z45" i="27" s="1"/>
  <c r="X46" i="27" a="1"/>
  <c r="X46" i="27"/>
  <c r="Y46" i="27" a="1"/>
  <c r="Y46" i="27" s="1"/>
  <c r="Z46" i="27" a="1"/>
  <c r="Z46" i="27" s="1"/>
  <c r="X47" i="27" a="1"/>
  <c r="X47" i="27" s="1"/>
  <c r="Y47" i="27" a="1"/>
  <c r="Y47" i="27" s="1"/>
  <c r="Z47" i="27" a="1"/>
  <c r="Z47" i="27" s="1"/>
  <c r="X48" i="27" a="1"/>
  <c r="X48" i="27"/>
  <c r="Y48" i="27" a="1"/>
  <c r="Y48" i="27" s="1"/>
  <c r="Z48" i="27" a="1"/>
  <c r="Z48" i="27"/>
  <c r="X49" i="27" a="1"/>
  <c r="X49" i="27" s="1"/>
  <c r="Y49" i="27" a="1"/>
  <c r="Y49" i="27" s="1"/>
  <c r="Z49" i="27" a="1"/>
  <c r="Z49" i="27" s="1"/>
  <c r="X50" i="27" a="1"/>
  <c r="X50" i="27" s="1"/>
  <c r="Y50" i="27" a="1"/>
  <c r="Y50" i="27" s="1"/>
  <c r="Z50" i="27" a="1"/>
  <c r="Z50" i="27"/>
  <c r="X51" i="27" a="1"/>
  <c r="X51" i="27" s="1"/>
  <c r="Y51" i="27" a="1"/>
  <c r="Y51" i="27"/>
  <c r="Z51" i="27" a="1"/>
  <c r="Z51" i="27" s="1"/>
  <c r="X52" i="27" a="1"/>
  <c r="X52" i="27" s="1"/>
  <c r="Y52" i="27" a="1"/>
  <c r="Y52" i="27" s="1"/>
  <c r="Z52" i="27" a="1"/>
  <c r="Z52" i="27" s="1"/>
  <c r="X53" i="27" a="1"/>
  <c r="X53" i="27" s="1"/>
  <c r="Y53" i="27" a="1"/>
  <c r="Y53" i="27"/>
  <c r="Z53" i="27" a="1"/>
  <c r="Z53" i="27" s="1"/>
  <c r="X54" i="27" a="1"/>
  <c r="X54" i="27"/>
  <c r="Y54" i="27" a="1"/>
  <c r="Y54" i="27" s="1"/>
  <c r="Z54" i="27" a="1"/>
  <c r="Z54" i="27" s="1"/>
  <c r="X55" i="27" a="1"/>
  <c r="X55" i="27" s="1"/>
  <c r="Y55" i="27" a="1"/>
  <c r="Y55" i="27" s="1"/>
  <c r="Z55" i="27" a="1"/>
  <c r="Z55" i="27" s="1"/>
  <c r="X56" i="27" a="1"/>
  <c r="X56" i="27"/>
  <c r="Y56" i="27" a="1"/>
  <c r="Y56" i="27" s="1"/>
  <c r="Z56" i="27" a="1"/>
  <c r="Z56" i="27"/>
  <c r="X57" i="27" a="1"/>
  <c r="X57" i="27" s="1"/>
  <c r="Y57" i="27" a="1"/>
  <c r="Y57" i="27" s="1"/>
  <c r="Z57" i="27" a="1"/>
  <c r="Z57" i="27" s="1"/>
  <c r="X58" i="27" a="1"/>
  <c r="X58" i="27" s="1"/>
  <c r="Y58" i="27" a="1"/>
  <c r="Y58" i="27" s="1"/>
  <c r="Z58" i="27" a="1"/>
  <c r="Z58" i="27"/>
  <c r="X59" i="27" a="1"/>
  <c r="X59" i="27" s="1"/>
  <c r="Y59" i="27" a="1"/>
  <c r="Y59" i="27"/>
  <c r="Z59" i="27" a="1"/>
  <c r="Z59" i="27" s="1"/>
  <c r="X60" i="27" a="1"/>
  <c r="X60" i="27"/>
  <c r="Y60" i="27" a="1"/>
  <c r="Y60" i="27" s="1"/>
  <c r="Z60" i="27" a="1"/>
  <c r="Z60" i="27"/>
  <c r="X61" i="27" a="1"/>
  <c r="X61" i="27" s="1"/>
  <c r="Y61" i="27" a="1"/>
  <c r="Y61" i="27"/>
  <c r="Z61" i="27" a="1"/>
  <c r="Z61" i="27" s="1"/>
  <c r="X62" i="27" a="1"/>
  <c r="X62" i="27"/>
  <c r="Y62" i="27" a="1"/>
  <c r="Y62" i="27" s="1"/>
  <c r="Z62" i="27" a="1"/>
  <c r="Z62" i="27"/>
  <c r="X63" i="27" a="1"/>
  <c r="X63" i="27" s="1"/>
  <c r="Y63" i="27" a="1"/>
  <c r="Y63" i="27"/>
  <c r="Z63" i="27" a="1"/>
  <c r="Z63" i="27" s="1"/>
  <c r="X64" i="27" a="1"/>
  <c r="X64" i="27"/>
  <c r="Y64" i="27" a="1"/>
  <c r="Y64" i="27" s="1"/>
  <c r="Z64" i="27" a="1"/>
  <c r="Z64" i="27"/>
  <c r="X65" i="27" a="1"/>
  <c r="X65" i="27" s="1"/>
  <c r="Y65" i="27" a="1"/>
  <c r="Y65" i="27"/>
  <c r="Z65" i="27" a="1"/>
  <c r="Z65" i="27" s="1"/>
  <c r="X66" i="27" a="1"/>
  <c r="X66" i="27"/>
  <c r="Y66" i="27" a="1"/>
  <c r="Y66" i="27" s="1"/>
  <c r="Z66" i="27" a="1"/>
  <c r="Z66" i="27"/>
  <c r="X67" i="27" a="1"/>
  <c r="X67" i="27" s="1"/>
  <c r="Y67" i="27" a="1"/>
  <c r="Y67" i="27" s="1"/>
  <c r="Z67" i="27" a="1"/>
  <c r="Z67" i="27" s="1"/>
  <c r="Z2" i="27" a="1"/>
  <c r="Z2" i="27" s="1"/>
  <c r="Y2" i="27" a="1"/>
  <c r="Y2" i="27" s="1"/>
  <c r="X2" i="27" a="1"/>
  <c r="X2" i="27" s="1"/>
  <c r="U3" i="27" a="1"/>
  <c r="U3" i="27" s="1"/>
  <c r="V3" i="27" a="1"/>
  <c r="V3" i="27"/>
  <c r="W3" i="27" a="1"/>
  <c r="W3" i="27" s="1"/>
  <c r="U4" i="27" a="1"/>
  <c r="U4" i="27" s="1"/>
  <c r="V4" i="27" a="1"/>
  <c r="V4" i="27" s="1"/>
  <c r="W4" i="27" a="1"/>
  <c r="W4" i="27" s="1"/>
  <c r="U5" i="27" a="1"/>
  <c r="U5" i="27" s="1"/>
  <c r="V5" i="27" a="1"/>
  <c r="V5" i="27"/>
  <c r="W5" i="27" a="1"/>
  <c r="W5" i="27" s="1"/>
  <c r="U6" i="27" a="1"/>
  <c r="U6" i="27" s="1"/>
  <c r="V6" i="27" a="1"/>
  <c r="V6" i="27" s="1"/>
  <c r="W6" i="27" a="1"/>
  <c r="W6" i="27" s="1"/>
  <c r="U7" i="27" a="1"/>
  <c r="U7" i="27" s="1"/>
  <c r="V7" i="27" a="1"/>
  <c r="V7" i="27" s="1"/>
  <c r="W7" i="27" a="1"/>
  <c r="W7" i="27" s="1"/>
  <c r="U8" i="27" a="1"/>
  <c r="U8" i="27"/>
  <c r="V8" i="27" a="1"/>
  <c r="V8" i="27" s="1"/>
  <c r="W8" i="27" a="1"/>
  <c r="W8" i="27" s="1"/>
  <c r="U9" i="27" a="1"/>
  <c r="U9" i="27" s="1"/>
  <c r="V9" i="27" a="1"/>
  <c r="V9" i="27" s="1"/>
  <c r="W9" i="27" a="1"/>
  <c r="W9" i="27" s="1"/>
  <c r="U10" i="27" a="1"/>
  <c r="U10" i="27" s="1"/>
  <c r="V10" i="27" a="1"/>
  <c r="V10" i="27" s="1"/>
  <c r="W10" i="27" a="1"/>
  <c r="W10" i="27"/>
  <c r="U11" i="27" a="1"/>
  <c r="U11" i="27" s="1"/>
  <c r="V11" i="27" a="1"/>
  <c r="V11" i="27" s="1"/>
  <c r="W11" i="27" a="1"/>
  <c r="W11" i="27" s="1"/>
  <c r="U12" i="27" a="1"/>
  <c r="U12" i="27" s="1"/>
  <c r="V12" i="27" a="1"/>
  <c r="V12" i="27" s="1"/>
  <c r="W12" i="27" a="1"/>
  <c r="W12" i="27" s="1"/>
  <c r="U13" i="27" a="1"/>
  <c r="U13" i="27" s="1"/>
  <c r="V13" i="27" a="1"/>
  <c r="V13" i="27"/>
  <c r="W13" i="27" a="1"/>
  <c r="W13" i="27" s="1"/>
  <c r="U14" i="27" a="1"/>
  <c r="U14" i="27" s="1"/>
  <c r="V14" i="27" a="1"/>
  <c r="V14" i="27" s="1"/>
  <c r="W14" i="27" a="1"/>
  <c r="W14" i="27" s="1"/>
  <c r="U15" i="27" a="1"/>
  <c r="U15" i="27" s="1"/>
  <c r="V15" i="27" a="1"/>
  <c r="V15" i="27" s="1"/>
  <c r="W15" i="27" a="1"/>
  <c r="W15" i="27" s="1"/>
  <c r="U16" i="27" a="1"/>
  <c r="U16" i="27"/>
  <c r="V16" i="27" a="1"/>
  <c r="V16" i="27" s="1"/>
  <c r="W16" i="27" a="1"/>
  <c r="W16" i="27" s="1"/>
  <c r="U17" i="27" a="1"/>
  <c r="U17" i="27" s="1"/>
  <c r="V17" i="27" a="1"/>
  <c r="V17" i="27" s="1"/>
  <c r="W17" i="27" a="1"/>
  <c r="W17" i="27" s="1"/>
  <c r="U18" i="27" a="1"/>
  <c r="U18" i="27" s="1"/>
  <c r="V18" i="27" a="1"/>
  <c r="V18" i="27" s="1"/>
  <c r="W18" i="27" a="1"/>
  <c r="W18" i="27"/>
  <c r="U19" i="27" a="1"/>
  <c r="U19" i="27" s="1"/>
  <c r="V19" i="27" a="1"/>
  <c r="V19" i="27" s="1"/>
  <c r="W19" i="27" a="1"/>
  <c r="W19" i="27" s="1"/>
  <c r="U20" i="27" a="1"/>
  <c r="U20" i="27" s="1"/>
  <c r="V20" i="27" a="1"/>
  <c r="V20" i="27" s="1"/>
  <c r="W20" i="27" a="1"/>
  <c r="W20" i="27" s="1"/>
  <c r="U21" i="27" a="1"/>
  <c r="U21" i="27" s="1"/>
  <c r="V21" i="27" a="1"/>
  <c r="V21" i="27"/>
  <c r="W21" i="27" a="1"/>
  <c r="W21" i="27" s="1"/>
  <c r="U22" i="27" a="1"/>
  <c r="U22" i="27" s="1"/>
  <c r="V22" i="27" a="1"/>
  <c r="V22" i="27" s="1"/>
  <c r="W22" i="27" a="1"/>
  <c r="W22" i="27" s="1"/>
  <c r="U23" i="27" a="1"/>
  <c r="U23" i="27" s="1"/>
  <c r="V23" i="27" a="1"/>
  <c r="V23" i="27" s="1"/>
  <c r="W23" i="27" a="1"/>
  <c r="W23" i="27" s="1"/>
  <c r="U24" i="27" a="1"/>
  <c r="U24" i="27"/>
  <c r="V24" i="27" a="1"/>
  <c r="V24" i="27" s="1"/>
  <c r="W24" i="27" a="1"/>
  <c r="W24" i="27" s="1"/>
  <c r="U25" i="27" a="1"/>
  <c r="U25" i="27" s="1"/>
  <c r="V25" i="27" a="1"/>
  <c r="V25" i="27" s="1"/>
  <c r="W25" i="27" a="1"/>
  <c r="W25" i="27" s="1"/>
  <c r="U26" i="27" a="1"/>
  <c r="U26" i="27" s="1"/>
  <c r="V26" i="27" a="1"/>
  <c r="V26" i="27" s="1"/>
  <c r="W26" i="27" a="1"/>
  <c r="W26" i="27"/>
  <c r="U27" i="27" a="1"/>
  <c r="U27" i="27" s="1"/>
  <c r="V27" i="27" a="1"/>
  <c r="V27" i="27" s="1"/>
  <c r="W27" i="27" a="1"/>
  <c r="W27" i="27" s="1"/>
  <c r="U28" i="27" a="1"/>
  <c r="U28" i="27" s="1"/>
  <c r="V28" i="27" a="1"/>
  <c r="V28" i="27" s="1"/>
  <c r="W28" i="27" a="1"/>
  <c r="W28" i="27" s="1"/>
  <c r="U29" i="27" a="1"/>
  <c r="U29" i="27" s="1"/>
  <c r="V29" i="27" a="1"/>
  <c r="V29" i="27"/>
  <c r="W29" i="27" a="1"/>
  <c r="W29" i="27" s="1"/>
  <c r="U30" i="27" a="1"/>
  <c r="U30" i="27" s="1"/>
  <c r="V30" i="27" a="1"/>
  <c r="V30" i="27" s="1"/>
  <c r="W30" i="27" a="1"/>
  <c r="W30" i="27" s="1"/>
  <c r="U31" i="27" a="1"/>
  <c r="U31" i="27" s="1"/>
  <c r="V31" i="27" a="1"/>
  <c r="V31" i="27" s="1"/>
  <c r="W31" i="27" a="1"/>
  <c r="W31" i="27" s="1"/>
  <c r="U32" i="27" a="1"/>
  <c r="U32" i="27"/>
  <c r="V32" i="27" a="1"/>
  <c r="V32" i="27" s="1"/>
  <c r="W32" i="27" a="1"/>
  <c r="W32" i="27" s="1"/>
  <c r="U33" i="27" a="1"/>
  <c r="U33" i="27" s="1"/>
  <c r="V33" i="27" a="1"/>
  <c r="V33" i="27" s="1"/>
  <c r="W33" i="27" a="1"/>
  <c r="W33" i="27" s="1"/>
  <c r="U34" i="27" a="1"/>
  <c r="U34" i="27" s="1"/>
  <c r="V34" i="27" a="1"/>
  <c r="V34" i="27" s="1"/>
  <c r="W34" i="27" a="1"/>
  <c r="W34" i="27"/>
  <c r="U35" i="27" a="1"/>
  <c r="U35" i="27" s="1"/>
  <c r="V35" i="27" a="1"/>
  <c r="V35" i="27" s="1"/>
  <c r="W35" i="27" a="1"/>
  <c r="W35" i="27" s="1"/>
  <c r="U36" i="27" a="1"/>
  <c r="U36" i="27" s="1"/>
  <c r="V36" i="27" a="1"/>
  <c r="V36" i="27" s="1"/>
  <c r="W36" i="27" a="1"/>
  <c r="W36" i="27" s="1"/>
  <c r="U37" i="27" a="1"/>
  <c r="U37" i="27" s="1"/>
  <c r="V37" i="27" a="1"/>
  <c r="V37" i="27"/>
  <c r="W37" i="27" a="1"/>
  <c r="W37" i="27" s="1"/>
  <c r="U38" i="27" a="1"/>
  <c r="U38" i="27" s="1"/>
  <c r="V38" i="27" a="1"/>
  <c r="V38" i="27" s="1"/>
  <c r="W38" i="27" a="1"/>
  <c r="W38" i="27" s="1"/>
  <c r="U39" i="27" a="1"/>
  <c r="U39" i="27" s="1"/>
  <c r="V39" i="27" a="1"/>
  <c r="V39" i="27" s="1"/>
  <c r="W39" i="27" a="1"/>
  <c r="W39" i="27" s="1"/>
  <c r="U40" i="27" a="1"/>
  <c r="U40" i="27"/>
  <c r="V40" i="27" a="1"/>
  <c r="V40" i="27" s="1"/>
  <c r="W40" i="27" a="1"/>
  <c r="W40" i="27" s="1"/>
  <c r="U41" i="27" a="1"/>
  <c r="U41" i="27" s="1"/>
  <c r="V41" i="27" a="1"/>
  <c r="V41" i="27" s="1"/>
  <c r="W41" i="27" a="1"/>
  <c r="W41" i="27" s="1"/>
  <c r="U42" i="27" a="1"/>
  <c r="U42" i="27" s="1"/>
  <c r="V42" i="27" a="1"/>
  <c r="V42" i="27" s="1"/>
  <c r="W42" i="27" a="1"/>
  <c r="W42" i="27"/>
  <c r="U43" i="27" a="1"/>
  <c r="U43" i="27" s="1"/>
  <c r="V43" i="27" a="1"/>
  <c r="V43" i="27" s="1"/>
  <c r="W43" i="27" a="1"/>
  <c r="W43" i="27" s="1"/>
  <c r="U44" i="27" a="1"/>
  <c r="U44" i="27" s="1"/>
  <c r="V44" i="27" a="1"/>
  <c r="V44" i="27" s="1"/>
  <c r="W44" i="27" a="1"/>
  <c r="W44" i="27" s="1"/>
  <c r="U45" i="27" a="1"/>
  <c r="U45" i="27" s="1"/>
  <c r="V45" i="27" a="1"/>
  <c r="V45" i="27"/>
  <c r="W45" i="27" a="1"/>
  <c r="W45" i="27" s="1"/>
  <c r="U46" i="27" a="1"/>
  <c r="U46" i="27" s="1"/>
  <c r="V46" i="27" a="1"/>
  <c r="V46" i="27" s="1"/>
  <c r="W46" i="27" a="1"/>
  <c r="W46" i="27" s="1"/>
  <c r="U47" i="27" a="1"/>
  <c r="U47" i="27" s="1"/>
  <c r="V47" i="27" a="1"/>
  <c r="V47" i="27" s="1"/>
  <c r="W47" i="27" a="1"/>
  <c r="W47" i="27" s="1"/>
  <c r="U48" i="27" a="1"/>
  <c r="U48" i="27"/>
  <c r="V48" i="27" a="1"/>
  <c r="V48" i="27" s="1"/>
  <c r="W48" i="27" a="1"/>
  <c r="W48" i="27" s="1"/>
  <c r="U49" i="27" a="1"/>
  <c r="U49" i="27" s="1"/>
  <c r="V49" i="27" a="1"/>
  <c r="V49" i="27" s="1"/>
  <c r="W49" i="27" a="1"/>
  <c r="W49" i="27" s="1"/>
  <c r="U50" i="27" a="1"/>
  <c r="U50" i="27" s="1"/>
  <c r="V50" i="27" a="1"/>
  <c r="V50" i="27" s="1"/>
  <c r="W50" i="27" a="1"/>
  <c r="W50" i="27"/>
  <c r="U51" i="27" a="1"/>
  <c r="U51" i="27" s="1"/>
  <c r="V51" i="27" a="1"/>
  <c r="V51" i="27" s="1"/>
  <c r="W51" i="27" a="1"/>
  <c r="W51" i="27" s="1"/>
  <c r="U52" i="27" a="1"/>
  <c r="U52" i="27" s="1"/>
  <c r="V52" i="27" a="1"/>
  <c r="V52" i="27" s="1"/>
  <c r="W52" i="27" a="1"/>
  <c r="W52" i="27" s="1"/>
  <c r="U53" i="27" a="1"/>
  <c r="U53" i="27" s="1"/>
  <c r="V53" i="27" a="1"/>
  <c r="V53" i="27"/>
  <c r="W53" i="27" a="1"/>
  <c r="W53" i="27" s="1"/>
  <c r="U54" i="27" a="1"/>
  <c r="U54" i="27" s="1"/>
  <c r="V54" i="27" a="1"/>
  <c r="V54" i="27" s="1"/>
  <c r="W54" i="27" a="1"/>
  <c r="W54" i="27" s="1"/>
  <c r="U55" i="27" a="1"/>
  <c r="U55" i="27" s="1"/>
  <c r="V55" i="27" a="1"/>
  <c r="V55" i="27" s="1"/>
  <c r="W55" i="27" a="1"/>
  <c r="W55" i="27" s="1"/>
  <c r="U56" i="27" a="1"/>
  <c r="U56" i="27"/>
  <c r="V56" i="27" a="1"/>
  <c r="V56" i="27" s="1"/>
  <c r="W56" i="27" a="1"/>
  <c r="W56" i="27" s="1"/>
  <c r="U57" i="27" a="1"/>
  <c r="U57" i="27" s="1"/>
  <c r="V57" i="27" a="1"/>
  <c r="V57" i="27" s="1"/>
  <c r="W57" i="27" a="1"/>
  <c r="W57" i="27" s="1"/>
  <c r="U58" i="27" a="1"/>
  <c r="U58" i="27" s="1"/>
  <c r="V58" i="27" a="1"/>
  <c r="V58" i="27" s="1"/>
  <c r="W58" i="27" a="1"/>
  <c r="W58" i="27"/>
  <c r="U59" i="27" a="1"/>
  <c r="U59" i="27" s="1"/>
  <c r="V59" i="27" a="1"/>
  <c r="V59" i="27" s="1"/>
  <c r="W59" i="27" a="1"/>
  <c r="W59" i="27" s="1"/>
  <c r="U60" i="27" a="1"/>
  <c r="U60" i="27" s="1"/>
  <c r="V60" i="27" a="1"/>
  <c r="V60" i="27" s="1"/>
  <c r="W60" i="27" a="1"/>
  <c r="W60" i="27" s="1"/>
  <c r="U61" i="27" a="1"/>
  <c r="U61" i="27" s="1"/>
  <c r="V61" i="27" a="1"/>
  <c r="V61" i="27" s="1"/>
  <c r="W61" i="27" a="1"/>
  <c r="W61" i="27" s="1"/>
  <c r="U62" i="27" a="1"/>
  <c r="U62" i="27" s="1"/>
  <c r="V62" i="27" a="1"/>
  <c r="V62" i="27" s="1"/>
  <c r="W62" i="27" a="1"/>
  <c r="W62" i="27" s="1"/>
  <c r="U63" i="27" a="1"/>
  <c r="U63" i="27" s="1"/>
  <c r="V63" i="27" a="1"/>
  <c r="V63" i="27" s="1"/>
  <c r="W63" i="27" a="1"/>
  <c r="W63" i="27" s="1"/>
  <c r="U64" i="27" a="1"/>
  <c r="U64" i="27" s="1"/>
  <c r="V64" i="27" a="1"/>
  <c r="V64" i="27" s="1"/>
  <c r="W64" i="27" a="1"/>
  <c r="W64" i="27" s="1"/>
  <c r="U65" i="27" a="1"/>
  <c r="U65" i="27" s="1"/>
  <c r="V65" i="27" a="1"/>
  <c r="V65" i="27" s="1"/>
  <c r="W65" i="27" a="1"/>
  <c r="W65" i="27" s="1"/>
  <c r="U66" i="27" a="1"/>
  <c r="U66" i="27" s="1"/>
  <c r="V66" i="27" a="1"/>
  <c r="V66" i="27" s="1"/>
  <c r="W66" i="27" a="1"/>
  <c r="W66" i="27" s="1"/>
  <c r="U67" i="27" a="1"/>
  <c r="U67" i="27" s="1"/>
  <c r="V67" i="27" a="1"/>
  <c r="V67" i="27" s="1"/>
  <c r="W67" i="27" a="1"/>
  <c r="W67" i="27" s="1"/>
  <c r="W2" i="27" a="1"/>
  <c r="W2" i="27" s="1"/>
  <c r="V2" i="27" a="1"/>
  <c r="V2" i="27" s="1"/>
  <c r="U2" i="27" a="1"/>
  <c r="U2" i="27" s="1"/>
  <c r="AM4" i="8"/>
  <c r="AL4" i="8"/>
  <c r="AK4" i="8"/>
  <c r="AS201" i="8"/>
  <c r="AS200" i="8"/>
  <c r="AS199" i="8"/>
  <c r="AS198" i="8"/>
  <c r="AS197" i="8"/>
  <c r="AS196" i="8"/>
  <c r="AS195" i="8"/>
  <c r="AS194" i="8"/>
  <c r="AS193" i="8"/>
  <c r="AS192" i="8"/>
  <c r="AS191" i="8"/>
  <c r="AS190" i="8"/>
  <c r="AS189" i="8"/>
  <c r="AS188" i="8"/>
  <c r="AS187" i="8"/>
  <c r="AS186" i="8"/>
  <c r="AS185" i="8"/>
  <c r="AS184" i="8"/>
  <c r="AS183" i="8"/>
  <c r="AS182" i="8"/>
  <c r="AS181" i="8"/>
  <c r="AS180" i="8"/>
  <c r="AS179" i="8"/>
  <c r="AS178" i="8"/>
  <c r="AS177" i="8"/>
  <c r="AS176" i="8"/>
  <c r="AS175" i="8"/>
  <c r="AS174" i="8"/>
  <c r="AS173" i="8"/>
  <c r="AS172" i="8"/>
  <c r="AS171" i="8"/>
  <c r="AS170" i="8"/>
  <c r="AS169" i="8"/>
  <c r="AS168" i="8"/>
  <c r="AS167" i="8"/>
  <c r="AS166" i="8"/>
  <c r="AS165" i="8"/>
  <c r="AS164" i="8"/>
  <c r="AS163" i="8"/>
  <c r="AS162" i="8"/>
  <c r="AS161" i="8"/>
  <c r="AS160" i="8"/>
  <c r="AS159" i="8"/>
  <c r="AS158" i="8"/>
  <c r="AS157" i="8"/>
  <c r="AS156" i="8"/>
  <c r="AS155" i="8"/>
  <c r="AS154" i="8"/>
  <c r="AS153" i="8"/>
  <c r="AS152" i="8"/>
  <c r="AS151" i="8"/>
  <c r="AS150" i="8"/>
  <c r="AS149" i="8"/>
  <c r="AS148" i="8"/>
  <c r="AS147" i="8"/>
  <c r="AS146" i="8"/>
  <c r="AS145" i="8"/>
  <c r="AS144" i="8"/>
  <c r="AS143" i="8"/>
  <c r="AS142" i="8"/>
  <c r="AS141" i="8"/>
  <c r="AS140" i="8"/>
  <c r="AS139" i="8"/>
  <c r="AS138" i="8"/>
  <c r="AS137" i="8"/>
  <c r="AS136" i="8"/>
  <c r="AS267" i="8"/>
  <c r="AS266" i="8"/>
  <c r="AS265" i="8"/>
  <c r="AS264" i="8"/>
  <c r="AS263" i="8"/>
  <c r="AS262" i="8"/>
  <c r="AS261" i="8"/>
  <c r="AS260" i="8"/>
  <c r="AS259" i="8"/>
  <c r="AS258" i="8"/>
  <c r="AS257" i="8"/>
  <c r="AS256" i="8"/>
  <c r="AS255" i="8"/>
  <c r="AS254" i="8"/>
  <c r="AS253" i="8"/>
  <c r="AS252" i="8"/>
  <c r="AS251" i="8"/>
  <c r="AS250" i="8"/>
  <c r="AS249" i="8"/>
  <c r="AS248" i="8"/>
  <c r="AS247" i="8"/>
  <c r="AS246" i="8"/>
  <c r="AS245" i="8"/>
  <c r="AS244" i="8"/>
  <c r="AS243" i="8"/>
  <c r="AS242" i="8"/>
  <c r="AS241" i="8"/>
  <c r="AS240" i="8"/>
  <c r="AS239" i="8"/>
  <c r="AS238" i="8"/>
  <c r="AS237" i="8"/>
  <c r="AS236" i="8"/>
  <c r="AS235" i="8"/>
  <c r="AS234" i="8"/>
  <c r="AS233" i="8"/>
  <c r="AS232" i="8"/>
  <c r="AS231" i="8"/>
  <c r="AS230" i="8"/>
  <c r="AS229" i="8"/>
  <c r="AS228" i="8"/>
  <c r="AS227" i="8"/>
  <c r="AS226" i="8"/>
  <c r="AS225" i="8"/>
  <c r="AS224" i="8"/>
  <c r="AS223" i="8"/>
  <c r="AS222" i="8"/>
  <c r="AS221" i="8"/>
  <c r="AS220" i="8"/>
  <c r="AS219" i="8"/>
  <c r="AS218" i="8"/>
  <c r="AS217" i="8"/>
  <c r="AS216" i="8"/>
  <c r="AS215" i="8"/>
  <c r="AS214" i="8"/>
  <c r="AS213" i="8"/>
  <c r="AS212" i="8"/>
  <c r="AS211" i="8"/>
  <c r="AS210" i="8"/>
  <c r="AS209" i="8"/>
  <c r="AS208" i="8"/>
  <c r="AS207" i="8"/>
  <c r="AS206" i="8"/>
  <c r="AS205" i="8"/>
  <c r="AS204" i="8"/>
  <c r="AS203" i="8"/>
  <c r="AS202" i="8"/>
  <c r="AR267" i="8"/>
  <c r="AQ267" i="8"/>
  <c r="AP267" i="8"/>
  <c r="AO267" i="8"/>
  <c r="AN267" i="8"/>
  <c r="AM267" i="8"/>
  <c r="AR266" i="8"/>
  <c r="AQ266" i="8"/>
  <c r="AP266" i="8"/>
  <c r="AO266" i="8"/>
  <c r="AN266" i="8"/>
  <c r="AM266" i="8"/>
  <c r="AR265" i="8"/>
  <c r="AQ265" i="8"/>
  <c r="AP265" i="8"/>
  <c r="AO265" i="8"/>
  <c r="AN265" i="8"/>
  <c r="AM265" i="8"/>
  <c r="AR264" i="8"/>
  <c r="AQ264" i="8"/>
  <c r="AP264" i="8"/>
  <c r="AO264" i="8"/>
  <c r="AN264" i="8"/>
  <c r="AM264" i="8"/>
  <c r="AR263" i="8"/>
  <c r="AQ263" i="8"/>
  <c r="AP263" i="8"/>
  <c r="AO263" i="8"/>
  <c r="AN263" i="8"/>
  <c r="AM263" i="8"/>
  <c r="AR262" i="8"/>
  <c r="AQ262" i="8"/>
  <c r="AP262" i="8"/>
  <c r="AO262" i="8"/>
  <c r="AN262" i="8"/>
  <c r="AM262" i="8"/>
  <c r="AR261" i="8"/>
  <c r="AQ261" i="8"/>
  <c r="AP261" i="8"/>
  <c r="AO261" i="8"/>
  <c r="AN261" i="8"/>
  <c r="AM261" i="8"/>
  <c r="AR260" i="8"/>
  <c r="AQ260" i="8"/>
  <c r="AP260" i="8"/>
  <c r="AO260" i="8"/>
  <c r="AN260" i="8"/>
  <c r="AM260" i="8"/>
  <c r="AR259" i="8"/>
  <c r="AQ259" i="8"/>
  <c r="AP259" i="8"/>
  <c r="AO259" i="8"/>
  <c r="AN259" i="8"/>
  <c r="AM259" i="8"/>
  <c r="AR258" i="8"/>
  <c r="AQ258" i="8"/>
  <c r="AP258" i="8"/>
  <c r="AO258" i="8"/>
  <c r="AN258" i="8"/>
  <c r="AM258" i="8"/>
  <c r="AR257" i="8"/>
  <c r="AQ257" i="8"/>
  <c r="AP257" i="8"/>
  <c r="AO257" i="8"/>
  <c r="AN257" i="8"/>
  <c r="AM257" i="8"/>
  <c r="AR256" i="8"/>
  <c r="AQ256" i="8"/>
  <c r="AP256" i="8"/>
  <c r="AO256" i="8"/>
  <c r="AN256" i="8"/>
  <c r="AM256" i="8"/>
  <c r="AR255" i="8"/>
  <c r="AQ255" i="8"/>
  <c r="AP255" i="8"/>
  <c r="AO255" i="8"/>
  <c r="AN255" i="8"/>
  <c r="AM255" i="8"/>
  <c r="AR254" i="8"/>
  <c r="AQ254" i="8"/>
  <c r="AP254" i="8"/>
  <c r="AO254" i="8"/>
  <c r="AN254" i="8"/>
  <c r="AM254" i="8"/>
  <c r="AR253" i="8"/>
  <c r="AQ253" i="8"/>
  <c r="AP253" i="8"/>
  <c r="AO253" i="8"/>
  <c r="AN253" i="8"/>
  <c r="AM253" i="8"/>
  <c r="AR252" i="8"/>
  <c r="AQ252" i="8"/>
  <c r="AP252" i="8"/>
  <c r="AO252" i="8"/>
  <c r="AN252" i="8"/>
  <c r="AM252" i="8"/>
  <c r="AR251" i="8"/>
  <c r="AQ251" i="8"/>
  <c r="AP251" i="8"/>
  <c r="AO251" i="8"/>
  <c r="AN251" i="8"/>
  <c r="AM251" i="8"/>
  <c r="AR250" i="8"/>
  <c r="AQ250" i="8"/>
  <c r="AP250" i="8"/>
  <c r="AO250" i="8"/>
  <c r="AN250" i="8"/>
  <c r="AM250" i="8"/>
  <c r="AR249" i="8"/>
  <c r="AQ249" i="8"/>
  <c r="AP249" i="8"/>
  <c r="AO249" i="8"/>
  <c r="AN249" i="8"/>
  <c r="AM249" i="8"/>
  <c r="AR248" i="8"/>
  <c r="AQ248" i="8"/>
  <c r="AP248" i="8"/>
  <c r="AO248" i="8"/>
  <c r="AN248" i="8"/>
  <c r="AM248" i="8"/>
  <c r="AR247" i="8"/>
  <c r="AQ247" i="8"/>
  <c r="AP247" i="8"/>
  <c r="AO247" i="8"/>
  <c r="AN247" i="8"/>
  <c r="AM247" i="8"/>
  <c r="AR246" i="8"/>
  <c r="AQ246" i="8"/>
  <c r="AP246" i="8"/>
  <c r="AO246" i="8"/>
  <c r="AN246" i="8"/>
  <c r="AM246" i="8"/>
  <c r="AR245" i="8"/>
  <c r="AQ245" i="8"/>
  <c r="AP245" i="8"/>
  <c r="AO245" i="8"/>
  <c r="AN245" i="8"/>
  <c r="AM245" i="8"/>
  <c r="AR244" i="8"/>
  <c r="AQ244" i="8"/>
  <c r="AP244" i="8"/>
  <c r="AO244" i="8"/>
  <c r="AN244" i="8"/>
  <c r="AM244" i="8"/>
  <c r="AR243" i="8"/>
  <c r="AQ243" i="8"/>
  <c r="AP243" i="8"/>
  <c r="AO243" i="8"/>
  <c r="AN243" i="8"/>
  <c r="AM243" i="8"/>
  <c r="AR242" i="8"/>
  <c r="AQ242" i="8"/>
  <c r="AP242" i="8"/>
  <c r="AO242" i="8"/>
  <c r="AN242" i="8"/>
  <c r="AM242" i="8"/>
  <c r="AR241" i="8"/>
  <c r="AQ241" i="8"/>
  <c r="AP241" i="8"/>
  <c r="AO241" i="8"/>
  <c r="AN241" i="8"/>
  <c r="AM241" i="8"/>
  <c r="AR240" i="8"/>
  <c r="AQ240" i="8"/>
  <c r="AP240" i="8"/>
  <c r="AO240" i="8"/>
  <c r="AN240" i="8"/>
  <c r="AM240" i="8"/>
  <c r="AR239" i="8"/>
  <c r="AQ239" i="8"/>
  <c r="AP239" i="8"/>
  <c r="AO239" i="8"/>
  <c r="AN239" i="8"/>
  <c r="AM239" i="8"/>
  <c r="AR238" i="8"/>
  <c r="AQ238" i="8"/>
  <c r="AP238" i="8"/>
  <c r="AO238" i="8"/>
  <c r="AN238" i="8"/>
  <c r="AM238" i="8"/>
  <c r="AR237" i="8"/>
  <c r="AQ237" i="8"/>
  <c r="AP237" i="8"/>
  <c r="AO237" i="8"/>
  <c r="AN237" i="8"/>
  <c r="AM237" i="8"/>
  <c r="AR236" i="8"/>
  <c r="AQ236" i="8"/>
  <c r="AP236" i="8"/>
  <c r="AO236" i="8"/>
  <c r="AN236" i="8"/>
  <c r="AM236" i="8"/>
  <c r="AR235" i="8"/>
  <c r="AQ235" i="8"/>
  <c r="AP235" i="8"/>
  <c r="AO235" i="8"/>
  <c r="AN235" i="8"/>
  <c r="AM235" i="8"/>
  <c r="AR234" i="8"/>
  <c r="AQ234" i="8"/>
  <c r="AP234" i="8"/>
  <c r="AO234" i="8"/>
  <c r="AN234" i="8"/>
  <c r="AM234" i="8"/>
  <c r="AR233" i="8"/>
  <c r="AQ233" i="8"/>
  <c r="AP233" i="8"/>
  <c r="AO233" i="8"/>
  <c r="AN233" i="8"/>
  <c r="AM233" i="8"/>
  <c r="AR232" i="8"/>
  <c r="AQ232" i="8"/>
  <c r="AP232" i="8"/>
  <c r="AO232" i="8"/>
  <c r="AN232" i="8"/>
  <c r="AM232" i="8"/>
  <c r="AR231" i="8"/>
  <c r="AQ231" i="8"/>
  <c r="AP231" i="8"/>
  <c r="AO231" i="8"/>
  <c r="AN231" i="8"/>
  <c r="AM231" i="8"/>
  <c r="AR230" i="8"/>
  <c r="AQ230" i="8"/>
  <c r="AP230" i="8"/>
  <c r="AO230" i="8"/>
  <c r="AN230" i="8"/>
  <c r="AM230" i="8"/>
  <c r="AR229" i="8"/>
  <c r="AQ229" i="8"/>
  <c r="AP229" i="8"/>
  <c r="AO229" i="8"/>
  <c r="AN229" i="8"/>
  <c r="AM229" i="8"/>
  <c r="AR228" i="8"/>
  <c r="AQ228" i="8"/>
  <c r="AP228" i="8"/>
  <c r="AO228" i="8"/>
  <c r="AN228" i="8"/>
  <c r="AM228" i="8"/>
  <c r="AR227" i="8"/>
  <c r="AQ227" i="8"/>
  <c r="AP227" i="8"/>
  <c r="AO227" i="8"/>
  <c r="AN227" i="8"/>
  <c r="AM227" i="8"/>
  <c r="AR226" i="8"/>
  <c r="AQ226" i="8"/>
  <c r="AP226" i="8"/>
  <c r="AO226" i="8"/>
  <c r="AN226" i="8"/>
  <c r="AM226" i="8"/>
  <c r="AR225" i="8"/>
  <c r="AQ225" i="8"/>
  <c r="AP225" i="8"/>
  <c r="AO225" i="8"/>
  <c r="AN225" i="8"/>
  <c r="AM225" i="8"/>
  <c r="AR224" i="8"/>
  <c r="AQ224" i="8"/>
  <c r="AP224" i="8"/>
  <c r="AO224" i="8"/>
  <c r="AN224" i="8"/>
  <c r="AM224" i="8"/>
  <c r="AR223" i="8"/>
  <c r="AQ223" i="8"/>
  <c r="AP223" i="8"/>
  <c r="AO223" i="8"/>
  <c r="AN223" i="8"/>
  <c r="AM223" i="8"/>
  <c r="AR222" i="8"/>
  <c r="AQ222" i="8"/>
  <c r="AP222" i="8"/>
  <c r="AO222" i="8"/>
  <c r="AN222" i="8"/>
  <c r="AM222" i="8"/>
  <c r="AR221" i="8"/>
  <c r="AQ221" i="8"/>
  <c r="AP221" i="8"/>
  <c r="AO221" i="8"/>
  <c r="AN221" i="8"/>
  <c r="AM221" i="8"/>
  <c r="AR220" i="8"/>
  <c r="AQ220" i="8"/>
  <c r="AP220" i="8"/>
  <c r="AO220" i="8"/>
  <c r="AN220" i="8"/>
  <c r="AM220" i="8"/>
  <c r="AR219" i="8"/>
  <c r="AQ219" i="8"/>
  <c r="AP219" i="8"/>
  <c r="AO219" i="8"/>
  <c r="AN219" i="8"/>
  <c r="AM219" i="8"/>
  <c r="AR218" i="8"/>
  <c r="AQ218" i="8"/>
  <c r="AP218" i="8"/>
  <c r="AO218" i="8"/>
  <c r="AN218" i="8"/>
  <c r="AM218" i="8"/>
  <c r="AR217" i="8"/>
  <c r="AQ217" i="8"/>
  <c r="AP217" i="8"/>
  <c r="AO217" i="8"/>
  <c r="AN217" i="8"/>
  <c r="AM217" i="8"/>
  <c r="AR216" i="8"/>
  <c r="AQ216" i="8"/>
  <c r="AP216" i="8"/>
  <c r="AO216" i="8"/>
  <c r="AN216" i="8"/>
  <c r="AM216" i="8"/>
  <c r="AR215" i="8"/>
  <c r="AQ215" i="8"/>
  <c r="AP215" i="8"/>
  <c r="AO215" i="8"/>
  <c r="AN215" i="8"/>
  <c r="AM215" i="8"/>
  <c r="AR214" i="8"/>
  <c r="AQ214" i="8"/>
  <c r="AP214" i="8"/>
  <c r="AO214" i="8"/>
  <c r="AN214" i="8"/>
  <c r="AM214" i="8"/>
  <c r="AR213" i="8"/>
  <c r="AQ213" i="8"/>
  <c r="AP213" i="8"/>
  <c r="AO213" i="8"/>
  <c r="AN213" i="8"/>
  <c r="AM213" i="8"/>
  <c r="AR212" i="8"/>
  <c r="AQ212" i="8"/>
  <c r="AP212" i="8"/>
  <c r="AO212" i="8"/>
  <c r="AN212" i="8"/>
  <c r="AM212" i="8"/>
  <c r="AR211" i="8"/>
  <c r="AQ211" i="8"/>
  <c r="AP211" i="8"/>
  <c r="AO211" i="8"/>
  <c r="AN211" i="8"/>
  <c r="AM211" i="8"/>
  <c r="AR210" i="8"/>
  <c r="AQ210" i="8"/>
  <c r="AP210" i="8"/>
  <c r="AO210" i="8"/>
  <c r="AN210" i="8"/>
  <c r="AM210" i="8"/>
  <c r="AR209" i="8"/>
  <c r="AQ209" i="8"/>
  <c r="AP209" i="8"/>
  <c r="AO209" i="8"/>
  <c r="AN209" i="8"/>
  <c r="AM209" i="8"/>
  <c r="AR208" i="8"/>
  <c r="AQ208" i="8"/>
  <c r="AP208" i="8"/>
  <c r="AO208" i="8"/>
  <c r="AN208" i="8"/>
  <c r="AM208" i="8"/>
  <c r="AR207" i="8"/>
  <c r="AQ207" i="8"/>
  <c r="AP207" i="8"/>
  <c r="AO207" i="8"/>
  <c r="AN207" i="8"/>
  <c r="AM207" i="8"/>
  <c r="AR206" i="8"/>
  <c r="AQ206" i="8"/>
  <c r="AP206" i="8"/>
  <c r="AO206" i="8"/>
  <c r="AN206" i="8"/>
  <c r="AM206" i="8"/>
  <c r="AR205" i="8"/>
  <c r="AQ205" i="8"/>
  <c r="AP205" i="8"/>
  <c r="AO205" i="8"/>
  <c r="AN205" i="8"/>
  <c r="AM205" i="8"/>
  <c r="AR204" i="8"/>
  <c r="AQ204" i="8"/>
  <c r="AP204" i="8"/>
  <c r="AO204" i="8"/>
  <c r="AN204" i="8"/>
  <c r="AM204" i="8"/>
  <c r="AR203" i="8"/>
  <c r="AQ203" i="8"/>
  <c r="AP203" i="8"/>
  <c r="AO203" i="8"/>
  <c r="AN203" i="8"/>
  <c r="AM203" i="8"/>
  <c r="U202" i="8"/>
  <c r="AQ202" i="8"/>
  <c r="AP202" i="8"/>
  <c r="AO202" i="8"/>
  <c r="AN202" i="8"/>
  <c r="AM202" i="8"/>
  <c r="AN136" i="8"/>
  <c r="AM136" i="8"/>
  <c r="AL136" i="8"/>
  <c r="AP201" i="8"/>
  <c r="AO201" i="8"/>
  <c r="AP200" i="8"/>
  <c r="AO200" i="8"/>
  <c r="AP199" i="8"/>
  <c r="AO199" i="8"/>
  <c r="AP198" i="8"/>
  <c r="AO198" i="8"/>
  <c r="AP197" i="8"/>
  <c r="AO197" i="8"/>
  <c r="AP196" i="8"/>
  <c r="AO196" i="8"/>
  <c r="AP195" i="8"/>
  <c r="AO195" i="8"/>
  <c r="AP194" i="8"/>
  <c r="AO194" i="8"/>
  <c r="AP193" i="8"/>
  <c r="AO193" i="8"/>
  <c r="AP192" i="8"/>
  <c r="AO192" i="8"/>
  <c r="AP191" i="8"/>
  <c r="AO191" i="8"/>
  <c r="AP190" i="8"/>
  <c r="AO190" i="8"/>
  <c r="AP189" i="8"/>
  <c r="AO189" i="8"/>
  <c r="AP188" i="8"/>
  <c r="AO188" i="8"/>
  <c r="AP187" i="8"/>
  <c r="AO187" i="8"/>
  <c r="AP186" i="8"/>
  <c r="AO186" i="8"/>
  <c r="AP185" i="8"/>
  <c r="AO185" i="8"/>
  <c r="AP184" i="8"/>
  <c r="AO184" i="8"/>
  <c r="AP183" i="8"/>
  <c r="AO183" i="8"/>
  <c r="AP182" i="8"/>
  <c r="AO182" i="8"/>
  <c r="AP181" i="8"/>
  <c r="AO181" i="8"/>
  <c r="AP180" i="8"/>
  <c r="AO180" i="8"/>
  <c r="AP179" i="8"/>
  <c r="AO179" i="8"/>
  <c r="AP178" i="8"/>
  <c r="AO178" i="8"/>
  <c r="AP177" i="8"/>
  <c r="AO177" i="8"/>
  <c r="AP176" i="8"/>
  <c r="AO176" i="8"/>
  <c r="AP175" i="8"/>
  <c r="AO175" i="8"/>
  <c r="AP174" i="8"/>
  <c r="AO174" i="8"/>
  <c r="AP173" i="8"/>
  <c r="AO173" i="8"/>
  <c r="AP172" i="8"/>
  <c r="AO172" i="8"/>
  <c r="AP171" i="8"/>
  <c r="AO171" i="8"/>
  <c r="AP170" i="8"/>
  <c r="AO170" i="8"/>
  <c r="AP169" i="8"/>
  <c r="AO169" i="8"/>
  <c r="AP168" i="8"/>
  <c r="AO168" i="8"/>
  <c r="AP167" i="8"/>
  <c r="AO167" i="8"/>
  <c r="AP166" i="8"/>
  <c r="AO166" i="8"/>
  <c r="AP165" i="8"/>
  <c r="AO165" i="8"/>
  <c r="AP164" i="8"/>
  <c r="AO164" i="8"/>
  <c r="AP163" i="8"/>
  <c r="AO163" i="8"/>
  <c r="AP162" i="8"/>
  <c r="AO162" i="8"/>
  <c r="AP161" i="8"/>
  <c r="AO161" i="8"/>
  <c r="AP160" i="8"/>
  <c r="AO160" i="8"/>
  <c r="AP159" i="8"/>
  <c r="AO159" i="8"/>
  <c r="AP158" i="8"/>
  <c r="AO158" i="8"/>
  <c r="AP157" i="8"/>
  <c r="AO157" i="8"/>
  <c r="AP156" i="8"/>
  <c r="AO156" i="8"/>
  <c r="AP155" i="8"/>
  <c r="AO155" i="8"/>
  <c r="AP154" i="8"/>
  <c r="AO154" i="8"/>
  <c r="AP153" i="8"/>
  <c r="AO153" i="8"/>
  <c r="AP152" i="8"/>
  <c r="AO152" i="8"/>
  <c r="AP151" i="8"/>
  <c r="AO151" i="8"/>
  <c r="AP150" i="8"/>
  <c r="AO150" i="8"/>
  <c r="AP149" i="8"/>
  <c r="AO149" i="8"/>
  <c r="AP148" i="8"/>
  <c r="AO148" i="8"/>
  <c r="AP147" i="8"/>
  <c r="AO147" i="8"/>
  <c r="AP146" i="8"/>
  <c r="AO146" i="8"/>
  <c r="AP145" i="8"/>
  <c r="AO145" i="8"/>
  <c r="AP144" i="8"/>
  <c r="AO144" i="8"/>
  <c r="AP143" i="8"/>
  <c r="AO143" i="8"/>
  <c r="AP142" i="8"/>
  <c r="AO142" i="8"/>
  <c r="AP141" i="8"/>
  <c r="AO141" i="8"/>
  <c r="AP140" i="8"/>
  <c r="AO140" i="8"/>
  <c r="AP139" i="8"/>
  <c r="AO139" i="8"/>
  <c r="AP138" i="8"/>
  <c r="AO138" i="8"/>
  <c r="AP137" i="8"/>
  <c r="AO137" i="8"/>
  <c r="AP136" i="8"/>
  <c r="AO136" i="8"/>
  <c r="AQ136" i="8"/>
  <c r="AJ267" i="8"/>
  <c r="AJ266" i="8"/>
  <c r="AJ265" i="8"/>
  <c r="AJ264" i="8"/>
  <c r="AJ263" i="8"/>
  <c r="AJ262" i="8"/>
  <c r="AJ261" i="8"/>
  <c r="AJ260" i="8"/>
  <c r="AJ259" i="8"/>
  <c r="AJ258" i="8"/>
  <c r="AJ257" i="8"/>
  <c r="AJ256" i="8"/>
  <c r="AJ255" i="8"/>
  <c r="AJ254" i="8"/>
  <c r="AJ253" i="8"/>
  <c r="AJ252" i="8"/>
  <c r="AJ251" i="8"/>
  <c r="AJ250" i="8"/>
  <c r="AJ249" i="8"/>
  <c r="AJ248" i="8"/>
  <c r="AJ247" i="8"/>
  <c r="AJ246" i="8"/>
  <c r="AJ245" i="8"/>
  <c r="AJ244" i="8"/>
  <c r="AJ243" i="8"/>
  <c r="AJ242" i="8"/>
  <c r="AJ241" i="8"/>
  <c r="AJ240" i="8"/>
  <c r="AJ239" i="8"/>
  <c r="AJ238" i="8"/>
  <c r="AJ237" i="8"/>
  <c r="AJ236" i="8"/>
  <c r="AJ235" i="8"/>
  <c r="AJ234" i="8"/>
  <c r="AJ233" i="8"/>
  <c r="AJ232" i="8"/>
  <c r="AL232" i="8" s="1"/>
  <c r="AJ231" i="8"/>
  <c r="AJ230" i="8"/>
  <c r="AJ229" i="8"/>
  <c r="AJ228" i="8"/>
  <c r="AL228" i="8" s="1"/>
  <c r="AJ227" i="8"/>
  <c r="AJ226" i="8"/>
  <c r="AJ225" i="8"/>
  <c r="AJ224" i="8"/>
  <c r="AL224" i="8" s="1"/>
  <c r="AJ223" i="8"/>
  <c r="AJ222" i="8"/>
  <c r="AJ221" i="8"/>
  <c r="AJ220" i="8"/>
  <c r="AL220" i="8" s="1"/>
  <c r="AJ219" i="8"/>
  <c r="AJ218" i="8"/>
  <c r="AJ217" i="8"/>
  <c r="AJ216" i="8"/>
  <c r="AL216" i="8" s="1"/>
  <c r="AJ215" i="8"/>
  <c r="AJ214" i="8"/>
  <c r="AJ213" i="8"/>
  <c r="AJ212" i="8"/>
  <c r="AL212" i="8" s="1"/>
  <c r="AJ211" i="8"/>
  <c r="AJ210" i="8"/>
  <c r="AJ209" i="8"/>
  <c r="AJ208" i="8"/>
  <c r="AL208" i="8" s="1"/>
  <c r="AJ207" i="8"/>
  <c r="AJ206" i="8"/>
  <c r="AJ205" i="8"/>
  <c r="AJ204" i="8"/>
  <c r="AL204" i="8" s="1"/>
  <c r="AJ203" i="8"/>
  <c r="AJ202" i="8"/>
  <c r="AJ201" i="8"/>
  <c r="AJ200" i="8"/>
  <c r="AJ199" i="8"/>
  <c r="AJ198" i="8"/>
  <c r="AL198" i="8" s="1"/>
  <c r="AJ197" i="8"/>
  <c r="AJ196" i="8"/>
  <c r="AJ195" i="8"/>
  <c r="AJ194" i="8"/>
  <c r="AL194" i="8" s="1"/>
  <c r="AJ193" i="8"/>
  <c r="AJ192" i="8"/>
  <c r="AJ191" i="8"/>
  <c r="AJ190" i="8"/>
  <c r="AL190" i="8" s="1"/>
  <c r="AJ189" i="8"/>
  <c r="AJ188" i="8"/>
  <c r="AJ187" i="8"/>
  <c r="AJ186" i="8"/>
  <c r="AL186" i="8" s="1"/>
  <c r="AJ185" i="8"/>
  <c r="AJ184" i="8"/>
  <c r="AJ183" i="8"/>
  <c r="AJ182" i="8"/>
  <c r="AK182" i="8" s="1"/>
  <c r="AJ181" i="8"/>
  <c r="AJ180" i="8"/>
  <c r="AJ179" i="8"/>
  <c r="AJ178" i="8"/>
  <c r="AK178" i="8" s="1"/>
  <c r="AJ177" i="8"/>
  <c r="AJ176" i="8"/>
  <c r="AJ175" i="8"/>
  <c r="AJ174" i="8"/>
  <c r="AL174" i="8" s="1"/>
  <c r="AJ173" i="8"/>
  <c r="AJ172" i="8"/>
  <c r="AJ171" i="8"/>
  <c r="AJ170" i="8"/>
  <c r="AL170" i="8" s="1"/>
  <c r="AJ169" i="8"/>
  <c r="AJ168" i="8"/>
  <c r="AJ167" i="8"/>
  <c r="AJ166" i="8"/>
  <c r="AL166" i="8" s="1"/>
  <c r="AJ165" i="8"/>
  <c r="AJ164" i="8"/>
  <c r="AJ163" i="8"/>
  <c r="AJ162" i="8"/>
  <c r="AK162" i="8" s="1"/>
  <c r="AJ161" i="8"/>
  <c r="AJ160" i="8"/>
  <c r="AJ159" i="8"/>
  <c r="AJ158" i="8"/>
  <c r="AL158" i="8" s="1"/>
  <c r="AJ157" i="8"/>
  <c r="AJ156" i="8"/>
  <c r="AJ155" i="8"/>
  <c r="AJ154" i="8"/>
  <c r="AL154" i="8" s="1"/>
  <c r="AJ153" i="8"/>
  <c r="AJ152" i="8"/>
  <c r="AJ151" i="8"/>
  <c r="AJ150" i="8"/>
  <c r="AL150" i="8" s="1"/>
  <c r="AJ149" i="8"/>
  <c r="AJ148" i="8"/>
  <c r="AJ147" i="8"/>
  <c r="AJ146" i="8"/>
  <c r="AK146" i="8" s="1"/>
  <c r="AJ145" i="8"/>
  <c r="AJ144" i="8"/>
  <c r="AJ143" i="8"/>
  <c r="AJ142" i="8"/>
  <c r="AL142" i="8" s="1"/>
  <c r="AJ141" i="8"/>
  <c r="AJ140" i="8"/>
  <c r="AJ139" i="8"/>
  <c r="AJ138" i="8"/>
  <c r="AL138" i="8" s="1"/>
  <c r="AJ137" i="8"/>
  <c r="AJ136" i="8"/>
  <c r="AK238" i="8"/>
  <c r="AL238" i="8"/>
  <c r="AL237" i="8"/>
  <c r="AL236" i="8"/>
  <c r="AK235" i="8"/>
  <c r="AL235" i="8"/>
  <c r="AK234" i="8"/>
  <c r="AL234" i="8"/>
  <c r="AL233" i="8"/>
  <c r="AL231" i="8"/>
  <c r="AL230" i="8"/>
  <c r="AL229" i="8"/>
  <c r="AL227" i="8"/>
  <c r="AL226" i="8"/>
  <c r="AL225" i="8"/>
  <c r="AL223" i="8"/>
  <c r="AL222" i="8"/>
  <c r="AL221" i="8"/>
  <c r="AL219" i="8"/>
  <c r="AL218" i="8"/>
  <c r="AL217" i="8"/>
  <c r="AL215" i="8"/>
  <c r="AL214" i="8"/>
  <c r="AL213" i="8"/>
  <c r="AL211" i="8"/>
  <c r="AL210" i="8"/>
  <c r="AL209" i="8"/>
  <c r="AL207" i="8"/>
  <c r="AL206" i="8"/>
  <c r="AL205" i="8"/>
  <c r="AL203" i="8"/>
  <c r="AL202" i="8"/>
  <c r="AL201" i="8"/>
  <c r="AL200" i="8"/>
  <c r="AL199" i="8"/>
  <c r="AL197" i="8"/>
  <c r="AL196" i="8"/>
  <c r="AL195" i="8"/>
  <c r="AL193" i="8"/>
  <c r="AL192" i="8"/>
  <c r="AL191" i="8"/>
  <c r="AL189" i="8"/>
  <c r="AL188" i="8"/>
  <c r="AL187" i="8"/>
  <c r="AL185" i="8"/>
  <c r="AL184" i="8"/>
  <c r="AL183" i="8"/>
  <c r="AL182" i="8"/>
  <c r="AK181" i="8"/>
  <c r="AL181" i="8"/>
  <c r="AK179" i="8"/>
  <c r="AL178" i="8"/>
  <c r="AK177" i="8"/>
  <c r="AL177" i="8"/>
  <c r="AK175" i="8"/>
  <c r="AK173" i="8"/>
  <c r="AL173" i="8"/>
  <c r="AK171" i="8"/>
  <c r="AK169" i="8"/>
  <c r="AL169" i="8"/>
  <c r="AK167" i="8"/>
  <c r="AK166" i="8"/>
  <c r="AK165" i="8"/>
  <c r="AL165" i="8"/>
  <c r="AK163" i="8"/>
  <c r="AL162" i="8"/>
  <c r="AK161" i="8"/>
  <c r="AL161" i="8"/>
  <c r="AK159" i="8"/>
  <c r="AK157" i="8"/>
  <c r="AL157" i="8"/>
  <c r="AK155" i="8"/>
  <c r="AK153" i="8"/>
  <c r="AL153" i="8"/>
  <c r="AK151" i="8"/>
  <c r="AK150" i="8"/>
  <c r="AK149" i="8"/>
  <c r="AL149" i="8"/>
  <c r="AK147" i="8"/>
  <c r="AL146" i="8"/>
  <c r="AK145" i="8"/>
  <c r="AL145" i="8"/>
  <c r="AK143" i="8"/>
  <c r="AK141" i="8"/>
  <c r="AL141" i="8"/>
  <c r="AK139" i="8"/>
  <c r="AK137" i="8"/>
  <c r="AL137" i="8"/>
  <c r="AK154" i="8" l="1"/>
  <c r="AK170" i="8"/>
  <c r="AK138" i="8"/>
  <c r="AK142" i="8"/>
  <c r="AK158" i="8"/>
  <c r="AK174" i="8"/>
  <c r="AL139" i="8"/>
  <c r="AL143" i="8"/>
  <c r="AL147" i="8"/>
  <c r="AL151" i="8"/>
  <c r="AL155" i="8"/>
  <c r="AL159" i="8"/>
  <c r="AL163" i="8"/>
  <c r="AL167" i="8"/>
  <c r="AL171" i="8"/>
  <c r="AL175" i="8"/>
  <c r="AL179" i="8"/>
  <c r="AK187" i="8"/>
  <c r="AK190" i="8"/>
  <c r="AK203" i="8"/>
  <c r="AK206" i="8"/>
  <c r="AK219" i="8"/>
  <c r="AK222" i="8"/>
  <c r="AK195" i="8"/>
  <c r="AK198" i="8"/>
  <c r="AK211" i="8"/>
  <c r="AK214" i="8"/>
  <c r="AK227" i="8"/>
  <c r="AK230" i="8"/>
  <c r="AK136" i="8"/>
  <c r="AL140" i="8"/>
  <c r="AK140" i="8"/>
  <c r="AL144" i="8"/>
  <c r="AK144" i="8"/>
  <c r="AL148" i="8"/>
  <c r="AK148" i="8"/>
  <c r="AL152" i="8"/>
  <c r="AK152" i="8"/>
  <c r="AL156" i="8"/>
  <c r="AK156" i="8"/>
  <c r="AL160" i="8"/>
  <c r="AK160" i="8"/>
  <c r="AL164" i="8"/>
  <c r="AK164" i="8"/>
  <c r="AL168" i="8"/>
  <c r="AK168" i="8"/>
  <c r="AL172" i="8"/>
  <c r="AK172" i="8"/>
  <c r="AL176" i="8"/>
  <c r="AK176" i="8"/>
  <c r="AL180" i="8"/>
  <c r="AK180" i="8"/>
  <c r="AK183" i="8"/>
  <c r="AK186" i="8"/>
  <c r="AK191" i="8"/>
  <c r="AK194" i="8"/>
  <c r="AK199" i="8"/>
  <c r="AK202" i="8"/>
  <c r="AK207" i="8"/>
  <c r="AK210" i="8"/>
  <c r="AK215" i="8"/>
  <c r="AK218" i="8"/>
  <c r="AK223" i="8"/>
  <c r="AK226" i="8"/>
  <c r="AK231" i="8"/>
  <c r="AL242" i="8"/>
  <c r="AK242" i="8"/>
  <c r="AL246" i="8"/>
  <c r="AK246" i="8"/>
  <c r="AL252" i="8"/>
  <c r="AK252" i="8"/>
  <c r="AL256" i="8"/>
  <c r="AK256" i="8"/>
  <c r="AL262" i="8"/>
  <c r="AK262" i="8"/>
  <c r="AL240" i="8"/>
  <c r="AK240" i="8"/>
  <c r="AL244" i="8"/>
  <c r="AK244" i="8"/>
  <c r="AL250" i="8"/>
  <c r="AK250" i="8"/>
  <c r="AL254" i="8"/>
  <c r="AK254" i="8"/>
  <c r="AL258" i="8"/>
  <c r="AK258" i="8"/>
  <c r="AL260" i="8"/>
  <c r="AK260" i="8"/>
  <c r="AL266" i="8"/>
  <c r="AK266" i="8"/>
  <c r="AK185" i="8"/>
  <c r="AK189" i="8"/>
  <c r="AK193" i="8"/>
  <c r="AK197" i="8"/>
  <c r="AK201" i="8"/>
  <c r="AK205" i="8"/>
  <c r="AK209" i="8"/>
  <c r="AK213" i="8"/>
  <c r="AK217" i="8"/>
  <c r="AK221" i="8"/>
  <c r="AK225" i="8"/>
  <c r="AK229" i="8"/>
  <c r="AK233" i="8"/>
  <c r="AK237" i="8"/>
  <c r="AL239" i="8"/>
  <c r="AK239" i="8"/>
  <c r="AL241" i="8"/>
  <c r="AK241" i="8"/>
  <c r="AL243" i="8"/>
  <c r="AK243" i="8"/>
  <c r="AL245" i="8"/>
  <c r="AK245" i="8"/>
  <c r="AL247" i="8"/>
  <c r="AK247" i="8"/>
  <c r="AL249" i="8"/>
  <c r="AK249" i="8"/>
  <c r="AL251" i="8"/>
  <c r="AK251" i="8"/>
  <c r="AL253" i="8"/>
  <c r="AK253" i="8"/>
  <c r="AL255" i="8"/>
  <c r="AK255" i="8"/>
  <c r="AL257" i="8"/>
  <c r="AK257" i="8"/>
  <c r="AL259" i="8"/>
  <c r="AK259" i="8"/>
  <c r="AL261" i="8"/>
  <c r="AK261" i="8"/>
  <c r="AL263" i="8"/>
  <c r="AK263" i="8"/>
  <c r="AL265" i="8"/>
  <c r="AK265" i="8"/>
  <c r="AL267" i="8"/>
  <c r="AK267" i="8"/>
  <c r="AL248" i="8"/>
  <c r="AK248" i="8"/>
  <c r="AL264" i="8"/>
  <c r="AK264" i="8"/>
  <c r="AK184" i="8"/>
  <c r="AK188" i="8"/>
  <c r="AK192" i="8"/>
  <c r="AK196" i="8"/>
  <c r="AK200" i="8"/>
  <c r="AK204" i="8"/>
  <c r="AK208" i="8"/>
  <c r="AK212" i="8"/>
  <c r="AK216" i="8"/>
  <c r="AK220" i="8"/>
  <c r="AK224" i="8"/>
  <c r="AK228" i="8"/>
  <c r="AK232" i="8"/>
  <c r="AK236" i="8"/>
  <c r="P38" i="5"/>
  <c r="M235" i="8"/>
  <c r="P38" i="4" l="1"/>
  <c r="P6" i="5" l="1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5" i="5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5" i="4"/>
  <c r="D1" i="36"/>
  <c r="J90" i="39" l="1"/>
  <c r="B90" i="39"/>
  <c r="J89" i="39"/>
  <c r="B89" i="39"/>
  <c r="B90" i="38"/>
  <c r="B89" i="38"/>
  <c r="B90" i="37"/>
  <c r="B89" i="37"/>
  <c r="B90" i="36"/>
  <c r="B89" i="36"/>
  <c r="B90" i="30"/>
  <c r="B89" i="30"/>
  <c r="R8" i="11" l="1"/>
  <c r="S9" i="11" s="1"/>
  <c r="I46" i="26"/>
  <c r="I45" i="26"/>
  <c r="A16" i="29"/>
  <c r="A15" i="29"/>
  <c r="A14" i="29"/>
  <c r="B14" i="29" l="1"/>
  <c r="F14" i="29"/>
  <c r="J14" i="29"/>
  <c r="N14" i="29"/>
  <c r="R14" i="29"/>
  <c r="B15" i="29"/>
  <c r="F15" i="29"/>
  <c r="J15" i="29"/>
  <c r="N15" i="29"/>
  <c r="R15" i="29"/>
  <c r="D14" i="29"/>
  <c r="H14" i="29"/>
  <c r="L14" i="29"/>
  <c r="P14" i="29"/>
  <c r="T14" i="29"/>
  <c r="D15" i="29"/>
  <c r="H15" i="29"/>
  <c r="L15" i="29"/>
  <c r="P15" i="29"/>
  <c r="T15" i="29"/>
  <c r="J77" i="39" l="1"/>
  <c r="B77" i="39"/>
  <c r="J76" i="39"/>
  <c r="B76" i="39"/>
  <c r="J64" i="39"/>
  <c r="B64" i="39"/>
  <c r="J63" i="39"/>
  <c r="B63" i="39"/>
  <c r="J51" i="39"/>
  <c r="B51" i="39"/>
  <c r="J50" i="39"/>
  <c r="B50" i="39"/>
  <c r="J38" i="39"/>
  <c r="B38" i="39"/>
  <c r="J37" i="39"/>
  <c r="B37" i="39"/>
  <c r="J25" i="39"/>
  <c r="B25" i="39"/>
  <c r="J24" i="39"/>
  <c r="B24" i="39"/>
  <c r="J12" i="39"/>
  <c r="J11" i="39"/>
  <c r="B12" i="39"/>
  <c r="B11" i="39"/>
  <c r="B77" i="38"/>
  <c r="B76" i="38"/>
  <c r="B64" i="38"/>
  <c r="B63" i="38"/>
  <c r="B51" i="38"/>
  <c r="B50" i="38"/>
  <c r="B38" i="38"/>
  <c r="B37" i="38"/>
  <c r="B25" i="38"/>
  <c r="B24" i="38"/>
  <c r="B12" i="38"/>
  <c r="B11" i="38"/>
  <c r="B76" i="37"/>
  <c r="B75" i="37"/>
  <c r="B64" i="37"/>
  <c r="B63" i="37"/>
  <c r="B62" i="37"/>
  <c r="B50" i="37"/>
  <c r="B49" i="37"/>
  <c r="B37" i="37"/>
  <c r="B36" i="37"/>
  <c r="B23" i="37"/>
  <c r="B24" i="37"/>
  <c r="B11" i="37"/>
  <c r="B12" i="37"/>
  <c r="B77" i="37"/>
  <c r="B77" i="36"/>
  <c r="B76" i="36"/>
  <c r="B64" i="36"/>
  <c r="B63" i="36"/>
  <c r="B51" i="36"/>
  <c r="B50" i="36"/>
  <c r="B38" i="36"/>
  <c r="B37" i="36"/>
  <c r="B35" i="36"/>
  <c r="B36" i="36"/>
  <c r="B25" i="36"/>
  <c r="B24" i="36"/>
  <c r="B12" i="36"/>
  <c r="B11" i="36"/>
  <c r="P136" i="8" l="1"/>
  <c r="M267" i="8" l="1"/>
  <c r="M266" i="8"/>
  <c r="M265" i="8"/>
  <c r="M264" i="8"/>
  <c r="M263" i="8"/>
  <c r="M262" i="8"/>
  <c r="M261" i="8"/>
  <c r="M260" i="8"/>
  <c r="M259" i="8"/>
  <c r="M258" i="8"/>
  <c r="M257" i="8"/>
  <c r="M256" i="8"/>
  <c r="M255" i="8"/>
  <c r="M254" i="8"/>
  <c r="M253" i="8"/>
  <c r="M252" i="8"/>
  <c r="M251" i="8"/>
  <c r="M250" i="8"/>
  <c r="M249" i="8"/>
  <c r="M248" i="8"/>
  <c r="M247" i="8"/>
  <c r="M246" i="8"/>
  <c r="M245" i="8"/>
  <c r="M244" i="8"/>
  <c r="M243" i="8"/>
  <c r="M242" i="8"/>
  <c r="M241" i="8"/>
  <c r="M240" i="8"/>
  <c r="M239" i="8"/>
  <c r="M238" i="8"/>
  <c r="M237" i="8"/>
  <c r="M236" i="8"/>
  <c r="M234" i="8"/>
  <c r="M233" i="8"/>
  <c r="M232" i="8"/>
  <c r="M231" i="8"/>
  <c r="M230" i="8"/>
  <c r="M229" i="8"/>
  <c r="M228" i="8"/>
  <c r="M227" i="8"/>
  <c r="M226" i="8"/>
  <c r="M225" i="8"/>
  <c r="M224" i="8"/>
  <c r="M223" i="8"/>
  <c r="M222" i="8"/>
  <c r="M221" i="8"/>
  <c r="M220" i="8"/>
  <c r="M219" i="8"/>
  <c r="M218" i="8"/>
  <c r="M217" i="8"/>
  <c r="M216" i="8"/>
  <c r="M215" i="8"/>
  <c r="M214" i="8"/>
  <c r="M213" i="8"/>
  <c r="M212" i="8"/>
  <c r="M211" i="8"/>
  <c r="M210" i="8"/>
  <c r="M209" i="8"/>
  <c r="M208" i="8"/>
  <c r="M207" i="8"/>
  <c r="M206" i="8"/>
  <c r="M205" i="8"/>
  <c r="M204" i="8"/>
  <c r="M203" i="8"/>
  <c r="M202" i="8"/>
  <c r="O6" i="3" l="1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5" i="3"/>
  <c r="O6" i="1" l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5" i="1"/>
  <c r="Q2" i="26" l="1"/>
  <c r="P267" i="8" l="1"/>
  <c r="P266" i="8"/>
  <c r="P265" i="8"/>
  <c r="P264" i="8"/>
  <c r="P263" i="8"/>
  <c r="P262" i="8"/>
  <c r="P261" i="8"/>
  <c r="P260" i="8"/>
  <c r="P259" i="8"/>
  <c r="P258" i="8"/>
  <c r="P257" i="8"/>
  <c r="P256" i="8"/>
  <c r="P255" i="8"/>
  <c r="P254" i="8"/>
  <c r="P253" i="8"/>
  <c r="P252" i="8"/>
  <c r="P251" i="8"/>
  <c r="P250" i="8"/>
  <c r="P249" i="8"/>
  <c r="P248" i="8"/>
  <c r="P247" i="8"/>
  <c r="P246" i="8"/>
  <c r="P245" i="8"/>
  <c r="P244" i="8"/>
  <c r="P243" i="8"/>
  <c r="P242" i="8"/>
  <c r="P241" i="8"/>
  <c r="P240" i="8"/>
  <c r="P239" i="8"/>
  <c r="P238" i="8"/>
  <c r="P237" i="8"/>
  <c r="P236" i="8"/>
  <c r="P235" i="8"/>
  <c r="P234" i="8"/>
  <c r="P233" i="8"/>
  <c r="P232" i="8"/>
  <c r="P231" i="8"/>
  <c r="P230" i="8"/>
  <c r="P229" i="8"/>
  <c r="P228" i="8"/>
  <c r="P227" i="8"/>
  <c r="P226" i="8"/>
  <c r="P225" i="8"/>
  <c r="P224" i="8"/>
  <c r="P223" i="8"/>
  <c r="P222" i="8"/>
  <c r="P221" i="8"/>
  <c r="P220" i="8"/>
  <c r="P219" i="8"/>
  <c r="P218" i="8"/>
  <c r="P217" i="8"/>
  <c r="P216" i="8"/>
  <c r="P215" i="8"/>
  <c r="P214" i="8"/>
  <c r="P213" i="8"/>
  <c r="P212" i="8"/>
  <c r="P211" i="8"/>
  <c r="P210" i="8"/>
  <c r="P209" i="8"/>
  <c r="P208" i="8"/>
  <c r="P207" i="8"/>
  <c r="P206" i="8"/>
  <c r="P205" i="8"/>
  <c r="P204" i="8"/>
  <c r="P203" i="8"/>
  <c r="P201" i="8"/>
  <c r="AM201" i="8" s="1"/>
  <c r="P200" i="8"/>
  <c r="AM200" i="8" s="1"/>
  <c r="P199" i="8"/>
  <c r="AM199" i="8" s="1"/>
  <c r="P198" i="8"/>
  <c r="AM198" i="8" s="1"/>
  <c r="P197" i="8"/>
  <c r="AM197" i="8" s="1"/>
  <c r="P196" i="8"/>
  <c r="AM196" i="8" s="1"/>
  <c r="P195" i="8"/>
  <c r="AM195" i="8" s="1"/>
  <c r="P194" i="8"/>
  <c r="AM194" i="8" s="1"/>
  <c r="P193" i="8"/>
  <c r="AM193" i="8" s="1"/>
  <c r="P192" i="8"/>
  <c r="AM192" i="8" s="1"/>
  <c r="P191" i="8"/>
  <c r="AM191" i="8" s="1"/>
  <c r="P190" i="8"/>
  <c r="AM190" i="8" s="1"/>
  <c r="P189" i="8"/>
  <c r="AM189" i="8" s="1"/>
  <c r="P188" i="8"/>
  <c r="AM188" i="8" s="1"/>
  <c r="P187" i="8"/>
  <c r="AM187" i="8" s="1"/>
  <c r="P186" i="8"/>
  <c r="AM186" i="8" s="1"/>
  <c r="P185" i="8"/>
  <c r="AM185" i="8" s="1"/>
  <c r="P184" i="8"/>
  <c r="AM184" i="8" s="1"/>
  <c r="P183" i="8"/>
  <c r="AM183" i="8" s="1"/>
  <c r="P182" i="8"/>
  <c r="AM182" i="8" s="1"/>
  <c r="P181" i="8"/>
  <c r="AM181" i="8" s="1"/>
  <c r="P180" i="8"/>
  <c r="AM180" i="8" s="1"/>
  <c r="P179" i="8"/>
  <c r="AM179" i="8" s="1"/>
  <c r="P178" i="8"/>
  <c r="AM178" i="8" s="1"/>
  <c r="P177" i="8"/>
  <c r="AM177" i="8" s="1"/>
  <c r="P176" i="8"/>
  <c r="AM176" i="8" s="1"/>
  <c r="P175" i="8"/>
  <c r="AM175" i="8" s="1"/>
  <c r="P174" i="8"/>
  <c r="AM174" i="8" s="1"/>
  <c r="P173" i="8"/>
  <c r="AM173" i="8" s="1"/>
  <c r="P172" i="8"/>
  <c r="AM172" i="8" s="1"/>
  <c r="P171" i="8"/>
  <c r="AM171" i="8" s="1"/>
  <c r="P170" i="8"/>
  <c r="AM170" i="8" s="1"/>
  <c r="P169" i="8"/>
  <c r="AM169" i="8" s="1"/>
  <c r="P168" i="8"/>
  <c r="AM168" i="8" s="1"/>
  <c r="P167" i="8"/>
  <c r="AM167" i="8" s="1"/>
  <c r="P166" i="8"/>
  <c r="AM166" i="8" s="1"/>
  <c r="P165" i="8"/>
  <c r="AM165" i="8" s="1"/>
  <c r="P164" i="8"/>
  <c r="AM164" i="8" s="1"/>
  <c r="P163" i="8"/>
  <c r="AM163" i="8" s="1"/>
  <c r="P162" i="8"/>
  <c r="AM162" i="8" s="1"/>
  <c r="P161" i="8"/>
  <c r="AM161" i="8" s="1"/>
  <c r="P160" i="8"/>
  <c r="AM160" i="8" s="1"/>
  <c r="P159" i="8"/>
  <c r="AM159" i="8" s="1"/>
  <c r="P158" i="8"/>
  <c r="AM158" i="8" s="1"/>
  <c r="P157" i="8"/>
  <c r="AM157" i="8" s="1"/>
  <c r="P156" i="8"/>
  <c r="AM156" i="8" s="1"/>
  <c r="P155" i="8"/>
  <c r="AM155" i="8" s="1"/>
  <c r="P154" i="8"/>
  <c r="AM154" i="8" s="1"/>
  <c r="P153" i="8"/>
  <c r="AM153" i="8" s="1"/>
  <c r="P152" i="8"/>
  <c r="AM152" i="8" s="1"/>
  <c r="P151" i="8"/>
  <c r="AM151" i="8" s="1"/>
  <c r="P150" i="8"/>
  <c r="AM150" i="8" s="1"/>
  <c r="P149" i="8"/>
  <c r="AM149" i="8" s="1"/>
  <c r="P148" i="8"/>
  <c r="AM148" i="8" s="1"/>
  <c r="P147" i="8"/>
  <c r="AM147" i="8" s="1"/>
  <c r="P146" i="8"/>
  <c r="AM146" i="8" s="1"/>
  <c r="P145" i="8"/>
  <c r="AM145" i="8" s="1"/>
  <c r="P144" i="8"/>
  <c r="AM144" i="8" s="1"/>
  <c r="P143" i="8"/>
  <c r="AM143" i="8" s="1"/>
  <c r="P142" i="8"/>
  <c r="AM142" i="8" s="1"/>
  <c r="P141" i="8"/>
  <c r="AM141" i="8" s="1"/>
  <c r="P140" i="8"/>
  <c r="AM140" i="8" s="1"/>
  <c r="P139" i="8"/>
  <c r="AM139" i="8" s="1"/>
  <c r="P138" i="8"/>
  <c r="AM138" i="8" s="1"/>
  <c r="P137" i="8"/>
  <c r="AM137" i="8" s="1"/>
  <c r="P202" i="8"/>
  <c r="O1" i="39" l="1"/>
  <c r="N1" i="39"/>
  <c r="M1" i="39"/>
  <c r="L1" i="39"/>
  <c r="G1" i="39"/>
  <c r="F1" i="39"/>
  <c r="E1" i="39"/>
  <c r="D1" i="39"/>
  <c r="J75" i="39"/>
  <c r="J74" i="39"/>
  <c r="J73" i="39"/>
  <c r="J72" i="39"/>
  <c r="J71" i="39"/>
  <c r="J70" i="39"/>
  <c r="J69" i="39"/>
  <c r="J68" i="39"/>
  <c r="J62" i="39"/>
  <c r="J61" i="39"/>
  <c r="J60" i="39"/>
  <c r="J59" i="39"/>
  <c r="J58" i="39"/>
  <c r="J57" i="39"/>
  <c r="J56" i="39"/>
  <c r="J55" i="39"/>
  <c r="J49" i="39"/>
  <c r="J48" i="39"/>
  <c r="J47" i="39"/>
  <c r="J46" i="39"/>
  <c r="J45" i="39"/>
  <c r="J44" i="39"/>
  <c r="J43" i="39"/>
  <c r="J42" i="39"/>
  <c r="J36" i="39"/>
  <c r="J35" i="39"/>
  <c r="J34" i="39"/>
  <c r="J33" i="39"/>
  <c r="J32" i="39"/>
  <c r="J31" i="39"/>
  <c r="J30" i="39"/>
  <c r="J29" i="39"/>
  <c r="J23" i="39"/>
  <c r="J22" i="39"/>
  <c r="J21" i="39"/>
  <c r="J20" i="39"/>
  <c r="J19" i="39"/>
  <c r="J18" i="39"/>
  <c r="J17" i="39"/>
  <c r="J16" i="39"/>
  <c r="J10" i="39"/>
  <c r="J9" i="39"/>
  <c r="J8" i="39"/>
  <c r="J7" i="39"/>
  <c r="J6" i="39"/>
  <c r="J5" i="39"/>
  <c r="J4" i="39"/>
  <c r="J3" i="39"/>
  <c r="B75" i="39"/>
  <c r="B74" i="39"/>
  <c r="B73" i="39"/>
  <c r="B72" i="39"/>
  <c r="B71" i="39"/>
  <c r="B70" i="39"/>
  <c r="B69" i="39"/>
  <c r="B68" i="39"/>
  <c r="B62" i="39"/>
  <c r="B61" i="39"/>
  <c r="B60" i="39"/>
  <c r="B59" i="39"/>
  <c r="B58" i="39"/>
  <c r="B57" i="39"/>
  <c r="B56" i="39"/>
  <c r="B55" i="39"/>
  <c r="B49" i="39"/>
  <c r="B48" i="39"/>
  <c r="B47" i="39"/>
  <c r="B46" i="39"/>
  <c r="B45" i="39"/>
  <c r="B44" i="39"/>
  <c r="B43" i="39"/>
  <c r="B42" i="39"/>
  <c r="B36" i="39"/>
  <c r="B35" i="39"/>
  <c r="B34" i="39"/>
  <c r="B33" i="39"/>
  <c r="B32" i="39"/>
  <c r="B31" i="39"/>
  <c r="B30" i="39"/>
  <c r="B29" i="39"/>
  <c r="B23" i="39"/>
  <c r="B22" i="39"/>
  <c r="B21" i="39"/>
  <c r="B20" i="39"/>
  <c r="B19" i="39"/>
  <c r="B18" i="39"/>
  <c r="B17" i="39"/>
  <c r="B16" i="39"/>
  <c r="B10" i="39"/>
  <c r="B9" i="39"/>
  <c r="B8" i="39"/>
  <c r="B7" i="39"/>
  <c r="B6" i="39"/>
  <c r="B5" i="39"/>
  <c r="B4" i="39"/>
  <c r="B3" i="39"/>
  <c r="O1" i="29"/>
  <c r="I1" i="29"/>
  <c r="G1" i="29"/>
  <c r="E1" i="29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S1" i="29"/>
  <c r="R1" i="29"/>
  <c r="Q1" i="29"/>
  <c r="P1" i="29"/>
  <c r="N1" i="29"/>
  <c r="M1" i="29"/>
  <c r="L1" i="29"/>
  <c r="H1" i="29"/>
  <c r="F1" i="29"/>
  <c r="D1" i="29"/>
  <c r="C1" i="29"/>
  <c r="B1" i="29"/>
  <c r="X2" i="26"/>
  <c r="W2" i="26"/>
  <c r="V2" i="26"/>
  <c r="U2" i="26"/>
  <c r="R2" i="26"/>
  <c r="P2" i="26"/>
  <c r="L2" i="26"/>
  <c r="K2" i="26"/>
  <c r="J2" i="26"/>
  <c r="O2" i="26"/>
  <c r="S14" i="29" l="1"/>
  <c r="I2" i="26"/>
  <c r="L49" i="26"/>
  <c r="K49" i="26"/>
  <c r="J49" i="26"/>
  <c r="I49" i="26"/>
  <c r="B75" i="38" l="1"/>
  <c r="B74" i="38"/>
  <c r="B73" i="38"/>
  <c r="B72" i="38"/>
  <c r="B71" i="38"/>
  <c r="B70" i="38"/>
  <c r="B69" i="38"/>
  <c r="B68" i="38"/>
  <c r="B62" i="38"/>
  <c r="B61" i="38"/>
  <c r="B60" i="38"/>
  <c r="B59" i="38"/>
  <c r="B58" i="38"/>
  <c r="B57" i="38"/>
  <c r="B56" i="38"/>
  <c r="B55" i="38"/>
  <c r="B49" i="38"/>
  <c r="B48" i="38"/>
  <c r="B47" i="38"/>
  <c r="B46" i="38"/>
  <c r="B45" i="38"/>
  <c r="B44" i="38"/>
  <c r="B43" i="38"/>
  <c r="B42" i="38"/>
  <c r="B36" i="38"/>
  <c r="B35" i="38"/>
  <c r="B34" i="38"/>
  <c r="B33" i="38"/>
  <c r="B32" i="38"/>
  <c r="B31" i="38"/>
  <c r="B30" i="38"/>
  <c r="B29" i="38"/>
  <c r="B23" i="38"/>
  <c r="B22" i="38"/>
  <c r="B21" i="38"/>
  <c r="B20" i="38"/>
  <c r="B19" i="38"/>
  <c r="B18" i="38"/>
  <c r="B17" i="38"/>
  <c r="B16" i="38"/>
  <c r="B10" i="38"/>
  <c r="B9" i="38"/>
  <c r="B8" i="38"/>
  <c r="B7" i="38"/>
  <c r="B6" i="38"/>
  <c r="B5" i="38"/>
  <c r="B4" i="38"/>
  <c r="B3" i="38"/>
  <c r="G1" i="38"/>
  <c r="F1" i="38"/>
  <c r="E1" i="38"/>
  <c r="D1" i="38"/>
  <c r="B74" i="37"/>
  <c r="B73" i="37"/>
  <c r="B72" i="37"/>
  <c r="B71" i="37"/>
  <c r="B70" i="37"/>
  <c r="B69" i="37"/>
  <c r="B68" i="37"/>
  <c r="B61" i="37"/>
  <c r="B60" i="37"/>
  <c r="B59" i="37"/>
  <c r="B58" i="37"/>
  <c r="B57" i="37"/>
  <c r="B56" i="37"/>
  <c r="B55" i="37"/>
  <c r="B48" i="37"/>
  <c r="B47" i="37"/>
  <c r="B46" i="37"/>
  <c r="B45" i="37"/>
  <c r="B44" i="37"/>
  <c r="B43" i="37"/>
  <c r="B42" i="37"/>
  <c r="B35" i="37"/>
  <c r="B34" i="37"/>
  <c r="B33" i="37"/>
  <c r="B32" i="37"/>
  <c r="B31" i="37"/>
  <c r="B30" i="37"/>
  <c r="B29" i="37"/>
  <c r="B38" i="37" s="1"/>
  <c r="B22" i="37"/>
  <c r="B21" i="37"/>
  <c r="B20" i="37"/>
  <c r="B19" i="37"/>
  <c r="B18" i="37"/>
  <c r="B17" i="37"/>
  <c r="B16" i="37"/>
  <c r="B10" i="37"/>
  <c r="B9" i="37"/>
  <c r="B8" i="37"/>
  <c r="B7" i="37"/>
  <c r="B6" i="37"/>
  <c r="B5" i="37"/>
  <c r="B4" i="37"/>
  <c r="B3" i="37"/>
  <c r="G1" i="37"/>
  <c r="F1" i="37"/>
  <c r="E1" i="37"/>
  <c r="D1" i="37"/>
  <c r="B51" i="37" l="1"/>
  <c r="B25" i="37"/>
  <c r="E1" i="36"/>
  <c r="F1" i="36"/>
  <c r="G1" i="36"/>
  <c r="B75" i="36"/>
  <c r="B74" i="36"/>
  <c r="B73" i="36"/>
  <c r="B72" i="36"/>
  <c r="B71" i="36"/>
  <c r="B70" i="36"/>
  <c r="B69" i="36"/>
  <c r="B68" i="36"/>
  <c r="B62" i="36"/>
  <c r="B61" i="36"/>
  <c r="B60" i="36"/>
  <c r="B59" i="36"/>
  <c r="B58" i="36"/>
  <c r="B57" i="36"/>
  <c r="B56" i="36"/>
  <c r="B55" i="36"/>
  <c r="B49" i="36"/>
  <c r="B48" i="36"/>
  <c r="B47" i="36"/>
  <c r="B46" i="36"/>
  <c r="B45" i="36"/>
  <c r="B44" i="36"/>
  <c r="B43" i="36"/>
  <c r="B42" i="36"/>
  <c r="B34" i="36"/>
  <c r="B33" i="36"/>
  <c r="B32" i="36"/>
  <c r="B31" i="36"/>
  <c r="B30" i="36"/>
  <c r="B29" i="36"/>
  <c r="B22" i="36"/>
  <c r="B21" i="36"/>
  <c r="B20" i="36"/>
  <c r="B19" i="36"/>
  <c r="B18" i="36"/>
  <c r="B17" i="36"/>
  <c r="B16" i="36"/>
  <c r="B23" i="36" s="1"/>
  <c r="B9" i="36"/>
  <c r="B8" i="36"/>
  <c r="B7" i="36"/>
  <c r="B6" i="36"/>
  <c r="B5" i="36"/>
  <c r="B4" i="36"/>
  <c r="B3" i="36"/>
  <c r="B10" i="36" s="1"/>
  <c r="H1" i="30"/>
  <c r="D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E49" i="26"/>
  <c r="D49" i="26"/>
  <c r="C49" i="26"/>
  <c r="B49" i="26" l="1"/>
  <c r="G1" i="30" l="1"/>
  <c r="F1" i="30"/>
  <c r="E1" i="30"/>
  <c r="F2" i="26"/>
  <c r="E2" i="26"/>
  <c r="D2" i="26"/>
  <c r="C2" i="26"/>
  <c r="T15" i="26" l="1"/>
  <c r="T16" i="26" s="1"/>
  <c r="N15" i="26"/>
  <c r="N16" i="26" s="1"/>
  <c r="H15" i="26"/>
  <c r="A15" i="26"/>
  <c r="A16" i="26" l="1"/>
  <c r="H16" i="26"/>
  <c r="D1" i="30" l="1"/>
  <c r="B75" i="30" l="1"/>
  <c r="B74" i="30"/>
  <c r="B73" i="30"/>
  <c r="B72" i="30"/>
  <c r="B71" i="30"/>
  <c r="B70" i="30"/>
  <c r="B69" i="30"/>
  <c r="B68" i="30"/>
  <c r="B61" i="30"/>
  <c r="B60" i="30"/>
  <c r="B59" i="30"/>
  <c r="B58" i="30"/>
  <c r="B57" i="30"/>
  <c r="B56" i="30"/>
  <c r="B55" i="30"/>
  <c r="B48" i="30"/>
  <c r="B47" i="30"/>
  <c r="B46" i="30"/>
  <c r="B45" i="30"/>
  <c r="B44" i="30"/>
  <c r="B43" i="30"/>
  <c r="B42" i="30"/>
  <c r="B35" i="30"/>
  <c r="B34" i="30"/>
  <c r="B33" i="30"/>
  <c r="B32" i="30"/>
  <c r="B31" i="30"/>
  <c r="B30" i="30"/>
  <c r="B29" i="30"/>
  <c r="B22" i="30"/>
  <c r="B21" i="30"/>
  <c r="B20" i="30"/>
  <c r="B19" i="30"/>
  <c r="B18" i="30"/>
  <c r="B17" i="30"/>
  <c r="B16" i="30"/>
  <c r="B62" i="30" l="1"/>
  <c r="B23" i="30"/>
  <c r="B49" i="30"/>
  <c r="B36" i="30"/>
  <c r="B51" i="30"/>
  <c r="B50" i="30"/>
  <c r="B38" i="30"/>
  <c r="B37" i="30"/>
  <c r="B63" i="30"/>
  <c r="B64" i="30"/>
  <c r="B24" i="30"/>
  <c r="B25" i="30"/>
  <c r="B76" i="30"/>
  <c r="B77" i="30"/>
  <c r="B9" i="30"/>
  <c r="B8" i="30"/>
  <c r="B7" i="30"/>
  <c r="B6" i="30"/>
  <c r="B5" i="30"/>
  <c r="B4" i="30"/>
  <c r="B3" i="30"/>
  <c r="B10" i="30" l="1"/>
  <c r="B11" i="30"/>
  <c r="B12" i="30"/>
  <c r="A57" i="26"/>
  <c r="A56" i="26"/>
  <c r="A55" i="26"/>
  <c r="A54" i="26"/>
  <c r="A53" i="26"/>
  <c r="A52" i="26"/>
  <c r="A51" i="26"/>
  <c r="A50" i="26"/>
  <c r="A13" i="26"/>
  <c r="E57" i="26" l="1"/>
  <c r="L57" i="26"/>
  <c r="D57" i="26"/>
  <c r="K57" i="26"/>
  <c r="A17" i="29"/>
  <c r="A13" i="29"/>
  <c r="A12" i="29"/>
  <c r="A11" i="29"/>
  <c r="A10" i="29"/>
  <c r="A9" i="29"/>
  <c r="A8" i="29"/>
  <c r="A7" i="29"/>
  <c r="A6" i="29"/>
  <c r="A5" i="29"/>
  <c r="A4" i="29"/>
  <c r="A3" i="29"/>
  <c r="A2" i="29"/>
  <c r="AE267" i="8"/>
  <c r="AD267" i="8"/>
  <c r="AC267" i="8"/>
  <c r="AB267" i="8"/>
  <c r="AA267" i="8"/>
  <c r="AE266" i="8"/>
  <c r="AD266" i="8"/>
  <c r="AC266" i="8"/>
  <c r="AB266" i="8"/>
  <c r="AA266" i="8"/>
  <c r="AE265" i="8"/>
  <c r="AD265" i="8"/>
  <c r="AC265" i="8"/>
  <c r="AB265" i="8"/>
  <c r="AA265" i="8"/>
  <c r="AE264" i="8"/>
  <c r="AD264" i="8"/>
  <c r="AC264" i="8"/>
  <c r="AB264" i="8"/>
  <c r="AA264" i="8"/>
  <c r="AE263" i="8"/>
  <c r="AD263" i="8"/>
  <c r="AC263" i="8"/>
  <c r="AB263" i="8"/>
  <c r="AA263" i="8"/>
  <c r="AE262" i="8"/>
  <c r="AD262" i="8"/>
  <c r="AC262" i="8"/>
  <c r="AB262" i="8"/>
  <c r="AA262" i="8"/>
  <c r="AE261" i="8"/>
  <c r="AD261" i="8"/>
  <c r="AC261" i="8"/>
  <c r="AB261" i="8"/>
  <c r="AA261" i="8"/>
  <c r="AE260" i="8"/>
  <c r="AD260" i="8"/>
  <c r="AC260" i="8"/>
  <c r="AB260" i="8"/>
  <c r="AA260" i="8"/>
  <c r="AE259" i="8"/>
  <c r="AD259" i="8"/>
  <c r="AC259" i="8"/>
  <c r="AB259" i="8"/>
  <c r="AA259" i="8"/>
  <c r="AE258" i="8"/>
  <c r="AD258" i="8"/>
  <c r="AC258" i="8"/>
  <c r="AB258" i="8"/>
  <c r="AA258" i="8"/>
  <c r="AE257" i="8"/>
  <c r="AD257" i="8"/>
  <c r="AC257" i="8"/>
  <c r="AB257" i="8"/>
  <c r="AA257" i="8"/>
  <c r="AE256" i="8"/>
  <c r="AD256" i="8"/>
  <c r="AC256" i="8"/>
  <c r="AB256" i="8"/>
  <c r="AA256" i="8"/>
  <c r="AE255" i="8"/>
  <c r="AD255" i="8"/>
  <c r="AC255" i="8"/>
  <c r="AB255" i="8"/>
  <c r="AA255" i="8"/>
  <c r="AE254" i="8"/>
  <c r="AD254" i="8"/>
  <c r="AC254" i="8"/>
  <c r="AB254" i="8"/>
  <c r="AA254" i="8"/>
  <c r="AE253" i="8"/>
  <c r="AD253" i="8"/>
  <c r="AC253" i="8"/>
  <c r="AB253" i="8"/>
  <c r="AA253" i="8"/>
  <c r="AE252" i="8"/>
  <c r="AD252" i="8"/>
  <c r="AC252" i="8"/>
  <c r="AB252" i="8"/>
  <c r="AA252" i="8"/>
  <c r="AE251" i="8"/>
  <c r="AD251" i="8"/>
  <c r="AC251" i="8"/>
  <c r="AB251" i="8"/>
  <c r="AA251" i="8"/>
  <c r="AE250" i="8"/>
  <c r="AD250" i="8"/>
  <c r="AC250" i="8"/>
  <c r="AB250" i="8"/>
  <c r="AA250" i="8"/>
  <c r="AE249" i="8"/>
  <c r="AD249" i="8"/>
  <c r="AC249" i="8"/>
  <c r="AB249" i="8"/>
  <c r="AA249" i="8"/>
  <c r="AE248" i="8"/>
  <c r="AD248" i="8"/>
  <c r="AC248" i="8"/>
  <c r="AB248" i="8"/>
  <c r="AA248" i="8"/>
  <c r="AE247" i="8"/>
  <c r="AD247" i="8"/>
  <c r="AC247" i="8"/>
  <c r="AB247" i="8"/>
  <c r="AA247" i="8"/>
  <c r="AE246" i="8"/>
  <c r="AD246" i="8"/>
  <c r="AC246" i="8"/>
  <c r="AB246" i="8"/>
  <c r="AA246" i="8"/>
  <c r="AE245" i="8"/>
  <c r="AD245" i="8"/>
  <c r="AC245" i="8"/>
  <c r="AB245" i="8"/>
  <c r="AA245" i="8"/>
  <c r="AE244" i="8"/>
  <c r="AD244" i="8"/>
  <c r="AC244" i="8"/>
  <c r="AB244" i="8"/>
  <c r="AA244" i="8"/>
  <c r="AE243" i="8"/>
  <c r="AD243" i="8"/>
  <c r="AC243" i="8"/>
  <c r="AB243" i="8"/>
  <c r="AA243" i="8"/>
  <c r="AE242" i="8"/>
  <c r="AD242" i="8"/>
  <c r="AC242" i="8"/>
  <c r="AB242" i="8"/>
  <c r="AA242" i="8"/>
  <c r="AE241" i="8"/>
  <c r="AD241" i="8"/>
  <c r="AC241" i="8"/>
  <c r="AB241" i="8"/>
  <c r="AA241" i="8"/>
  <c r="AE240" i="8"/>
  <c r="AD240" i="8"/>
  <c r="AC240" i="8"/>
  <c r="AB240" i="8"/>
  <c r="AA240" i="8"/>
  <c r="AE239" i="8"/>
  <c r="AD239" i="8"/>
  <c r="AC239" i="8"/>
  <c r="AB239" i="8"/>
  <c r="AA239" i="8"/>
  <c r="AE238" i="8"/>
  <c r="AD238" i="8"/>
  <c r="AC238" i="8"/>
  <c r="AB238" i="8"/>
  <c r="AA238" i="8"/>
  <c r="AE237" i="8"/>
  <c r="AD237" i="8"/>
  <c r="AC237" i="8"/>
  <c r="AB237" i="8"/>
  <c r="AA237" i="8"/>
  <c r="AE236" i="8"/>
  <c r="AD236" i="8"/>
  <c r="AC236" i="8"/>
  <c r="AB236" i="8"/>
  <c r="AA236" i="8"/>
  <c r="AE235" i="8"/>
  <c r="AD235" i="8"/>
  <c r="AC235" i="8"/>
  <c r="AB235" i="8"/>
  <c r="AA235" i="8"/>
  <c r="AE234" i="8"/>
  <c r="AD234" i="8"/>
  <c r="AC234" i="8"/>
  <c r="AB234" i="8"/>
  <c r="AA234" i="8"/>
  <c r="AE233" i="8"/>
  <c r="AD233" i="8"/>
  <c r="AC233" i="8"/>
  <c r="AB233" i="8"/>
  <c r="AA233" i="8"/>
  <c r="AE232" i="8"/>
  <c r="AD232" i="8"/>
  <c r="AC232" i="8"/>
  <c r="AB232" i="8"/>
  <c r="AA232" i="8"/>
  <c r="AE231" i="8"/>
  <c r="AD231" i="8"/>
  <c r="AC231" i="8"/>
  <c r="AB231" i="8"/>
  <c r="AA231" i="8"/>
  <c r="AE230" i="8"/>
  <c r="AD230" i="8"/>
  <c r="AC230" i="8"/>
  <c r="AB230" i="8"/>
  <c r="AA230" i="8"/>
  <c r="AE229" i="8"/>
  <c r="AD229" i="8"/>
  <c r="AC229" i="8"/>
  <c r="AB229" i="8"/>
  <c r="AA229" i="8"/>
  <c r="AE228" i="8"/>
  <c r="AD228" i="8"/>
  <c r="AC228" i="8"/>
  <c r="AB228" i="8"/>
  <c r="AA228" i="8"/>
  <c r="AE227" i="8"/>
  <c r="AD227" i="8"/>
  <c r="AC227" i="8"/>
  <c r="AB227" i="8"/>
  <c r="AA227" i="8"/>
  <c r="AE226" i="8"/>
  <c r="AD226" i="8"/>
  <c r="AC226" i="8"/>
  <c r="AB226" i="8"/>
  <c r="AA226" i="8"/>
  <c r="AE225" i="8"/>
  <c r="AD225" i="8"/>
  <c r="AC225" i="8"/>
  <c r="AB225" i="8"/>
  <c r="AA225" i="8"/>
  <c r="AE224" i="8"/>
  <c r="AD224" i="8"/>
  <c r="AC224" i="8"/>
  <c r="AB224" i="8"/>
  <c r="AA224" i="8"/>
  <c r="AE223" i="8"/>
  <c r="AD223" i="8"/>
  <c r="AC223" i="8"/>
  <c r="AB223" i="8"/>
  <c r="AA223" i="8"/>
  <c r="AE222" i="8"/>
  <c r="AD222" i="8"/>
  <c r="AC222" i="8"/>
  <c r="AB222" i="8"/>
  <c r="AA222" i="8"/>
  <c r="AE221" i="8"/>
  <c r="AD221" i="8"/>
  <c r="AC221" i="8"/>
  <c r="AB221" i="8"/>
  <c r="AA221" i="8"/>
  <c r="AE220" i="8"/>
  <c r="AD220" i="8"/>
  <c r="AC220" i="8"/>
  <c r="AB220" i="8"/>
  <c r="AA220" i="8"/>
  <c r="AE219" i="8"/>
  <c r="AD219" i="8"/>
  <c r="AC219" i="8"/>
  <c r="AB219" i="8"/>
  <c r="AA219" i="8"/>
  <c r="AE218" i="8"/>
  <c r="AD218" i="8"/>
  <c r="AC218" i="8"/>
  <c r="AB218" i="8"/>
  <c r="AA218" i="8"/>
  <c r="AE217" i="8"/>
  <c r="AD217" i="8"/>
  <c r="AC217" i="8"/>
  <c r="AB217" i="8"/>
  <c r="AA217" i="8"/>
  <c r="AE216" i="8"/>
  <c r="AD216" i="8"/>
  <c r="AC216" i="8"/>
  <c r="AB216" i="8"/>
  <c r="AA216" i="8"/>
  <c r="AE215" i="8"/>
  <c r="AD215" i="8"/>
  <c r="AC215" i="8"/>
  <c r="AB215" i="8"/>
  <c r="AA215" i="8"/>
  <c r="AE214" i="8"/>
  <c r="AD214" i="8"/>
  <c r="AC214" i="8"/>
  <c r="AB214" i="8"/>
  <c r="AA214" i="8"/>
  <c r="AE213" i="8"/>
  <c r="AD213" i="8"/>
  <c r="AC213" i="8"/>
  <c r="AB213" i="8"/>
  <c r="AA213" i="8"/>
  <c r="AE212" i="8"/>
  <c r="AD212" i="8"/>
  <c r="AC212" i="8"/>
  <c r="AB212" i="8"/>
  <c r="AA212" i="8"/>
  <c r="AE211" i="8"/>
  <c r="AD211" i="8"/>
  <c r="AC211" i="8"/>
  <c r="AB211" i="8"/>
  <c r="AA211" i="8"/>
  <c r="AE210" i="8"/>
  <c r="AD210" i="8"/>
  <c r="AC210" i="8"/>
  <c r="AB210" i="8"/>
  <c r="AA210" i="8"/>
  <c r="AE209" i="8"/>
  <c r="AD209" i="8"/>
  <c r="AC209" i="8"/>
  <c r="AB209" i="8"/>
  <c r="AA209" i="8"/>
  <c r="AE208" i="8"/>
  <c r="AD208" i="8"/>
  <c r="AC208" i="8"/>
  <c r="AB208" i="8"/>
  <c r="AA208" i="8"/>
  <c r="AE207" i="8"/>
  <c r="AD207" i="8"/>
  <c r="AC207" i="8"/>
  <c r="AB207" i="8"/>
  <c r="AA207" i="8"/>
  <c r="AE206" i="8"/>
  <c r="AD206" i="8"/>
  <c r="AC206" i="8"/>
  <c r="AB206" i="8"/>
  <c r="AA206" i="8"/>
  <c r="AE205" i="8"/>
  <c r="AD205" i="8"/>
  <c r="AC205" i="8"/>
  <c r="AB205" i="8"/>
  <c r="AA205" i="8"/>
  <c r="AE204" i="8"/>
  <c r="AD204" i="8"/>
  <c r="AC204" i="8"/>
  <c r="AB204" i="8"/>
  <c r="AA204" i="8"/>
  <c r="AE203" i="8"/>
  <c r="AD203" i="8"/>
  <c r="AC203" i="8"/>
  <c r="AB203" i="8"/>
  <c r="AA203" i="8"/>
  <c r="AE202" i="8"/>
  <c r="AD202" i="8"/>
  <c r="AC202" i="8"/>
  <c r="AB202" i="8"/>
  <c r="AA202" i="8"/>
  <c r="AE201" i="8"/>
  <c r="AD201" i="8"/>
  <c r="AC201" i="8"/>
  <c r="AB201" i="8"/>
  <c r="AA201" i="8"/>
  <c r="AE200" i="8"/>
  <c r="AD200" i="8"/>
  <c r="AC200" i="8"/>
  <c r="AB200" i="8"/>
  <c r="AA200" i="8"/>
  <c r="AE199" i="8"/>
  <c r="AD199" i="8"/>
  <c r="AC199" i="8"/>
  <c r="AB199" i="8"/>
  <c r="AA199" i="8"/>
  <c r="AE198" i="8"/>
  <c r="AD198" i="8"/>
  <c r="AC198" i="8"/>
  <c r="AB198" i="8"/>
  <c r="AA198" i="8"/>
  <c r="AE197" i="8"/>
  <c r="AD197" i="8"/>
  <c r="AC197" i="8"/>
  <c r="AB197" i="8"/>
  <c r="AA197" i="8"/>
  <c r="AE196" i="8"/>
  <c r="AD196" i="8"/>
  <c r="AC196" i="8"/>
  <c r="AB196" i="8"/>
  <c r="AA196" i="8"/>
  <c r="AE195" i="8"/>
  <c r="AD195" i="8"/>
  <c r="AC195" i="8"/>
  <c r="AB195" i="8"/>
  <c r="AA195" i="8"/>
  <c r="AE194" i="8"/>
  <c r="AD194" i="8"/>
  <c r="AC194" i="8"/>
  <c r="AB194" i="8"/>
  <c r="AA194" i="8"/>
  <c r="AE193" i="8"/>
  <c r="AD193" i="8"/>
  <c r="AC193" i="8"/>
  <c r="AB193" i="8"/>
  <c r="AA193" i="8"/>
  <c r="AE192" i="8"/>
  <c r="AD192" i="8"/>
  <c r="AC192" i="8"/>
  <c r="AB192" i="8"/>
  <c r="AA192" i="8"/>
  <c r="AE191" i="8"/>
  <c r="AD191" i="8"/>
  <c r="AC191" i="8"/>
  <c r="AB191" i="8"/>
  <c r="AA191" i="8"/>
  <c r="AE190" i="8"/>
  <c r="AD190" i="8"/>
  <c r="AC190" i="8"/>
  <c r="AB190" i="8"/>
  <c r="AA190" i="8"/>
  <c r="AE189" i="8"/>
  <c r="AD189" i="8"/>
  <c r="AC189" i="8"/>
  <c r="AB189" i="8"/>
  <c r="AA189" i="8"/>
  <c r="AE188" i="8"/>
  <c r="AD188" i="8"/>
  <c r="AC188" i="8"/>
  <c r="AB188" i="8"/>
  <c r="AA188" i="8"/>
  <c r="AE187" i="8"/>
  <c r="AD187" i="8"/>
  <c r="AC187" i="8"/>
  <c r="AB187" i="8"/>
  <c r="AA187" i="8"/>
  <c r="AE186" i="8"/>
  <c r="AD186" i="8"/>
  <c r="AC186" i="8"/>
  <c r="AB186" i="8"/>
  <c r="AA186" i="8"/>
  <c r="AE185" i="8"/>
  <c r="AD185" i="8"/>
  <c r="AC185" i="8"/>
  <c r="AB185" i="8"/>
  <c r="AA185" i="8"/>
  <c r="AE184" i="8"/>
  <c r="AD184" i="8"/>
  <c r="AC184" i="8"/>
  <c r="AB184" i="8"/>
  <c r="AA184" i="8"/>
  <c r="AE183" i="8"/>
  <c r="AD183" i="8"/>
  <c r="AC183" i="8"/>
  <c r="AB183" i="8"/>
  <c r="AA183" i="8"/>
  <c r="AE182" i="8"/>
  <c r="AD182" i="8"/>
  <c r="AC182" i="8"/>
  <c r="AB182" i="8"/>
  <c r="AA182" i="8"/>
  <c r="AE181" i="8"/>
  <c r="AD181" i="8"/>
  <c r="AC181" i="8"/>
  <c r="AB181" i="8"/>
  <c r="AA181" i="8"/>
  <c r="AE180" i="8"/>
  <c r="AD180" i="8"/>
  <c r="AC180" i="8"/>
  <c r="AB180" i="8"/>
  <c r="AA180" i="8"/>
  <c r="AE179" i="8"/>
  <c r="AD179" i="8"/>
  <c r="AC179" i="8"/>
  <c r="AB179" i="8"/>
  <c r="AA179" i="8"/>
  <c r="AE178" i="8"/>
  <c r="AD178" i="8"/>
  <c r="AC178" i="8"/>
  <c r="AB178" i="8"/>
  <c r="AA178" i="8"/>
  <c r="AE177" i="8"/>
  <c r="AD177" i="8"/>
  <c r="AC177" i="8"/>
  <c r="AB177" i="8"/>
  <c r="AA177" i="8"/>
  <c r="AE176" i="8"/>
  <c r="AD176" i="8"/>
  <c r="AC176" i="8"/>
  <c r="AB176" i="8"/>
  <c r="AA176" i="8"/>
  <c r="AE175" i="8"/>
  <c r="AD175" i="8"/>
  <c r="AC175" i="8"/>
  <c r="AB175" i="8"/>
  <c r="AA175" i="8"/>
  <c r="AE174" i="8"/>
  <c r="AD174" i="8"/>
  <c r="AC174" i="8"/>
  <c r="AB174" i="8"/>
  <c r="AA174" i="8"/>
  <c r="AE173" i="8"/>
  <c r="AD173" i="8"/>
  <c r="AC173" i="8"/>
  <c r="AB173" i="8"/>
  <c r="AA173" i="8"/>
  <c r="AE172" i="8"/>
  <c r="AD172" i="8"/>
  <c r="AC172" i="8"/>
  <c r="AB172" i="8"/>
  <c r="AA172" i="8"/>
  <c r="AE171" i="8"/>
  <c r="AD171" i="8"/>
  <c r="AC171" i="8"/>
  <c r="AB171" i="8"/>
  <c r="AA171" i="8"/>
  <c r="AE170" i="8"/>
  <c r="AD170" i="8"/>
  <c r="AC170" i="8"/>
  <c r="AB170" i="8"/>
  <c r="AA170" i="8"/>
  <c r="AE169" i="8"/>
  <c r="AD169" i="8"/>
  <c r="AC169" i="8"/>
  <c r="AB169" i="8"/>
  <c r="AA169" i="8"/>
  <c r="AE168" i="8"/>
  <c r="AD168" i="8"/>
  <c r="AC168" i="8"/>
  <c r="AB168" i="8"/>
  <c r="AA168" i="8"/>
  <c r="AE167" i="8"/>
  <c r="AD167" i="8"/>
  <c r="AC167" i="8"/>
  <c r="AB167" i="8"/>
  <c r="AA167" i="8"/>
  <c r="AE166" i="8"/>
  <c r="AD166" i="8"/>
  <c r="AC166" i="8"/>
  <c r="AB166" i="8"/>
  <c r="AA166" i="8"/>
  <c r="AE165" i="8"/>
  <c r="AD165" i="8"/>
  <c r="AC165" i="8"/>
  <c r="AB165" i="8"/>
  <c r="AA165" i="8"/>
  <c r="AE164" i="8"/>
  <c r="AD164" i="8"/>
  <c r="AC164" i="8"/>
  <c r="AB164" i="8"/>
  <c r="AA164" i="8"/>
  <c r="AE163" i="8"/>
  <c r="AD163" i="8"/>
  <c r="AC163" i="8"/>
  <c r="AB163" i="8"/>
  <c r="AA163" i="8"/>
  <c r="AE162" i="8"/>
  <c r="AD162" i="8"/>
  <c r="AC162" i="8"/>
  <c r="AB162" i="8"/>
  <c r="AA162" i="8"/>
  <c r="AE161" i="8"/>
  <c r="AD161" i="8"/>
  <c r="AC161" i="8"/>
  <c r="AB161" i="8"/>
  <c r="AA161" i="8"/>
  <c r="AE160" i="8"/>
  <c r="AD160" i="8"/>
  <c r="AC160" i="8"/>
  <c r="AB160" i="8"/>
  <c r="AA160" i="8"/>
  <c r="AE159" i="8"/>
  <c r="AD159" i="8"/>
  <c r="AC159" i="8"/>
  <c r="AB159" i="8"/>
  <c r="AA159" i="8"/>
  <c r="AE158" i="8"/>
  <c r="AD158" i="8"/>
  <c r="AC158" i="8"/>
  <c r="AB158" i="8"/>
  <c r="AA158" i="8"/>
  <c r="AE157" i="8"/>
  <c r="AD157" i="8"/>
  <c r="AC157" i="8"/>
  <c r="AB157" i="8"/>
  <c r="AA157" i="8"/>
  <c r="AE156" i="8"/>
  <c r="AD156" i="8"/>
  <c r="AC156" i="8"/>
  <c r="AB156" i="8"/>
  <c r="AA156" i="8"/>
  <c r="AE155" i="8"/>
  <c r="AD155" i="8"/>
  <c r="AC155" i="8"/>
  <c r="AB155" i="8"/>
  <c r="AA155" i="8"/>
  <c r="AE154" i="8"/>
  <c r="AD154" i="8"/>
  <c r="AC154" i="8"/>
  <c r="AB154" i="8"/>
  <c r="AA154" i="8"/>
  <c r="AE153" i="8"/>
  <c r="AD153" i="8"/>
  <c r="AC153" i="8"/>
  <c r="AB153" i="8"/>
  <c r="AA153" i="8"/>
  <c r="AE152" i="8"/>
  <c r="AD152" i="8"/>
  <c r="AC152" i="8"/>
  <c r="AB152" i="8"/>
  <c r="AA152" i="8"/>
  <c r="AE151" i="8"/>
  <c r="AD151" i="8"/>
  <c r="AC151" i="8"/>
  <c r="AB151" i="8"/>
  <c r="AA151" i="8"/>
  <c r="AE150" i="8"/>
  <c r="AD150" i="8"/>
  <c r="AC150" i="8"/>
  <c r="AB150" i="8"/>
  <c r="AA150" i="8"/>
  <c r="AE149" i="8"/>
  <c r="AD149" i="8"/>
  <c r="AC149" i="8"/>
  <c r="AB149" i="8"/>
  <c r="AA149" i="8"/>
  <c r="AE148" i="8"/>
  <c r="AD148" i="8"/>
  <c r="AC148" i="8"/>
  <c r="AB148" i="8"/>
  <c r="AA148" i="8"/>
  <c r="AE147" i="8"/>
  <c r="AD147" i="8"/>
  <c r="AC147" i="8"/>
  <c r="AB147" i="8"/>
  <c r="AA147" i="8"/>
  <c r="AE146" i="8"/>
  <c r="AD146" i="8"/>
  <c r="AC146" i="8"/>
  <c r="AB146" i="8"/>
  <c r="AA146" i="8"/>
  <c r="AE145" i="8"/>
  <c r="AD145" i="8"/>
  <c r="AC145" i="8"/>
  <c r="AB145" i="8"/>
  <c r="AA145" i="8"/>
  <c r="AE144" i="8"/>
  <c r="AD144" i="8"/>
  <c r="AC144" i="8"/>
  <c r="AB144" i="8"/>
  <c r="AA144" i="8"/>
  <c r="AE143" i="8"/>
  <c r="AD143" i="8"/>
  <c r="AC143" i="8"/>
  <c r="AB143" i="8"/>
  <c r="AA143" i="8"/>
  <c r="AE142" i="8"/>
  <c r="AD142" i="8"/>
  <c r="AC142" i="8"/>
  <c r="AB142" i="8"/>
  <c r="AA142" i="8"/>
  <c r="AE141" i="8"/>
  <c r="AD141" i="8"/>
  <c r="AC141" i="8"/>
  <c r="AB141" i="8"/>
  <c r="AA141" i="8"/>
  <c r="AE140" i="8"/>
  <c r="AD140" i="8"/>
  <c r="AC140" i="8"/>
  <c r="AB140" i="8"/>
  <c r="AA140" i="8"/>
  <c r="AE139" i="8"/>
  <c r="AD139" i="8"/>
  <c r="AC139" i="8"/>
  <c r="AB139" i="8"/>
  <c r="AA139" i="8"/>
  <c r="AE138" i="8"/>
  <c r="AD138" i="8"/>
  <c r="AC138" i="8"/>
  <c r="AB138" i="8"/>
  <c r="AA138" i="8"/>
  <c r="AE137" i="8"/>
  <c r="AD137" i="8"/>
  <c r="AC137" i="8"/>
  <c r="AB137" i="8"/>
  <c r="AA137" i="8"/>
  <c r="AE136" i="8"/>
  <c r="AD136" i="8"/>
  <c r="AC136" i="8"/>
  <c r="AB136" i="8"/>
  <c r="AA136" i="8"/>
  <c r="AE135" i="8"/>
  <c r="AD135" i="8"/>
  <c r="AC135" i="8"/>
  <c r="AB135" i="8"/>
  <c r="AA135" i="8"/>
  <c r="AE134" i="8"/>
  <c r="AD134" i="8"/>
  <c r="AC134" i="8"/>
  <c r="AB134" i="8"/>
  <c r="AA134" i="8"/>
  <c r="AE133" i="8"/>
  <c r="AD133" i="8"/>
  <c r="AC133" i="8"/>
  <c r="AB133" i="8"/>
  <c r="AA133" i="8"/>
  <c r="AE132" i="8"/>
  <c r="AD132" i="8"/>
  <c r="AC132" i="8"/>
  <c r="AB132" i="8"/>
  <c r="AA132" i="8"/>
  <c r="AE131" i="8"/>
  <c r="AD131" i="8"/>
  <c r="AC131" i="8"/>
  <c r="AB131" i="8"/>
  <c r="AA131" i="8"/>
  <c r="AE130" i="8"/>
  <c r="AD130" i="8"/>
  <c r="AC130" i="8"/>
  <c r="AB130" i="8"/>
  <c r="AA130" i="8"/>
  <c r="AE129" i="8"/>
  <c r="AD129" i="8"/>
  <c r="AC129" i="8"/>
  <c r="AB129" i="8"/>
  <c r="AA129" i="8"/>
  <c r="AE128" i="8"/>
  <c r="AD128" i="8"/>
  <c r="AC128" i="8"/>
  <c r="AB128" i="8"/>
  <c r="AA128" i="8"/>
  <c r="AE127" i="8"/>
  <c r="AD127" i="8"/>
  <c r="AC127" i="8"/>
  <c r="AB127" i="8"/>
  <c r="AA127" i="8"/>
  <c r="AE126" i="8"/>
  <c r="AD126" i="8"/>
  <c r="AC126" i="8"/>
  <c r="AB126" i="8"/>
  <c r="AA126" i="8"/>
  <c r="AE125" i="8"/>
  <c r="AD125" i="8"/>
  <c r="AC125" i="8"/>
  <c r="AB125" i="8"/>
  <c r="AA125" i="8"/>
  <c r="AE124" i="8"/>
  <c r="AD124" i="8"/>
  <c r="AC124" i="8"/>
  <c r="AB124" i="8"/>
  <c r="AA124" i="8"/>
  <c r="AE123" i="8"/>
  <c r="AD123" i="8"/>
  <c r="AC123" i="8"/>
  <c r="AB123" i="8"/>
  <c r="AA123" i="8"/>
  <c r="AE122" i="8"/>
  <c r="AD122" i="8"/>
  <c r="AC122" i="8"/>
  <c r="AB122" i="8"/>
  <c r="AA122" i="8"/>
  <c r="AE121" i="8"/>
  <c r="AD121" i="8"/>
  <c r="AC121" i="8"/>
  <c r="AB121" i="8"/>
  <c r="AA121" i="8"/>
  <c r="AE120" i="8"/>
  <c r="AD120" i="8"/>
  <c r="AC120" i="8"/>
  <c r="AB120" i="8"/>
  <c r="AA120" i="8"/>
  <c r="AE119" i="8"/>
  <c r="AD119" i="8"/>
  <c r="AC119" i="8"/>
  <c r="AB119" i="8"/>
  <c r="AA119" i="8"/>
  <c r="AE118" i="8"/>
  <c r="AD118" i="8"/>
  <c r="AC118" i="8"/>
  <c r="AB118" i="8"/>
  <c r="AA118" i="8"/>
  <c r="AE117" i="8"/>
  <c r="AD117" i="8"/>
  <c r="AC117" i="8"/>
  <c r="AB117" i="8"/>
  <c r="AA117" i="8"/>
  <c r="AE116" i="8"/>
  <c r="AD116" i="8"/>
  <c r="AC116" i="8"/>
  <c r="AB116" i="8"/>
  <c r="AA116" i="8"/>
  <c r="AE115" i="8"/>
  <c r="AD115" i="8"/>
  <c r="AC115" i="8"/>
  <c r="AB115" i="8"/>
  <c r="AA115" i="8"/>
  <c r="AE114" i="8"/>
  <c r="AD114" i="8"/>
  <c r="AC114" i="8"/>
  <c r="AB114" i="8"/>
  <c r="AA114" i="8"/>
  <c r="AE113" i="8"/>
  <c r="AD113" i="8"/>
  <c r="AC113" i="8"/>
  <c r="AB113" i="8"/>
  <c r="AA113" i="8"/>
  <c r="AE112" i="8"/>
  <c r="AD112" i="8"/>
  <c r="AC112" i="8"/>
  <c r="AB112" i="8"/>
  <c r="AA112" i="8"/>
  <c r="AE111" i="8"/>
  <c r="AD111" i="8"/>
  <c r="AC111" i="8"/>
  <c r="AB111" i="8"/>
  <c r="AA111" i="8"/>
  <c r="AE110" i="8"/>
  <c r="AD110" i="8"/>
  <c r="AC110" i="8"/>
  <c r="AB110" i="8"/>
  <c r="AA110" i="8"/>
  <c r="AE109" i="8"/>
  <c r="AD109" i="8"/>
  <c r="AC109" i="8"/>
  <c r="AB109" i="8"/>
  <c r="AA109" i="8"/>
  <c r="AE108" i="8"/>
  <c r="AD108" i="8"/>
  <c r="AC108" i="8"/>
  <c r="AB108" i="8"/>
  <c r="AA108" i="8"/>
  <c r="AE107" i="8"/>
  <c r="AD107" i="8"/>
  <c r="AC107" i="8"/>
  <c r="AB107" i="8"/>
  <c r="AA107" i="8"/>
  <c r="AE106" i="8"/>
  <c r="AD106" i="8"/>
  <c r="AC106" i="8"/>
  <c r="AB106" i="8"/>
  <c r="AA106" i="8"/>
  <c r="AE105" i="8"/>
  <c r="AD105" i="8"/>
  <c r="AC105" i="8"/>
  <c r="AB105" i="8"/>
  <c r="AA105" i="8"/>
  <c r="AE104" i="8"/>
  <c r="AD104" i="8"/>
  <c r="AC104" i="8"/>
  <c r="AB104" i="8"/>
  <c r="AA104" i="8"/>
  <c r="AE103" i="8"/>
  <c r="AD103" i="8"/>
  <c r="AC103" i="8"/>
  <c r="AB103" i="8"/>
  <c r="AA103" i="8"/>
  <c r="AE102" i="8"/>
  <c r="AD102" i="8"/>
  <c r="AC102" i="8"/>
  <c r="AB102" i="8"/>
  <c r="AA102" i="8"/>
  <c r="AE101" i="8"/>
  <c r="AD101" i="8"/>
  <c r="AC101" i="8"/>
  <c r="AB101" i="8"/>
  <c r="AA101" i="8"/>
  <c r="AE100" i="8"/>
  <c r="AD100" i="8"/>
  <c r="AC100" i="8"/>
  <c r="AB100" i="8"/>
  <c r="AA100" i="8"/>
  <c r="AE99" i="8"/>
  <c r="AD99" i="8"/>
  <c r="AC99" i="8"/>
  <c r="AB99" i="8"/>
  <c r="AA99" i="8"/>
  <c r="AE98" i="8"/>
  <c r="AD98" i="8"/>
  <c r="AC98" i="8"/>
  <c r="AB98" i="8"/>
  <c r="AA98" i="8"/>
  <c r="AE97" i="8"/>
  <c r="AD97" i="8"/>
  <c r="AC97" i="8"/>
  <c r="AB97" i="8"/>
  <c r="AA97" i="8"/>
  <c r="AE96" i="8"/>
  <c r="AD96" i="8"/>
  <c r="AC96" i="8"/>
  <c r="AB96" i="8"/>
  <c r="AA96" i="8"/>
  <c r="AE95" i="8"/>
  <c r="AD95" i="8"/>
  <c r="AC95" i="8"/>
  <c r="AB95" i="8"/>
  <c r="AA95" i="8"/>
  <c r="AE94" i="8"/>
  <c r="AD94" i="8"/>
  <c r="AC94" i="8"/>
  <c r="AB94" i="8"/>
  <c r="AA94" i="8"/>
  <c r="AE93" i="8"/>
  <c r="AD93" i="8"/>
  <c r="AC93" i="8"/>
  <c r="AB93" i="8"/>
  <c r="AA93" i="8"/>
  <c r="AE92" i="8"/>
  <c r="AD92" i="8"/>
  <c r="AC92" i="8"/>
  <c r="AB92" i="8"/>
  <c r="AA92" i="8"/>
  <c r="AE91" i="8"/>
  <c r="AD91" i="8"/>
  <c r="AC91" i="8"/>
  <c r="AB91" i="8"/>
  <c r="AA91" i="8"/>
  <c r="AE90" i="8"/>
  <c r="AD90" i="8"/>
  <c r="AC90" i="8"/>
  <c r="AB90" i="8"/>
  <c r="AA90" i="8"/>
  <c r="AE89" i="8"/>
  <c r="AD89" i="8"/>
  <c r="AC89" i="8"/>
  <c r="AB89" i="8"/>
  <c r="AA89" i="8"/>
  <c r="AE88" i="8"/>
  <c r="AD88" i="8"/>
  <c r="AC88" i="8"/>
  <c r="AB88" i="8"/>
  <c r="AA88" i="8"/>
  <c r="AE87" i="8"/>
  <c r="AD87" i="8"/>
  <c r="AC87" i="8"/>
  <c r="AB87" i="8"/>
  <c r="AA87" i="8"/>
  <c r="AE86" i="8"/>
  <c r="AD86" i="8"/>
  <c r="AC86" i="8"/>
  <c r="AB86" i="8"/>
  <c r="AA86" i="8"/>
  <c r="AE85" i="8"/>
  <c r="AD85" i="8"/>
  <c r="AC85" i="8"/>
  <c r="AB85" i="8"/>
  <c r="AA85" i="8"/>
  <c r="AE84" i="8"/>
  <c r="AD84" i="8"/>
  <c r="AC84" i="8"/>
  <c r="AB84" i="8"/>
  <c r="AA84" i="8"/>
  <c r="AE83" i="8"/>
  <c r="AD83" i="8"/>
  <c r="AC83" i="8"/>
  <c r="AB83" i="8"/>
  <c r="AA83" i="8"/>
  <c r="AE82" i="8"/>
  <c r="AD82" i="8"/>
  <c r="AC82" i="8"/>
  <c r="AB82" i="8"/>
  <c r="AA82" i="8"/>
  <c r="AE81" i="8"/>
  <c r="AD81" i="8"/>
  <c r="AC81" i="8"/>
  <c r="AB81" i="8"/>
  <c r="AA81" i="8"/>
  <c r="AE80" i="8"/>
  <c r="AD80" i="8"/>
  <c r="AC80" i="8"/>
  <c r="AB80" i="8"/>
  <c r="AA80" i="8"/>
  <c r="AE79" i="8"/>
  <c r="AD79" i="8"/>
  <c r="AC79" i="8"/>
  <c r="AB79" i="8"/>
  <c r="AA79" i="8"/>
  <c r="AE78" i="8"/>
  <c r="AD78" i="8"/>
  <c r="AC78" i="8"/>
  <c r="AB78" i="8"/>
  <c r="AA78" i="8"/>
  <c r="AE77" i="8"/>
  <c r="AD77" i="8"/>
  <c r="AC77" i="8"/>
  <c r="AB77" i="8"/>
  <c r="AA77" i="8"/>
  <c r="AE76" i="8"/>
  <c r="AD76" i="8"/>
  <c r="AC76" i="8"/>
  <c r="AB76" i="8"/>
  <c r="AA76" i="8"/>
  <c r="AE75" i="8"/>
  <c r="AD75" i="8"/>
  <c r="AC75" i="8"/>
  <c r="AB75" i="8"/>
  <c r="AA75" i="8"/>
  <c r="AE74" i="8"/>
  <c r="AD74" i="8"/>
  <c r="AC74" i="8"/>
  <c r="AB74" i="8"/>
  <c r="AA74" i="8"/>
  <c r="AE73" i="8"/>
  <c r="AD73" i="8"/>
  <c r="AC73" i="8"/>
  <c r="AB73" i="8"/>
  <c r="AA73" i="8"/>
  <c r="AE72" i="8"/>
  <c r="AD72" i="8"/>
  <c r="AC72" i="8"/>
  <c r="AB72" i="8"/>
  <c r="AA72" i="8"/>
  <c r="AE71" i="8"/>
  <c r="AD71" i="8"/>
  <c r="AC71" i="8"/>
  <c r="AB71" i="8"/>
  <c r="AA71" i="8"/>
  <c r="AE70" i="8"/>
  <c r="AD70" i="8"/>
  <c r="AC70" i="8"/>
  <c r="AB70" i="8"/>
  <c r="AA70" i="8"/>
  <c r="AE69" i="8"/>
  <c r="AD69" i="8"/>
  <c r="AC69" i="8"/>
  <c r="AB69" i="8"/>
  <c r="AA69" i="8"/>
  <c r="AE68" i="8"/>
  <c r="AD68" i="8"/>
  <c r="AC68" i="8"/>
  <c r="AB68" i="8"/>
  <c r="AA68" i="8"/>
  <c r="AE67" i="8"/>
  <c r="AD67" i="8"/>
  <c r="AC67" i="8"/>
  <c r="AB67" i="8"/>
  <c r="AA67" i="8"/>
  <c r="AE66" i="8"/>
  <c r="AD66" i="8"/>
  <c r="AC66" i="8"/>
  <c r="AB66" i="8"/>
  <c r="AA66" i="8"/>
  <c r="AE65" i="8"/>
  <c r="AD65" i="8"/>
  <c r="AC65" i="8"/>
  <c r="AB65" i="8"/>
  <c r="AA65" i="8"/>
  <c r="AE64" i="8"/>
  <c r="AD64" i="8"/>
  <c r="AC64" i="8"/>
  <c r="AB64" i="8"/>
  <c r="AA64" i="8"/>
  <c r="AE63" i="8"/>
  <c r="AD63" i="8"/>
  <c r="AC63" i="8"/>
  <c r="AB63" i="8"/>
  <c r="AA63" i="8"/>
  <c r="AE62" i="8"/>
  <c r="AD62" i="8"/>
  <c r="AC62" i="8"/>
  <c r="AB62" i="8"/>
  <c r="AA62" i="8"/>
  <c r="AE61" i="8"/>
  <c r="AD61" i="8"/>
  <c r="AC61" i="8"/>
  <c r="AB61" i="8"/>
  <c r="AA61" i="8"/>
  <c r="AE60" i="8"/>
  <c r="AD60" i="8"/>
  <c r="AC60" i="8"/>
  <c r="AB60" i="8"/>
  <c r="AA60" i="8"/>
  <c r="AE59" i="8"/>
  <c r="AD59" i="8"/>
  <c r="AC59" i="8"/>
  <c r="AB59" i="8"/>
  <c r="AA59" i="8"/>
  <c r="AE58" i="8"/>
  <c r="AD58" i="8"/>
  <c r="AC58" i="8"/>
  <c r="AB58" i="8"/>
  <c r="AA58" i="8"/>
  <c r="AE57" i="8"/>
  <c r="AD57" i="8"/>
  <c r="AC57" i="8"/>
  <c r="AB57" i="8"/>
  <c r="AA57" i="8"/>
  <c r="AE56" i="8"/>
  <c r="AD56" i="8"/>
  <c r="AC56" i="8"/>
  <c r="AB56" i="8"/>
  <c r="AA56" i="8"/>
  <c r="AE55" i="8"/>
  <c r="AD55" i="8"/>
  <c r="AC55" i="8"/>
  <c r="AB55" i="8"/>
  <c r="AA55" i="8"/>
  <c r="AE54" i="8"/>
  <c r="AD54" i="8"/>
  <c r="AC54" i="8"/>
  <c r="AB54" i="8"/>
  <c r="AA54" i="8"/>
  <c r="AE53" i="8"/>
  <c r="AD53" i="8"/>
  <c r="AC53" i="8"/>
  <c r="AB53" i="8"/>
  <c r="AA53" i="8"/>
  <c r="AE52" i="8"/>
  <c r="AD52" i="8"/>
  <c r="AC52" i="8"/>
  <c r="AB52" i="8"/>
  <c r="AA52" i="8"/>
  <c r="AE51" i="8"/>
  <c r="AD51" i="8"/>
  <c r="AC51" i="8"/>
  <c r="AB51" i="8"/>
  <c r="AA51" i="8"/>
  <c r="AE50" i="8"/>
  <c r="AD50" i="8"/>
  <c r="AC50" i="8"/>
  <c r="AB50" i="8"/>
  <c r="AA50" i="8"/>
  <c r="AE49" i="8"/>
  <c r="AD49" i="8"/>
  <c r="AC49" i="8"/>
  <c r="AB49" i="8"/>
  <c r="AA49" i="8"/>
  <c r="AE48" i="8"/>
  <c r="AD48" i="8"/>
  <c r="AC48" i="8"/>
  <c r="AB48" i="8"/>
  <c r="AA48" i="8"/>
  <c r="AE47" i="8"/>
  <c r="AD47" i="8"/>
  <c r="AC47" i="8"/>
  <c r="AB47" i="8"/>
  <c r="AA47" i="8"/>
  <c r="AE46" i="8"/>
  <c r="AD46" i="8"/>
  <c r="AC46" i="8"/>
  <c r="AB46" i="8"/>
  <c r="AA46" i="8"/>
  <c r="AE45" i="8"/>
  <c r="AD45" i="8"/>
  <c r="AC45" i="8"/>
  <c r="AB45" i="8"/>
  <c r="AA45" i="8"/>
  <c r="AE44" i="8"/>
  <c r="AD44" i="8"/>
  <c r="AC44" i="8"/>
  <c r="AB44" i="8"/>
  <c r="AA44" i="8"/>
  <c r="AE43" i="8"/>
  <c r="AD43" i="8"/>
  <c r="AC43" i="8"/>
  <c r="AB43" i="8"/>
  <c r="AA43" i="8"/>
  <c r="AE42" i="8"/>
  <c r="AD42" i="8"/>
  <c r="AC42" i="8"/>
  <c r="AB42" i="8"/>
  <c r="AA42" i="8"/>
  <c r="AE41" i="8"/>
  <c r="AD41" i="8"/>
  <c r="AC41" i="8"/>
  <c r="AB41" i="8"/>
  <c r="AA41" i="8"/>
  <c r="AE40" i="8"/>
  <c r="AD40" i="8"/>
  <c r="AC40" i="8"/>
  <c r="AB40" i="8"/>
  <c r="AA40" i="8"/>
  <c r="AE39" i="8"/>
  <c r="AD39" i="8"/>
  <c r="AC39" i="8"/>
  <c r="AB39" i="8"/>
  <c r="AA39" i="8"/>
  <c r="AE38" i="8"/>
  <c r="AD38" i="8"/>
  <c r="AC38" i="8"/>
  <c r="AB38" i="8"/>
  <c r="AA38" i="8"/>
  <c r="AE37" i="8"/>
  <c r="AD37" i="8"/>
  <c r="AC37" i="8"/>
  <c r="AB37" i="8"/>
  <c r="AA37" i="8"/>
  <c r="AE36" i="8"/>
  <c r="AD36" i="8"/>
  <c r="AC36" i="8"/>
  <c r="AB36" i="8"/>
  <c r="AA36" i="8"/>
  <c r="AE35" i="8"/>
  <c r="AD35" i="8"/>
  <c r="AC35" i="8"/>
  <c r="AB35" i="8"/>
  <c r="AA35" i="8"/>
  <c r="AE34" i="8"/>
  <c r="AD34" i="8"/>
  <c r="AC34" i="8"/>
  <c r="AB34" i="8"/>
  <c r="AA34" i="8"/>
  <c r="AE33" i="8"/>
  <c r="AD33" i="8"/>
  <c r="AC33" i="8"/>
  <c r="AB33" i="8"/>
  <c r="AA33" i="8"/>
  <c r="AE32" i="8"/>
  <c r="AD32" i="8"/>
  <c r="AC32" i="8"/>
  <c r="AB32" i="8"/>
  <c r="AA32" i="8"/>
  <c r="AE31" i="8"/>
  <c r="AD31" i="8"/>
  <c r="AC31" i="8"/>
  <c r="AB31" i="8"/>
  <c r="AA31" i="8"/>
  <c r="AE30" i="8"/>
  <c r="AD30" i="8"/>
  <c r="AC30" i="8"/>
  <c r="AB30" i="8"/>
  <c r="AA30" i="8"/>
  <c r="AE29" i="8"/>
  <c r="AD29" i="8"/>
  <c r="AC29" i="8"/>
  <c r="AB29" i="8"/>
  <c r="AA29" i="8"/>
  <c r="AE28" i="8"/>
  <c r="AD28" i="8"/>
  <c r="AC28" i="8"/>
  <c r="AB28" i="8"/>
  <c r="AA28" i="8"/>
  <c r="AE27" i="8"/>
  <c r="AD27" i="8"/>
  <c r="AC27" i="8"/>
  <c r="AB27" i="8"/>
  <c r="AA27" i="8"/>
  <c r="AE26" i="8"/>
  <c r="AD26" i="8"/>
  <c r="AC26" i="8"/>
  <c r="AB26" i="8"/>
  <c r="AA26" i="8"/>
  <c r="AE25" i="8"/>
  <c r="AD25" i="8"/>
  <c r="AC25" i="8"/>
  <c r="AB25" i="8"/>
  <c r="AA25" i="8"/>
  <c r="AE24" i="8"/>
  <c r="AD24" i="8"/>
  <c r="AC24" i="8"/>
  <c r="AB24" i="8"/>
  <c r="AA24" i="8"/>
  <c r="AE23" i="8"/>
  <c r="AD23" i="8"/>
  <c r="AC23" i="8"/>
  <c r="AB23" i="8"/>
  <c r="AA23" i="8"/>
  <c r="AE22" i="8"/>
  <c r="AD22" i="8"/>
  <c r="AC22" i="8"/>
  <c r="AB22" i="8"/>
  <c r="AA22" i="8"/>
  <c r="AE21" i="8"/>
  <c r="AD21" i="8"/>
  <c r="AC21" i="8"/>
  <c r="AB21" i="8"/>
  <c r="AA21" i="8"/>
  <c r="AE20" i="8"/>
  <c r="AD20" i="8"/>
  <c r="AC20" i="8"/>
  <c r="AB20" i="8"/>
  <c r="AA20" i="8"/>
  <c r="AE19" i="8"/>
  <c r="AD19" i="8"/>
  <c r="AC19" i="8"/>
  <c r="AB19" i="8"/>
  <c r="AA19" i="8"/>
  <c r="AE18" i="8"/>
  <c r="AD18" i="8"/>
  <c r="AC18" i="8"/>
  <c r="AB18" i="8"/>
  <c r="AA18" i="8"/>
  <c r="AE17" i="8"/>
  <c r="AD17" i="8"/>
  <c r="AC17" i="8"/>
  <c r="AB17" i="8"/>
  <c r="AA17" i="8"/>
  <c r="AE16" i="8"/>
  <c r="AD16" i="8"/>
  <c r="AC16" i="8"/>
  <c r="AB16" i="8"/>
  <c r="AA16" i="8"/>
  <c r="AE15" i="8"/>
  <c r="AD15" i="8"/>
  <c r="AC15" i="8"/>
  <c r="AB15" i="8"/>
  <c r="AA15" i="8"/>
  <c r="AE14" i="8"/>
  <c r="AD14" i="8"/>
  <c r="AC14" i="8"/>
  <c r="AB14" i="8"/>
  <c r="AA14" i="8"/>
  <c r="AE13" i="8"/>
  <c r="AD13" i="8"/>
  <c r="AC13" i="8"/>
  <c r="AB13" i="8"/>
  <c r="AA13" i="8"/>
  <c r="AE12" i="8"/>
  <c r="AD12" i="8"/>
  <c r="AC12" i="8"/>
  <c r="AB12" i="8"/>
  <c r="AA12" i="8"/>
  <c r="AE11" i="8"/>
  <c r="AD11" i="8"/>
  <c r="AC11" i="8"/>
  <c r="AB11" i="8"/>
  <c r="AA11" i="8"/>
  <c r="AE10" i="8"/>
  <c r="AD10" i="8"/>
  <c r="AC10" i="8"/>
  <c r="AB10" i="8"/>
  <c r="AA10" i="8"/>
  <c r="AE9" i="8"/>
  <c r="AD9" i="8"/>
  <c r="AC9" i="8"/>
  <c r="AB9" i="8"/>
  <c r="AA9" i="8"/>
  <c r="AE8" i="8"/>
  <c r="AD8" i="8"/>
  <c r="AC8" i="8"/>
  <c r="AB8" i="8"/>
  <c r="AA8" i="8"/>
  <c r="AE7" i="8"/>
  <c r="AD7" i="8"/>
  <c r="AC7" i="8"/>
  <c r="AB7" i="8"/>
  <c r="AA7" i="8"/>
  <c r="AE6" i="8"/>
  <c r="AD6" i="8"/>
  <c r="AC6" i="8"/>
  <c r="AB6" i="8"/>
  <c r="AA6" i="8"/>
  <c r="AE5" i="8"/>
  <c r="AD5" i="8"/>
  <c r="AC5" i="8"/>
  <c r="AB5" i="8"/>
  <c r="AA5" i="8"/>
  <c r="AE4" i="8"/>
  <c r="AD4" i="8"/>
  <c r="AC4" i="8"/>
  <c r="AB4" i="8"/>
  <c r="AA4" i="8"/>
  <c r="Z4" i="8"/>
  <c r="A3" i="26"/>
  <c r="B91" i="26"/>
  <c r="A91" i="26"/>
  <c r="B90" i="26"/>
  <c r="A90" i="26"/>
  <c r="B89" i="26"/>
  <c r="A89" i="26"/>
  <c r="B88" i="26"/>
  <c r="A88" i="26"/>
  <c r="B87" i="26"/>
  <c r="A87" i="26"/>
  <c r="B86" i="26"/>
  <c r="A86" i="26"/>
  <c r="B85" i="26"/>
  <c r="A85" i="26"/>
  <c r="A84" i="26"/>
  <c r="T39" i="26"/>
  <c r="B84" i="26"/>
  <c r="U39" i="26"/>
  <c r="U46" i="26"/>
  <c r="T17" i="26" s="1"/>
  <c r="T46" i="26"/>
  <c r="U45" i="26"/>
  <c r="T45" i="26"/>
  <c r="U44" i="26"/>
  <c r="T44" i="26"/>
  <c r="U43" i="26"/>
  <c r="T43" i="26"/>
  <c r="U42" i="26"/>
  <c r="T42" i="26"/>
  <c r="U41" i="26"/>
  <c r="T41" i="26"/>
  <c r="U40" i="26"/>
  <c r="T40" i="26"/>
  <c r="O39" i="26"/>
  <c r="N39" i="26"/>
  <c r="O40" i="26"/>
  <c r="O41" i="26"/>
  <c r="O42" i="26"/>
  <c r="O43" i="26"/>
  <c r="O44" i="26"/>
  <c r="O45" i="26"/>
  <c r="O46" i="26"/>
  <c r="N17" i="26" s="1"/>
  <c r="N46" i="26"/>
  <c r="N45" i="26"/>
  <c r="N44" i="26"/>
  <c r="N43" i="26"/>
  <c r="N42" i="26"/>
  <c r="N41" i="26"/>
  <c r="N40" i="26"/>
  <c r="H39" i="26"/>
  <c r="H84" i="26" s="1"/>
  <c r="I44" i="26"/>
  <c r="I43" i="26"/>
  <c r="I42" i="26"/>
  <c r="I41" i="26"/>
  <c r="I40" i="26"/>
  <c r="I39" i="26"/>
  <c r="H46" i="26"/>
  <c r="H91" i="26" s="1"/>
  <c r="H45" i="26"/>
  <c r="H90" i="26" s="1"/>
  <c r="H44" i="26"/>
  <c r="H43" i="26"/>
  <c r="H42" i="26"/>
  <c r="H41" i="26"/>
  <c r="H40" i="26"/>
  <c r="A17" i="26"/>
  <c r="A14" i="26"/>
  <c r="A11" i="26"/>
  <c r="A9" i="26"/>
  <c r="A7" i="26"/>
  <c r="A5" i="26"/>
  <c r="T3" i="26" l="1"/>
  <c r="N11" i="26"/>
  <c r="R2" i="29"/>
  <c r="H2" i="29"/>
  <c r="S2" i="29"/>
  <c r="H6" i="29"/>
  <c r="R6" i="29"/>
  <c r="S6" i="29"/>
  <c r="R10" i="29"/>
  <c r="H10" i="29"/>
  <c r="S10" i="29"/>
  <c r="R3" i="29"/>
  <c r="H3" i="29"/>
  <c r="R7" i="29"/>
  <c r="H7" i="29"/>
  <c r="R11" i="29"/>
  <c r="H11" i="29"/>
  <c r="X17" i="26" a="1"/>
  <c r="X17" i="26" s="1"/>
  <c r="X18" i="26" a="1"/>
  <c r="X18" i="26" s="1"/>
  <c r="F18" i="26" a="1"/>
  <c r="F18" i="26" s="1"/>
  <c r="F17" i="26"/>
  <c r="R17" i="26" a="1"/>
  <c r="R17" i="26" s="1"/>
  <c r="R18" i="26" a="1"/>
  <c r="R18" i="26" s="1"/>
  <c r="AG204" i="8"/>
  <c r="AG208" i="8"/>
  <c r="AG216" i="8"/>
  <c r="AG220" i="8"/>
  <c r="AG232" i="8"/>
  <c r="AG240" i="8"/>
  <c r="AG248" i="8"/>
  <c r="AG252" i="8"/>
  <c r="AG256" i="8"/>
  <c r="AG260" i="8"/>
  <c r="AG264" i="8"/>
  <c r="R4" i="29"/>
  <c r="H4" i="29"/>
  <c r="S4" i="29"/>
  <c r="R8" i="29"/>
  <c r="H8" i="29"/>
  <c r="S8" i="29"/>
  <c r="R12" i="29"/>
  <c r="H12" i="29"/>
  <c r="S12" i="29"/>
  <c r="R16" i="29"/>
  <c r="H16" i="29"/>
  <c r="S16" i="29"/>
  <c r="I16" i="29"/>
  <c r="R5" i="29"/>
  <c r="H5" i="29"/>
  <c r="R9" i="29"/>
  <c r="H9" i="29"/>
  <c r="R13" i="29"/>
  <c r="H13" i="29"/>
  <c r="R17" i="29"/>
  <c r="H17" i="29"/>
  <c r="I17" i="29"/>
  <c r="S17" i="29"/>
  <c r="AG212" i="8"/>
  <c r="AG244" i="8"/>
  <c r="AG236" i="8"/>
  <c r="AG228" i="8"/>
  <c r="AG224" i="8"/>
  <c r="AG265" i="8"/>
  <c r="H17" i="26"/>
  <c r="H18" i="26" s="1"/>
  <c r="I91" i="26"/>
  <c r="H57" i="26"/>
  <c r="F5" i="29"/>
  <c r="D5" i="29"/>
  <c r="P5" i="29"/>
  <c r="N5" i="29"/>
  <c r="F9" i="29"/>
  <c r="D9" i="29"/>
  <c r="P9" i="29"/>
  <c r="N9" i="29"/>
  <c r="F13" i="29"/>
  <c r="D13" i="29"/>
  <c r="P13" i="29"/>
  <c r="N13" i="29"/>
  <c r="F17" i="29"/>
  <c r="D17" i="29"/>
  <c r="P17" i="29"/>
  <c r="N17" i="29"/>
  <c r="E17" i="29"/>
  <c r="O17" i="29"/>
  <c r="G17" i="29"/>
  <c r="Q17" i="29"/>
  <c r="C17" i="26"/>
  <c r="D17" i="26"/>
  <c r="C18" i="26" a="1"/>
  <c r="C18" i="26" s="1"/>
  <c r="E17" i="26"/>
  <c r="D18" i="26" a="1"/>
  <c r="D18" i="26" s="1"/>
  <c r="E18" i="26" a="1"/>
  <c r="E18" i="26" s="1"/>
  <c r="H11" i="26"/>
  <c r="H12" i="26" s="1"/>
  <c r="H88" i="26"/>
  <c r="H3" i="26"/>
  <c r="H50" i="26"/>
  <c r="I84" i="26"/>
  <c r="H54" i="26"/>
  <c r="I88" i="26"/>
  <c r="P17" i="26" a="1"/>
  <c r="P17" i="26" s="1"/>
  <c r="O18" i="26" a="1"/>
  <c r="O18" i="26" s="1"/>
  <c r="P18" i="26" a="1"/>
  <c r="P18" i="26" s="1"/>
  <c r="O17" i="26" a="1"/>
  <c r="O17" i="26" s="1"/>
  <c r="Q17" i="26" a="1"/>
  <c r="Q17" i="26" s="1"/>
  <c r="Q18" i="26" a="1"/>
  <c r="Q18" i="26" s="1"/>
  <c r="N2" i="29"/>
  <c r="F2" i="29"/>
  <c r="D2" i="29"/>
  <c r="P2" i="29"/>
  <c r="N6" i="29"/>
  <c r="F6" i="29"/>
  <c r="D6" i="29"/>
  <c r="P6" i="29"/>
  <c r="N10" i="29"/>
  <c r="F10" i="29"/>
  <c r="D10" i="29"/>
  <c r="P10" i="29"/>
  <c r="H13" i="26"/>
  <c r="H14" i="26" s="1"/>
  <c r="H89" i="26"/>
  <c r="I89" i="26"/>
  <c r="H55" i="26"/>
  <c r="AG209" i="8"/>
  <c r="AG217" i="8"/>
  <c r="AG225" i="8"/>
  <c r="AG241" i="8"/>
  <c r="AG249" i="8"/>
  <c r="AG253" i="8"/>
  <c r="AG257" i="8"/>
  <c r="AG261" i="8"/>
  <c r="P3" i="29"/>
  <c r="N3" i="29"/>
  <c r="F3" i="29"/>
  <c r="D3" i="29"/>
  <c r="P7" i="29"/>
  <c r="N7" i="29"/>
  <c r="F7" i="29"/>
  <c r="D7" i="29"/>
  <c r="P11" i="29"/>
  <c r="N11" i="29"/>
  <c r="D11" i="29"/>
  <c r="F11" i="29"/>
  <c r="H9" i="26"/>
  <c r="H10" i="26" s="1"/>
  <c r="H87" i="26"/>
  <c r="I87" i="26"/>
  <c r="H53" i="26"/>
  <c r="H5" i="26"/>
  <c r="H85" i="26"/>
  <c r="I85" i="26"/>
  <c r="H51" i="26"/>
  <c r="H7" i="26"/>
  <c r="H8" i="26" s="1"/>
  <c r="H86" i="26"/>
  <c r="I86" i="26"/>
  <c r="H52" i="26"/>
  <c r="I90" i="26"/>
  <c r="H56" i="26"/>
  <c r="N13" i="26"/>
  <c r="N14" i="26" s="1"/>
  <c r="N5" i="26"/>
  <c r="N6" i="26" s="1"/>
  <c r="T5" i="26"/>
  <c r="T9" i="26"/>
  <c r="T10" i="26" s="1"/>
  <c r="T13" i="26"/>
  <c r="T14" i="26" s="1"/>
  <c r="T18" i="26"/>
  <c r="V18" i="26" a="1"/>
  <c r="V18" i="26" s="1"/>
  <c r="U17" i="26" a="1"/>
  <c r="U17" i="26" s="1"/>
  <c r="U18" i="26" a="1"/>
  <c r="U18" i="26" s="1"/>
  <c r="V17" i="26" a="1"/>
  <c r="V17" i="26" s="1"/>
  <c r="W17" i="26" a="1"/>
  <c r="W17" i="26" s="1"/>
  <c r="W18" i="26" a="1"/>
  <c r="W18" i="26" s="1"/>
  <c r="P4" i="29"/>
  <c r="F4" i="29"/>
  <c r="D4" i="29"/>
  <c r="N4" i="29"/>
  <c r="P8" i="29"/>
  <c r="D8" i="29"/>
  <c r="N8" i="29"/>
  <c r="F8" i="29"/>
  <c r="P12" i="29"/>
  <c r="F12" i="29"/>
  <c r="D12" i="29"/>
  <c r="N12" i="29"/>
  <c r="P16" i="29"/>
  <c r="N16" i="29"/>
  <c r="F16" i="29"/>
  <c r="D16" i="29"/>
  <c r="E16" i="29"/>
  <c r="C57" i="26" s="1"/>
  <c r="O16" i="29"/>
  <c r="J57" i="26" s="1"/>
  <c r="G16" i="29"/>
  <c r="Q16" i="29"/>
  <c r="M16" i="29"/>
  <c r="U16" i="29" s="1"/>
  <c r="C16" i="29"/>
  <c r="M17" i="29"/>
  <c r="U17" i="29" s="1"/>
  <c r="C17" i="29"/>
  <c r="K17" i="29" s="1"/>
  <c r="L2" i="29"/>
  <c r="B2" i="29"/>
  <c r="L6" i="29"/>
  <c r="B6" i="29"/>
  <c r="B3" i="29"/>
  <c r="L3" i="29"/>
  <c r="B7" i="29"/>
  <c r="L7" i="29"/>
  <c r="B4" i="29"/>
  <c r="L4" i="29"/>
  <c r="B8" i="29"/>
  <c r="L8" i="29"/>
  <c r="B12" i="29"/>
  <c r="L12" i="29"/>
  <c r="B16" i="29"/>
  <c r="L16" i="29"/>
  <c r="L10" i="29"/>
  <c r="B10" i="29"/>
  <c r="B11" i="29"/>
  <c r="L11" i="29"/>
  <c r="B5" i="29"/>
  <c r="L5" i="29"/>
  <c r="B9" i="29"/>
  <c r="L9" i="29"/>
  <c r="B13" i="29"/>
  <c r="L13" i="29"/>
  <c r="B17" i="29"/>
  <c r="L17" i="29"/>
  <c r="AG233" i="8"/>
  <c r="AG222" i="8"/>
  <c r="AG223" i="8"/>
  <c r="AG226" i="8"/>
  <c r="AG227" i="8"/>
  <c r="AG229" i="8"/>
  <c r="AG230" i="8"/>
  <c r="AG231" i="8"/>
  <c r="AG234" i="8"/>
  <c r="AG235" i="8"/>
  <c r="AG237" i="8"/>
  <c r="AG238" i="8"/>
  <c r="AG239" i="8"/>
  <c r="AG242" i="8"/>
  <c r="AG243" i="8"/>
  <c r="AG245" i="8"/>
  <c r="AG246" i="8"/>
  <c r="AG247" i="8"/>
  <c r="AG250" i="8"/>
  <c r="T2" i="29"/>
  <c r="T6" i="29"/>
  <c r="T10" i="29"/>
  <c r="T7" i="29"/>
  <c r="T11" i="29"/>
  <c r="T4" i="29"/>
  <c r="T8" i="29"/>
  <c r="T12" i="29"/>
  <c r="T16" i="29"/>
  <c r="T3" i="29"/>
  <c r="T5" i="29"/>
  <c r="T9" i="29"/>
  <c r="T13" i="29"/>
  <c r="T17" i="29"/>
  <c r="T4" i="26"/>
  <c r="A8" i="26"/>
  <c r="T6" i="26"/>
  <c r="T11" i="26"/>
  <c r="A10" i="26"/>
  <c r="A12" i="26"/>
  <c r="A6" i="26"/>
  <c r="N7" i="26"/>
  <c r="A4" i="26"/>
  <c r="AG251" i="8"/>
  <c r="AG254" i="8"/>
  <c r="AG255" i="8"/>
  <c r="AG258" i="8"/>
  <c r="AG259" i="8"/>
  <c r="AG262" i="8"/>
  <c r="AG263" i="8"/>
  <c r="AG266" i="8"/>
  <c r="AG202" i="8"/>
  <c r="AG203" i="8"/>
  <c r="AG205" i="8"/>
  <c r="AG206" i="8"/>
  <c r="AG207" i="8"/>
  <c r="AG210" i="8"/>
  <c r="AG211" i="8"/>
  <c r="AG213" i="8"/>
  <c r="AG214" i="8"/>
  <c r="AG215" i="8"/>
  <c r="AG218" i="8"/>
  <c r="AG219" i="8"/>
  <c r="AG221" i="8"/>
  <c r="AG267" i="8"/>
  <c r="N3" i="26"/>
  <c r="N4" i="26" s="1"/>
  <c r="AF178" i="8"/>
  <c r="AG36" i="8"/>
  <c r="AF15" i="8"/>
  <c r="AF17" i="8"/>
  <c r="AF24" i="8"/>
  <c r="AF33" i="8"/>
  <c r="AF34" i="8"/>
  <c r="AF54" i="8"/>
  <c r="AF138" i="8"/>
  <c r="AF146" i="8"/>
  <c r="AF150" i="8"/>
  <c r="AF154" i="8"/>
  <c r="AF158" i="8"/>
  <c r="AF166" i="8"/>
  <c r="AF170" i="8"/>
  <c r="AF174" i="8"/>
  <c r="AF182" i="8"/>
  <c r="AF186" i="8"/>
  <c r="AF190" i="8"/>
  <c r="AF198" i="8"/>
  <c r="AF202" i="8"/>
  <c r="AF204" i="8"/>
  <c r="AF209" i="8"/>
  <c r="AF212" i="8"/>
  <c r="AF217" i="8"/>
  <c r="AF220" i="8"/>
  <c r="AF225" i="8"/>
  <c r="AF228" i="8"/>
  <c r="AF233" i="8"/>
  <c r="AF236" i="8"/>
  <c r="AF241" i="8"/>
  <c r="AF244" i="8"/>
  <c r="AF249" i="8"/>
  <c r="AF252" i="8"/>
  <c r="AF257" i="8"/>
  <c r="AF260" i="8"/>
  <c r="AF265" i="8"/>
  <c r="AG9" i="8"/>
  <c r="AG13" i="8"/>
  <c r="AG32" i="8"/>
  <c r="AG53" i="8"/>
  <c r="AG61" i="8"/>
  <c r="AG62" i="8"/>
  <c r="AG63" i="8"/>
  <c r="AF8" i="8"/>
  <c r="AF14" i="8"/>
  <c r="AF18" i="8"/>
  <c r="AF28" i="8"/>
  <c r="AF52" i="8"/>
  <c r="AG5" i="8"/>
  <c r="AF6" i="8"/>
  <c r="AF11" i="8"/>
  <c r="AF13" i="8"/>
  <c r="AG21" i="8"/>
  <c r="AG23" i="8"/>
  <c r="AG24" i="8"/>
  <c r="AF25" i="8"/>
  <c r="AF47" i="8"/>
  <c r="AG54" i="8"/>
  <c r="AF58" i="8"/>
  <c r="AF62" i="8"/>
  <c r="AF66" i="8"/>
  <c r="AF67" i="8"/>
  <c r="AF162" i="8"/>
  <c r="AF194" i="8"/>
  <c r="AG34" i="8"/>
  <c r="AF36" i="8"/>
  <c r="AG41" i="8"/>
  <c r="AG45" i="8"/>
  <c r="AF49" i="8"/>
  <c r="AF51" i="8"/>
  <c r="J2" i="29"/>
  <c r="J6" i="29"/>
  <c r="J10" i="29"/>
  <c r="J3" i="29"/>
  <c r="J7" i="29"/>
  <c r="J11" i="29"/>
  <c r="J4" i="29"/>
  <c r="J8" i="29"/>
  <c r="J12" i="29"/>
  <c r="J16" i="29"/>
  <c r="J5" i="29"/>
  <c r="J9" i="29"/>
  <c r="J13" i="29"/>
  <c r="J17" i="29"/>
  <c r="AF203" i="8"/>
  <c r="AF205" i="8"/>
  <c r="AF206" i="8"/>
  <c r="AF207" i="8"/>
  <c r="AF208" i="8"/>
  <c r="AF210" i="8"/>
  <c r="AF211" i="8"/>
  <c r="AF213" i="8"/>
  <c r="AF214" i="8"/>
  <c r="AF215" i="8"/>
  <c r="AF216" i="8"/>
  <c r="AF218" i="8"/>
  <c r="AF219" i="8"/>
  <c r="AF221" i="8"/>
  <c r="AF222" i="8"/>
  <c r="AF223" i="8"/>
  <c r="AF224" i="8"/>
  <c r="AF226" i="8"/>
  <c r="AF227" i="8"/>
  <c r="AF229" i="8"/>
  <c r="AF230" i="8"/>
  <c r="AF231" i="8"/>
  <c r="AF232" i="8"/>
  <c r="AF234" i="8"/>
  <c r="AF235" i="8"/>
  <c r="AF237" i="8"/>
  <c r="AF238" i="8"/>
  <c r="AF239" i="8"/>
  <c r="AF240" i="8"/>
  <c r="AF242" i="8"/>
  <c r="AF243" i="8"/>
  <c r="AF245" i="8"/>
  <c r="AF246" i="8"/>
  <c r="AF247" i="8"/>
  <c r="AF248" i="8"/>
  <c r="AF250" i="8"/>
  <c r="AF251" i="8"/>
  <c r="AF253" i="8"/>
  <c r="AF254" i="8"/>
  <c r="AF255" i="8"/>
  <c r="AF256" i="8"/>
  <c r="AF258" i="8"/>
  <c r="AF259" i="8"/>
  <c r="AF261" i="8"/>
  <c r="AF262" i="8"/>
  <c r="AF263" i="8"/>
  <c r="AF264" i="8"/>
  <c r="AF266" i="8"/>
  <c r="AF267" i="8"/>
  <c r="AF4" i="8"/>
  <c r="AG6" i="8"/>
  <c r="AG8" i="8"/>
  <c r="AG17" i="8"/>
  <c r="AG18" i="8"/>
  <c r="AG20" i="8"/>
  <c r="AG27" i="8"/>
  <c r="AF32" i="8"/>
  <c r="AF38" i="8"/>
  <c r="AG40" i="8"/>
  <c r="AG44" i="8"/>
  <c r="AG46" i="8"/>
  <c r="AF48" i="8"/>
  <c r="AG49" i="8"/>
  <c r="AG50" i="8"/>
  <c r="AG51" i="8"/>
  <c r="AG55" i="8"/>
  <c r="AG57" i="8"/>
  <c r="AF64" i="8"/>
  <c r="AG65" i="8"/>
  <c r="AG66" i="8"/>
  <c r="AG67" i="8"/>
  <c r="AF9" i="8"/>
  <c r="AF10" i="8"/>
  <c r="AG12" i="8"/>
  <c r="AG19" i="8"/>
  <c r="AG28" i="8"/>
  <c r="AF29" i="8"/>
  <c r="AF30" i="8"/>
  <c r="AG37" i="8"/>
  <c r="AF39" i="8"/>
  <c r="AF42" i="8"/>
  <c r="AF43" i="8"/>
  <c r="AF46" i="8"/>
  <c r="AF50" i="8"/>
  <c r="AF56" i="8"/>
  <c r="AG60" i="8"/>
  <c r="AF63" i="8"/>
  <c r="AG69" i="8"/>
  <c r="AF136" i="8"/>
  <c r="AF142" i="8"/>
  <c r="AF137" i="8"/>
  <c r="AF139" i="8"/>
  <c r="AF140" i="8"/>
  <c r="AF141" i="8"/>
  <c r="AF143" i="8"/>
  <c r="AF144" i="8"/>
  <c r="AF145" i="8"/>
  <c r="AF147" i="8"/>
  <c r="AF148" i="8"/>
  <c r="AF149" i="8"/>
  <c r="AF151" i="8"/>
  <c r="AF152" i="8"/>
  <c r="AF153" i="8"/>
  <c r="AF155" i="8"/>
  <c r="AF156" i="8"/>
  <c r="AF157" i="8"/>
  <c r="AF159" i="8"/>
  <c r="AF160" i="8"/>
  <c r="AF161" i="8"/>
  <c r="AF163" i="8"/>
  <c r="AF164" i="8"/>
  <c r="AF165" i="8"/>
  <c r="AF167" i="8"/>
  <c r="AF168" i="8"/>
  <c r="AF169" i="8"/>
  <c r="AF171" i="8"/>
  <c r="AF172" i="8"/>
  <c r="AF173" i="8"/>
  <c r="AF175" i="8"/>
  <c r="AF176" i="8"/>
  <c r="AF177" i="8"/>
  <c r="AF179" i="8"/>
  <c r="AF180" i="8"/>
  <c r="AF181" i="8"/>
  <c r="AF183" i="8"/>
  <c r="AF184" i="8"/>
  <c r="AF185" i="8"/>
  <c r="AF187" i="8"/>
  <c r="AF188" i="8"/>
  <c r="AF189" i="8"/>
  <c r="AF191" i="8"/>
  <c r="AF192" i="8"/>
  <c r="AF193" i="8"/>
  <c r="AF195" i="8"/>
  <c r="AF196" i="8"/>
  <c r="AF197" i="8"/>
  <c r="AF199" i="8"/>
  <c r="AF200" i="8"/>
  <c r="AF201" i="8"/>
  <c r="AF19" i="8"/>
  <c r="AF37" i="8"/>
  <c r="AF44" i="8"/>
  <c r="AF57" i="8"/>
  <c r="AF40" i="8"/>
  <c r="AF7" i="8"/>
  <c r="AG11" i="8"/>
  <c r="AF12" i="8"/>
  <c r="AG15" i="8"/>
  <c r="AF16" i="8"/>
  <c r="AF41" i="8"/>
  <c r="AF5" i="8"/>
  <c r="AG7" i="8"/>
  <c r="AG10" i="8"/>
  <c r="AG14" i="8"/>
  <c r="AG16" i="8"/>
  <c r="AF45" i="8"/>
  <c r="AF20" i="8"/>
  <c r="AF26" i="8"/>
  <c r="AG58" i="8"/>
  <c r="AF59" i="8"/>
  <c r="AF68" i="8"/>
  <c r="AF21" i="8"/>
  <c r="AF22" i="8"/>
  <c r="AG25" i="8"/>
  <c r="AG26" i="8"/>
  <c r="AF27" i="8"/>
  <c r="AG29" i="8"/>
  <c r="AG30" i="8"/>
  <c r="AF31" i="8"/>
  <c r="AG33" i="8"/>
  <c r="AF35" i="8"/>
  <c r="AG39" i="8"/>
  <c r="AG43" i="8"/>
  <c r="AG47" i="8"/>
  <c r="AG48" i="8"/>
  <c r="AG52" i="8"/>
  <c r="AF55" i="8"/>
  <c r="AG59" i="8"/>
  <c r="AF60" i="8"/>
  <c r="AG64" i="8"/>
  <c r="AG68" i="8"/>
  <c r="AF69" i="8"/>
  <c r="AG22" i="8"/>
  <c r="AF23" i="8"/>
  <c r="AG31" i="8"/>
  <c r="AG35" i="8"/>
  <c r="AG38" i="8"/>
  <c r="AG42" i="8"/>
  <c r="AF53" i="8"/>
  <c r="AG56" i="8"/>
  <c r="AF61" i="8"/>
  <c r="AF65" i="8"/>
  <c r="N12" i="26"/>
  <c r="N18" i="26"/>
  <c r="N9" i="26"/>
  <c r="T7" i="26"/>
  <c r="A18" i="26"/>
  <c r="B17" i="26"/>
  <c r="H6" i="26"/>
  <c r="H4" i="26"/>
  <c r="B18" i="26" a="1"/>
  <c r="B18" i="26" s="1"/>
  <c r="B57" i="26" l="1"/>
  <c r="K16" i="29"/>
  <c r="I57" i="26"/>
  <c r="L18" i="26" a="1"/>
  <c r="L18" i="26" s="1"/>
  <c r="L17" i="26" a="1"/>
  <c r="L17" i="26" s="1"/>
  <c r="N8" i="26"/>
  <c r="J18" i="26" a="1"/>
  <c r="J18" i="26" s="1"/>
  <c r="K18" i="26" a="1"/>
  <c r="K18" i="26" s="1"/>
  <c r="J17" i="26" a="1"/>
  <c r="J17" i="26" s="1"/>
  <c r="K17" i="26" a="1"/>
  <c r="K17" i="26" s="1"/>
  <c r="I18" i="26" a="1"/>
  <c r="I18" i="26" s="1"/>
  <c r="I17" i="26" a="1"/>
  <c r="I17" i="26" s="1"/>
  <c r="T12" i="26"/>
  <c r="T8" i="26"/>
  <c r="N10" i="26"/>
  <c r="W4" i="11" l="1"/>
  <c r="N70" i="2" l="1"/>
  <c r="N69" i="2"/>
  <c r="N68" i="2"/>
  <c r="N67" i="2"/>
  <c r="N66" i="2"/>
  <c r="N65" i="2"/>
  <c r="N64" i="2"/>
  <c r="N63" i="2"/>
  <c r="N62" i="2"/>
  <c r="N61" i="2"/>
  <c r="N60" i="2"/>
  <c r="N59" i="2"/>
  <c r="N58" i="2"/>
  <c r="N57" i="2"/>
  <c r="N56" i="2"/>
  <c r="N55" i="2"/>
  <c r="N54" i="2"/>
  <c r="N53" i="2"/>
  <c r="N52" i="2"/>
  <c r="N51" i="2"/>
  <c r="N50" i="2"/>
  <c r="N49" i="2"/>
  <c r="N48" i="2"/>
  <c r="N47" i="2"/>
  <c r="N46" i="2"/>
  <c r="N45" i="2"/>
  <c r="N44" i="2"/>
  <c r="N43" i="2"/>
  <c r="N42" i="2"/>
  <c r="N41" i="2"/>
  <c r="N40" i="2"/>
  <c r="N39" i="2"/>
  <c r="N38" i="2"/>
  <c r="N37" i="2"/>
  <c r="N36" i="2"/>
  <c r="N35" i="2"/>
  <c r="N34" i="2"/>
  <c r="N33" i="2"/>
  <c r="N32" i="2"/>
  <c r="N31" i="2"/>
  <c r="N30" i="2"/>
  <c r="N29" i="2"/>
  <c r="N28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N6" i="2"/>
  <c r="N5" i="2"/>
  <c r="A69" i="8"/>
  <c r="I69" i="8" s="1"/>
  <c r="A68" i="8"/>
  <c r="I68" i="8" s="1"/>
  <c r="A67" i="8"/>
  <c r="A66" i="8"/>
  <c r="I66" i="8" s="1"/>
  <c r="A65" i="8"/>
  <c r="I65" i="8" s="1"/>
  <c r="A64" i="8"/>
  <c r="I64" i="8" s="1"/>
  <c r="A63" i="8"/>
  <c r="I63" i="8" s="1"/>
  <c r="A62" i="8"/>
  <c r="G62" i="8" s="1"/>
  <c r="A61" i="8"/>
  <c r="A60" i="8"/>
  <c r="H60" i="8" s="1"/>
  <c r="A59" i="8"/>
  <c r="A58" i="8"/>
  <c r="G58" i="8" s="1"/>
  <c r="A57" i="8"/>
  <c r="A56" i="8"/>
  <c r="A55" i="8"/>
  <c r="I55" i="8" s="1"/>
  <c r="A54" i="8"/>
  <c r="A53" i="8"/>
  <c r="A52" i="8"/>
  <c r="A51" i="8"/>
  <c r="F51" i="8" s="1"/>
  <c r="A50" i="8"/>
  <c r="A49" i="8"/>
  <c r="E49" i="8" s="1"/>
  <c r="A48" i="8"/>
  <c r="A47" i="8"/>
  <c r="F47" i="8" s="1"/>
  <c r="A46" i="8"/>
  <c r="I46" i="8" s="1"/>
  <c r="A45" i="8"/>
  <c r="E45" i="8" s="1"/>
  <c r="A44" i="8"/>
  <c r="E44" i="8" s="1"/>
  <c r="A43" i="8"/>
  <c r="A42" i="8"/>
  <c r="I42" i="8" s="1"/>
  <c r="A41" i="8"/>
  <c r="D41" i="8" s="1"/>
  <c r="A40" i="8"/>
  <c r="A39" i="8"/>
  <c r="F39" i="8" s="1"/>
  <c r="A38" i="8"/>
  <c r="A37" i="8"/>
  <c r="A36" i="8"/>
  <c r="A35" i="8"/>
  <c r="A34" i="8"/>
  <c r="A33" i="8"/>
  <c r="E33" i="8" s="1"/>
  <c r="A32" i="8"/>
  <c r="H32" i="8" s="1"/>
  <c r="A31" i="8"/>
  <c r="F31" i="8" s="1"/>
  <c r="A30" i="8"/>
  <c r="I30" i="8" s="1"/>
  <c r="A29" i="8"/>
  <c r="E29" i="8" s="1"/>
  <c r="A28" i="8"/>
  <c r="H28" i="8" s="1"/>
  <c r="A27" i="8"/>
  <c r="H27" i="8" s="1"/>
  <c r="A26" i="8"/>
  <c r="I26" i="8" s="1"/>
  <c r="A25" i="8"/>
  <c r="G25" i="8" s="1"/>
  <c r="A24" i="8"/>
  <c r="E24" i="8" s="1"/>
  <c r="A23" i="8"/>
  <c r="G23" i="8" s="1"/>
  <c r="A22" i="8"/>
  <c r="E22" i="8" s="1"/>
  <c r="A21" i="8"/>
  <c r="I21" i="8" s="1"/>
  <c r="A20" i="8"/>
  <c r="G20" i="8" s="1"/>
  <c r="A19" i="8"/>
  <c r="G19" i="8" s="1"/>
  <c r="A18" i="8"/>
  <c r="I18" i="8" s="1"/>
  <c r="A17" i="8"/>
  <c r="A16" i="8"/>
  <c r="A15" i="8"/>
  <c r="G15" i="8" s="1"/>
  <c r="A14" i="8"/>
  <c r="G14" i="8" s="1"/>
  <c r="A13" i="8"/>
  <c r="A12" i="8"/>
  <c r="I12" i="8" s="1"/>
  <c r="A11" i="8"/>
  <c r="D11" i="8" s="1"/>
  <c r="A10" i="8"/>
  <c r="A9" i="8"/>
  <c r="A8" i="8"/>
  <c r="A7" i="8"/>
  <c r="E7" i="8" s="1"/>
  <c r="A6" i="8"/>
  <c r="G6" i="8" s="1"/>
  <c r="A5" i="8"/>
  <c r="F5" i="8" s="1"/>
  <c r="A4" i="8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5"/>
  <c r="A5" i="4"/>
  <c r="A5" i="3"/>
  <c r="A5" i="1"/>
  <c r="S70" i="2" l="1"/>
  <c r="X11" i="8"/>
  <c r="X41" i="8"/>
  <c r="F62" i="8"/>
  <c r="E63" i="8"/>
  <c r="D19" i="8"/>
  <c r="D21" i="8"/>
  <c r="D30" i="8"/>
  <c r="E32" i="8"/>
  <c r="D66" i="8"/>
  <c r="F19" i="8"/>
  <c r="H30" i="8"/>
  <c r="I11" i="8"/>
  <c r="E14" i="8"/>
  <c r="G22" i="8"/>
  <c r="D29" i="8"/>
  <c r="D23" i="8"/>
  <c r="F25" i="8"/>
  <c r="I29" i="8"/>
  <c r="D42" i="8"/>
  <c r="D15" i="8"/>
  <c r="F23" i="8"/>
  <c r="E28" i="8"/>
  <c r="I33" i="8"/>
  <c r="D46" i="8"/>
  <c r="I49" i="8"/>
  <c r="H4" i="8"/>
  <c r="G69" i="8"/>
  <c r="Q70" i="2" s="1"/>
  <c r="E6" i="8"/>
  <c r="E11" i="8"/>
  <c r="E20" i="8"/>
  <c r="G26" i="8"/>
  <c r="H44" i="8"/>
  <c r="F64" i="8"/>
  <c r="I6" i="8"/>
  <c r="G21" i="8"/>
  <c r="D27" i="8"/>
  <c r="G42" i="8"/>
  <c r="D45" i="8"/>
  <c r="E48" i="8"/>
  <c r="D68" i="8"/>
  <c r="F15" i="8"/>
  <c r="H21" i="8"/>
  <c r="F27" i="8"/>
  <c r="H42" i="8"/>
  <c r="I45" i="8"/>
  <c r="H46" i="8"/>
  <c r="H48" i="8"/>
  <c r="D64" i="8"/>
  <c r="G65" i="8"/>
  <c r="H66" i="8"/>
  <c r="F68" i="8"/>
  <c r="I9" i="8"/>
  <c r="G9" i="8"/>
  <c r="F9" i="8"/>
  <c r="I10" i="8"/>
  <c r="I13" i="8"/>
  <c r="D13" i="8"/>
  <c r="H13" i="8"/>
  <c r="I38" i="8"/>
  <c r="D38" i="8"/>
  <c r="H38" i="8"/>
  <c r="I54" i="8"/>
  <c r="D54" i="8"/>
  <c r="H54" i="8"/>
  <c r="I57" i="8"/>
  <c r="G57" i="8"/>
  <c r="I5" i="8"/>
  <c r="D5" i="8"/>
  <c r="G5" i="8"/>
  <c r="D7" i="8"/>
  <c r="E10" i="8"/>
  <c r="I17" i="8"/>
  <c r="H17" i="8"/>
  <c r="G17" i="8"/>
  <c r="I34" i="8"/>
  <c r="H34" i="8"/>
  <c r="G34" i="8"/>
  <c r="E36" i="8"/>
  <c r="H40" i="8"/>
  <c r="E40" i="8"/>
  <c r="I50" i="8"/>
  <c r="H50" i="8"/>
  <c r="G50" i="8"/>
  <c r="E52" i="8"/>
  <c r="I56" i="8"/>
  <c r="F56" i="8"/>
  <c r="D56" i="8"/>
  <c r="I58" i="8"/>
  <c r="D58" i="8"/>
  <c r="H58" i="8"/>
  <c r="I61" i="8"/>
  <c r="G61" i="8"/>
  <c r="H5" i="8"/>
  <c r="I7" i="8"/>
  <c r="D9" i="8"/>
  <c r="G10" i="8"/>
  <c r="F13" i="8"/>
  <c r="D17" i="8"/>
  <c r="I25" i="8"/>
  <c r="D25" i="8"/>
  <c r="H25" i="8"/>
  <c r="D34" i="8"/>
  <c r="H36" i="8"/>
  <c r="F38" i="8"/>
  <c r="D50" i="8"/>
  <c r="H52" i="8"/>
  <c r="F54" i="8"/>
  <c r="I60" i="8"/>
  <c r="F60" i="8"/>
  <c r="D60" i="8"/>
  <c r="I62" i="8"/>
  <c r="D62" i="8"/>
  <c r="H62" i="8"/>
  <c r="H9" i="8"/>
  <c r="G13" i="8"/>
  <c r="F17" i="8"/>
  <c r="F34" i="8"/>
  <c r="E37" i="8"/>
  <c r="I37" i="8"/>
  <c r="D37" i="8"/>
  <c r="G38" i="8"/>
  <c r="E41" i="8"/>
  <c r="I41" i="8"/>
  <c r="F50" i="8"/>
  <c r="E53" i="8"/>
  <c r="I53" i="8"/>
  <c r="D53" i="8"/>
  <c r="G54" i="8"/>
  <c r="H56" i="8"/>
  <c r="F58" i="8"/>
  <c r="H19" i="8"/>
  <c r="H23" i="8"/>
  <c r="I27" i="8"/>
  <c r="F30" i="8"/>
  <c r="F46" i="8"/>
  <c r="H64" i="8"/>
  <c r="F66" i="8"/>
  <c r="H68" i="8"/>
  <c r="H15" i="8"/>
  <c r="F21" i="8"/>
  <c r="G30" i="8"/>
  <c r="D33" i="8"/>
  <c r="F42" i="8"/>
  <c r="G46" i="8"/>
  <c r="D49" i="8"/>
  <c r="G66" i="8"/>
  <c r="F8" i="8"/>
  <c r="G8" i="8"/>
  <c r="F16" i="8"/>
  <c r="H16" i="8"/>
  <c r="D16" i="8"/>
  <c r="H18" i="8"/>
  <c r="D18" i="8"/>
  <c r="F18" i="8"/>
  <c r="H35" i="8"/>
  <c r="D35" i="8"/>
  <c r="I35" i="8"/>
  <c r="G35" i="8"/>
  <c r="E35" i="8"/>
  <c r="H43" i="8"/>
  <c r="D43" i="8"/>
  <c r="I43" i="8"/>
  <c r="G43" i="8"/>
  <c r="E43" i="8"/>
  <c r="G7" i="8"/>
  <c r="F7" i="8"/>
  <c r="H8" i="8"/>
  <c r="G11" i="8"/>
  <c r="F11" i="8"/>
  <c r="H12" i="8"/>
  <c r="F35" i="8"/>
  <c r="F43" i="8"/>
  <c r="G59" i="8"/>
  <c r="F59" i="8"/>
  <c r="H59" i="8"/>
  <c r="D59" i="8"/>
  <c r="I59" i="8"/>
  <c r="E59" i="8"/>
  <c r="F4" i="8"/>
  <c r="G4" i="8"/>
  <c r="I16" i="8"/>
  <c r="G24" i="8"/>
  <c r="F24" i="8"/>
  <c r="H24" i="8"/>
  <c r="D24" i="8"/>
  <c r="H31" i="8"/>
  <c r="D31" i="8"/>
  <c r="I31" i="8"/>
  <c r="G31" i="8"/>
  <c r="E31" i="8"/>
  <c r="H39" i="8"/>
  <c r="D39" i="8"/>
  <c r="I39" i="8"/>
  <c r="G39" i="8"/>
  <c r="E39" i="8"/>
  <c r="H47" i="8"/>
  <c r="D47" i="8"/>
  <c r="I47" i="8"/>
  <c r="G47" i="8"/>
  <c r="E47" i="8"/>
  <c r="H51" i="8"/>
  <c r="D51" i="8"/>
  <c r="I51" i="8"/>
  <c r="G51" i="8"/>
  <c r="E51" i="8"/>
  <c r="F55" i="8"/>
  <c r="H55" i="8"/>
  <c r="D55" i="8"/>
  <c r="E55" i="8"/>
  <c r="G55" i="8"/>
  <c r="D4" i="8"/>
  <c r="I4" i="8"/>
  <c r="H6" i="8"/>
  <c r="D6" i="8"/>
  <c r="F6" i="8"/>
  <c r="H7" i="8"/>
  <c r="D8" i="8"/>
  <c r="I8" i="8"/>
  <c r="H10" i="8"/>
  <c r="D10" i="8"/>
  <c r="F10" i="8"/>
  <c r="H11" i="8"/>
  <c r="D12" i="8"/>
  <c r="H14" i="8"/>
  <c r="D14" i="8"/>
  <c r="F14" i="8"/>
  <c r="I14" i="8"/>
  <c r="E16" i="8"/>
  <c r="E18" i="8"/>
  <c r="F20" i="8"/>
  <c r="H20" i="8"/>
  <c r="D20" i="8"/>
  <c r="I20" i="8"/>
  <c r="H22" i="8"/>
  <c r="D22" i="8"/>
  <c r="F22" i="8"/>
  <c r="I22" i="8"/>
  <c r="I24" i="8"/>
  <c r="F12" i="8"/>
  <c r="G12" i="8"/>
  <c r="E4" i="8"/>
  <c r="E8" i="8"/>
  <c r="E12" i="8"/>
  <c r="G16" i="8"/>
  <c r="G18" i="8"/>
  <c r="G67" i="8"/>
  <c r="F67" i="8"/>
  <c r="H67" i="8"/>
  <c r="D67" i="8"/>
  <c r="I67" i="8"/>
  <c r="E67" i="8"/>
  <c r="E15" i="8"/>
  <c r="I15" i="8"/>
  <c r="E19" i="8"/>
  <c r="I19" i="8"/>
  <c r="E23" i="8"/>
  <c r="I23" i="8"/>
  <c r="F26" i="8"/>
  <c r="E27" i="8"/>
  <c r="G28" i="8"/>
  <c r="F28" i="8"/>
  <c r="H29" i="8"/>
  <c r="G32" i="8"/>
  <c r="F32" i="8"/>
  <c r="H33" i="8"/>
  <c r="G36" i="8"/>
  <c r="F36" i="8"/>
  <c r="H37" i="8"/>
  <c r="G40" i="8"/>
  <c r="F40" i="8"/>
  <c r="H41" i="8"/>
  <c r="G44" i="8"/>
  <c r="F44" i="8"/>
  <c r="H45" i="8"/>
  <c r="G48" i="8"/>
  <c r="F48" i="8"/>
  <c r="H49" i="8"/>
  <c r="G52" i="8"/>
  <c r="F52" i="8"/>
  <c r="H53" i="8"/>
  <c r="E5" i="8"/>
  <c r="E9" i="8"/>
  <c r="E13" i="8"/>
  <c r="E17" i="8"/>
  <c r="E21" i="8"/>
  <c r="E25" i="8"/>
  <c r="D26" i="8"/>
  <c r="H26" i="8"/>
  <c r="G27" i="8"/>
  <c r="D28" i="8"/>
  <c r="I28" i="8"/>
  <c r="D32" i="8"/>
  <c r="I32" i="8"/>
  <c r="D36" i="8"/>
  <c r="I36" i="8"/>
  <c r="D40" i="8"/>
  <c r="I40" i="8"/>
  <c r="D44" i="8"/>
  <c r="I44" i="8"/>
  <c r="D48" i="8"/>
  <c r="I48" i="8"/>
  <c r="D52" i="8"/>
  <c r="I52" i="8"/>
  <c r="E26" i="8"/>
  <c r="F29" i="8"/>
  <c r="G29" i="8"/>
  <c r="F33" i="8"/>
  <c r="G33" i="8"/>
  <c r="F37" i="8"/>
  <c r="G37" i="8"/>
  <c r="F41" i="8"/>
  <c r="G41" i="8"/>
  <c r="F45" i="8"/>
  <c r="G45" i="8"/>
  <c r="F49" i="8"/>
  <c r="G49" i="8"/>
  <c r="F53" i="8"/>
  <c r="G53" i="8"/>
  <c r="G63" i="8"/>
  <c r="F63" i="8"/>
  <c r="H63" i="8"/>
  <c r="D63" i="8"/>
  <c r="E30" i="8"/>
  <c r="E34" i="8"/>
  <c r="E38" i="8"/>
  <c r="E42" i="8"/>
  <c r="E46" i="8"/>
  <c r="E50" i="8"/>
  <c r="E54" i="8"/>
  <c r="G56" i="8"/>
  <c r="F57" i="8"/>
  <c r="E58" i="8"/>
  <c r="G60" i="8"/>
  <c r="F61" i="8"/>
  <c r="E62" i="8"/>
  <c r="G64" i="8"/>
  <c r="F65" i="8"/>
  <c r="E66" i="8"/>
  <c r="G68" i="8"/>
  <c r="F69" i="8"/>
  <c r="O70" i="2" s="1"/>
  <c r="E56" i="8"/>
  <c r="D57" i="8"/>
  <c r="H57" i="8"/>
  <c r="E60" i="8"/>
  <c r="D61" i="8"/>
  <c r="H61" i="8"/>
  <c r="E64" i="8"/>
  <c r="D65" i="8"/>
  <c r="H65" i="8"/>
  <c r="E68" i="8"/>
  <c r="D69" i="8"/>
  <c r="H69" i="8"/>
  <c r="E57" i="8"/>
  <c r="E61" i="8"/>
  <c r="E65" i="8"/>
  <c r="E69" i="8"/>
  <c r="R70" i="2" l="1"/>
  <c r="Y41" i="8"/>
  <c r="M41" i="8" s="1"/>
  <c r="Y11" i="8"/>
  <c r="M11" i="8" s="1"/>
  <c r="X107" i="8"/>
  <c r="X77" i="8"/>
  <c r="X65" i="8"/>
  <c r="X48" i="8"/>
  <c r="X20" i="8"/>
  <c r="X86" i="8" s="1"/>
  <c r="X39" i="8"/>
  <c r="X59" i="8"/>
  <c r="X37" i="8"/>
  <c r="X26" i="8"/>
  <c r="X92" i="8" s="1"/>
  <c r="X22" i="8"/>
  <c r="X12" i="8"/>
  <c r="X4" i="8"/>
  <c r="X31" i="8"/>
  <c r="Y31" i="8" s="1"/>
  <c r="M31" i="8" s="1"/>
  <c r="X16" i="8"/>
  <c r="X53" i="8"/>
  <c r="X9" i="8"/>
  <c r="X56" i="8"/>
  <c r="X54" i="8"/>
  <c r="X46" i="8"/>
  <c r="X15" i="8"/>
  <c r="X23" i="8"/>
  <c r="X66" i="8"/>
  <c r="X19" i="8"/>
  <c r="X40" i="8"/>
  <c r="X10" i="8"/>
  <c r="X55" i="8"/>
  <c r="X62" i="8"/>
  <c r="X25" i="8"/>
  <c r="X5" i="8"/>
  <c r="X57" i="8"/>
  <c r="X63" i="8"/>
  <c r="X52" i="8"/>
  <c r="X44" i="8"/>
  <c r="X36" i="8"/>
  <c r="X28" i="8"/>
  <c r="X6" i="8"/>
  <c r="X51" i="8"/>
  <c r="X117" i="8" s="1"/>
  <c r="X33" i="8"/>
  <c r="X60" i="8"/>
  <c r="X34" i="8"/>
  <c r="X17" i="8"/>
  <c r="X7" i="8"/>
  <c r="X64" i="8"/>
  <c r="X130" i="8" s="1"/>
  <c r="X68" i="8"/>
  <c r="X27" i="8"/>
  <c r="X93" i="8" s="1"/>
  <c r="X42" i="8"/>
  <c r="X32" i="8"/>
  <c r="X35" i="8"/>
  <c r="X38" i="8"/>
  <c r="X45" i="8"/>
  <c r="X21" i="8"/>
  <c r="X61" i="8"/>
  <c r="X67" i="8"/>
  <c r="X14" i="8"/>
  <c r="X8" i="8"/>
  <c r="X47" i="8"/>
  <c r="X24" i="8"/>
  <c r="X43" i="8"/>
  <c r="X18" i="8"/>
  <c r="X49" i="8"/>
  <c r="X50" i="8"/>
  <c r="Y50" i="8" s="1"/>
  <c r="M50" i="8" s="1"/>
  <c r="X58" i="8"/>
  <c r="X13" i="8"/>
  <c r="X29" i="8"/>
  <c r="X30" i="8"/>
  <c r="P70" i="2"/>
  <c r="X69" i="8"/>
  <c r="Y69" i="8" s="1"/>
  <c r="T25" i="8"/>
  <c r="X71" i="8" l="1"/>
  <c r="Y5" i="8"/>
  <c r="X97" i="8"/>
  <c r="X116" i="8"/>
  <c r="Y29" i="8"/>
  <c r="M29" i="8" s="1"/>
  <c r="X113" i="8"/>
  <c r="Y47" i="8"/>
  <c r="M47" i="8" s="1"/>
  <c r="X101" i="8"/>
  <c r="Y35" i="8"/>
  <c r="M35" i="8" s="1"/>
  <c r="X100" i="8"/>
  <c r="Y34" i="8"/>
  <c r="M34" i="8" s="1"/>
  <c r="Y25" i="8"/>
  <c r="M25" i="8" s="1"/>
  <c r="X75" i="8"/>
  <c r="Y9" i="8"/>
  <c r="Y37" i="8"/>
  <c r="M37" i="8" s="1"/>
  <c r="X84" i="8"/>
  <c r="Y18" i="8"/>
  <c r="M18" i="8" s="1"/>
  <c r="Y32" i="8"/>
  <c r="M32" i="8" s="1"/>
  <c r="X94" i="8"/>
  <c r="Y28" i="8"/>
  <c r="M28" i="8" s="1"/>
  <c r="Y62" i="8"/>
  <c r="M62" i="8" s="1"/>
  <c r="Y19" i="8"/>
  <c r="M19" i="8" s="1"/>
  <c r="Y12" i="8"/>
  <c r="M12" i="8" s="1"/>
  <c r="X131" i="8"/>
  <c r="Y65" i="8"/>
  <c r="M65" i="8" s="1"/>
  <c r="X124" i="8"/>
  <c r="Y58" i="8"/>
  <c r="M58" i="8" s="1"/>
  <c r="X109" i="8"/>
  <c r="Y43" i="8"/>
  <c r="M43" i="8" s="1"/>
  <c r="X80" i="8"/>
  <c r="Y14" i="8"/>
  <c r="M14" i="8" s="1"/>
  <c r="X111" i="8"/>
  <c r="Y45" i="8"/>
  <c r="M45" i="8" s="1"/>
  <c r="X108" i="8"/>
  <c r="Y42" i="8"/>
  <c r="M42" i="8" s="1"/>
  <c r="X73" i="8"/>
  <c r="Y7" i="8"/>
  <c r="M7" i="8" s="1"/>
  <c r="X99" i="8"/>
  <c r="Y33" i="8"/>
  <c r="M33" i="8" s="1"/>
  <c r="X102" i="8"/>
  <c r="Y36" i="8"/>
  <c r="M36" i="8" s="1"/>
  <c r="X123" i="8"/>
  <c r="Y57" i="8"/>
  <c r="M57" i="8" s="1"/>
  <c r="Y55" i="8"/>
  <c r="M55" i="8" s="1"/>
  <c r="X132" i="8"/>
  <c r="Y66" i="8"/>
  <c r="M66" i="8" s="1"/>
  <c r="X120" i="8"/>
  <c r="Y54" i="8"/>
  <c r="M54" i="8" s="1"/>
  <c r="X82" i="8"/>
  <c r="Y16" i="8"/>
  <c r="M16" i="8" s="1"/>
  <c r="Y22" i="8"/>
  <c r="M22" i="8" s="1"/>
  <c r="Y39" i="8"/>
  <c r="M39" i="8" s="1"/>
  <c r="Y49" i="8"/>
  <c r="M49" i="8" s="1"/>
  <c r="X127" i="8"/>
  <c r="Y61" i="8"/>
  <c r="M61" i="8" s="1"/>
  <c r="X134" i="8"/>
  <c r="Y68" i="8"/>
  <c r="M68" i="8" s="1"/>
  <c r="X72" i="8"/>
  <c r="Y6" i="8"/>
  <c r="M6" i="8" s="1"/>
  <c r="X118" i="8"/>
  <c r="Y52" i="8"/>
  <c r="M52" i="8" s="1"/>
  <c r="Y40" i="8"/>
  <c r="M40" i="8" s="1"/>
  <c r="X81" i="8"/>
  <c r="Y15" i="8"/>
  <c r="M15" i="8" s="1"/>
  <c r="X70" i="8"/>
  <c r="Y4" i="8"/>
  <c r="Y48" i="8"/>
  <c r="M48" i="8" s="1"/>
  <c r="Y13" i="8"/>
  <c r="M13" i="8" s="1"/>
  <c r="X74" i="8"/>
  <c r="Y8" i="8"/>
  <c r="M8" i="8" s="1"/>
  <c r="X87" i="8"/>
  <c r="Y21" i="8"/>
  <c r="M21" i="8" s="1"/>
  <c r="Y64" i="8"/>
  <c r="M64" i="8" s="1"/>
  <c r="X126" i="8"/>
  <c r="Y60" i="8"/>
  <c r="M60" i="8" s="1"/>
  <c r="Y63" i="8"/>
  <c r="M63" i="8" s="1"/>
  <c r="X112" i="8"/>
  <c r="Y46" i="8"/>
  <c r="M46" i="8" s="1"/>
  <c r="Y53" i="8"/>
  <c r="M53" i="8" s="1"/>
  <c r="Y59" i="8"/>
  <c r="M59" i="8" s="1"/>
  <c r="Y30" i="8"/>
  <c r="M30" i="8" s="1"/>
  <c r="X90" i="8"/>
  <c r="Y24" i="8"/>
  <c r="M24" i="8" s="1"/>
  <c r="Y67" i="8"/>
  <c r="M67" i="8" s="1"/>
  <c r="Y38" i="8"/>
  <c r="M38" i="8" s="1"/>
  <c r="Y27" i="8"/>
  <c r="M27" i="8" s="1"/>
  <c r="X83" i="8"/>
  <c r="Y17" i="8"/>
  <c r="M17" i="8" s="1"/>
  <c r="Y51" i="8"/>
  <c r="M51" i="8" s="1"/>
  <c r="Y44" i="8"/>
  <c r="M44" i="8" s="1"/>
  <c r="M5" i="8"/>
  <c r="X76" i="8"/>
  <c r="Y10" i="8"/>
  <c r="M10" i="8" s="1"/>
  <c r="X89" i="8"/>
  <c r="Y23" i="8"/>
  <c r="M23" i="8" s="1"/>
  <c r="X122" i="8"/>
  <c r="Y56" i="8"/>
  <c r="M56" i="8" s="1"/>
  <c r="Y26" i="8"/>
  <c r="M26" i="8" s="1"/>
  <c r="Y20" i="8"/>
  <c r="M20" i="8" s="1"/>
  <c r="X129" i="8"/>
  <c r="X98" i="8"/>
  <c r="X125" i="8"/>
  <c r="X103" i="8"/>
  <c r="X85" i="8"/>
  <c r="X79" i="8"/>
  <c r="X119" i="8"/>
  <c r="X78" i="8"/>
  <c r="X128" i="8"/>
  <c r="X96" i="8"/>
  <c r="X88" i="8"/>
  <c r="X110" i="8"/>
  <c r="X133" i="8"/>
  <c r="X104" i="8"/>
  <c r="X105" i="8"/>
  <c r="X114" i="8"/>
  <c r="X95" i="8"/>
  <c r="X91" i="8"/>
  <c r="X121" i="8"/>
  <c r="X106" i="8"/>
  <c r="X115" i="8"/>
  <c r="M69" i="8"/>
  <c r="X135" i="8"/>
  <c r="M9" i="8" l="1"/>
  <c r="T202" i="8" a="1"/>
  <c r="T202" i="8" s="1"/>
  <c r="B2" i="26" l="1"/>
  <c r="P4" i="8" l="1"/>
  <c r="P70" i="8" l="1"/>
  <c r="S3" i="11" l="1"/>
  <c r="S7" i="11"/>
  <c r="S6" i="11"/>
  <c r="S4" i="11"/>
  <c r="S5" i="11"/>
  <c r="T267" i="8" l="1"/>
  <c r="U267" i="8" s="1"/>
  <c r="T266" i="8"/>
  <c r="U266" i="8" s="1"/>
  <c r="T265" i="8"/>
  <c r="U265" i="8" s="1"/>
  <c r="T264" i="8"/>
  <c r="U264" i="8" s="1"/>
  <c r="T263" i="8"/>
  <c r="U263" i="8" s="1"/>
  <c r="T262" i="8"/>
  <c r="U262" i="8" s="1"/>
  <c r="T261" i="8"/>
  <c r="U261" i="8" s="1"/>
  <c r="T260" i="8"/>
  <c r="U260" i="8" s="1"/>
  <c r="T259" i="8"/>
  <c r="U259" i="8" s="1"/>
  <c r="T258" i="8"/>
  <c r="U258" i="8" s="1"/>
  <c r="T257" i="8"/>
  <c r="U257" i="8" s="1"/>
  <c r="T256" i="8"/>
  <c r="U256" i="8" s="1"/>
  <c r="T255" i="8"/>
  <c r="U255" i="8" s="1"/>
  <c r="T254" i="8"/>
  <c r="U254" i="8" s="1"/>
  <c r="T253" i="8"/>
  <c r="U253" i="8" s="1"/>
  <c r="T252" i="8"/>
  <c r="U252" i="8" s="1"/>
  <c r="T251" i="8"/>
  <c r="U251" i="8" s="1"/>
  <c r="T250" i="8"/>
  <c r="U250" i="8" s="1"/>
  <c r="T249" i="8"/>
  <c r="U249" i="8" s="1"/>
  <c r="T248" i="8"/>
  <c r="U248" i="8" s="1"/>
  <c r="T247" i="8"/>
  <c r="U247" i="8" s="1"/>
  <c r="T246" i="8"/>
  <c r="U246" i="8" s="1"/>
  <c r="T245" i="8"/>
  <c r="U245" i="8" s="1"/>
  <c r="T244" i="8"/>
  <c r="U244" i="8" s="1"/>
  <c r="T243" i="8"/>
  <c r="U243" i="8" s="1"/>
  <c r="T242" i="8"/>
  <c r="U242" i="8" s="1"/>
  <c r="T241" i="8"/>
  <c r="U241" i="8" s="1"/>
  <c r="T240" i="8"/>
  <c r="U240" i="8" s="1"/>
  <c r="T239" i="8"/>
  <c r="U239" i="8" s="1"/>
  <c r="T238" i="8"/>
  <c r="U238" i="8" s="1"/>
  <c r="T237" i="8"/>
  <c r="U237" i="8" s="1"/>
  <c r="T236" i="8"/>
  <c r="U236" i="8" s="1"/>
  <c r="T235" i="8"/>
  <c r="U235" i="8" s="1"/>
  <c r="T234" i="8"/>
  <c r="U234" i="8" s="1"/>
  <c r="T233" i="8"/>
  <c r="U233" i="8" s="1"/>
  <c r="T232" i="8"/>
  <c r="U232" i="8" s="1"/>
  <c r="T231" i="8"/>
  <c r="U231" i="8" s="1"/>
  <c r="T230" i="8"/>
  <c r="U230" i="8" s="1"/>
  <c r="T229" i="8"/>
  <c r="U229" i="8" s="1"/>
  <c r="T228" i="8"/>
  <c r="U228" i="8" s="1"/>
  <c r="T227" i="8"/>
  <c r="U227" i="8" s="1"/>
  <c r="T226" i="8"/>
  <c r="U226" i="8" s="1"/>
  <c r="T225" i="8"/>
  <c r="U225" i="8" s="1"/>
  <c r="T224" i="8"/>
  <c r="U224" i="8" s="1"/>
  <c r="T223" i="8"/>
  <c r="U223" i="8" s="1"/>
  <c r="T222" i="8"/>
  <c r="U222" i="8" s="1"/>
  <c r="T221" i="8"/>
  <c r="U221" i="8" s="1"/>
  <c r="T220" i="8"/>
  <c r="U220" i="8" s="1"/>
  <c r="T219" i="8"/>
  <c r="U219" i="8" s="1"/>
  <c r="T218" i="8"/>
  <c r="U218" i="8" s="1"/>
  <c r="T217" i="8"/>
  <c r="U217" i="8" s="1"/>
  <c r="T216" i="8"/>
  <c r="U216" i="8" s="1"/>
  <c r="T215" i="8"/>
  <c r="U215" i="8" s="1"/>
  <c r="T214" i="8"/>
  <c r="U214" i="8" s="1"/>
  <c r="T213" i="8"/>
  <c r="U213" i="8" s="1"/>
  <c r="T212" i="8"/>
  <c r="U212" i="8" s="1"/>
  <c r="T211" i="8"/>
  <c r="U211" i="8" s="1"/>
  <c r="T210" i="8"/>
  <c r="U210" i="8" s="1"/>
  <c r="T209" i="8"/>
  <c r="U209" i="8" s="1"/>
  <c r="T208" i="8"/>
  <c r="U208" i="8" s="1"/>
  <c r="T207" i="8"/>
  <c r="U207" i="8" s="1"/>
  <c r="T206" i="8"/>
  <c r="U206" i="8" s="1"/>
  <c r="T205" i="8"/>
  <c r="U205" i="8" s="1"/>
  <c r="T204" i="8"/>
  <c r="U204" i="8" s="1"/>
  <c r="T203" i="8"/>
  <c r="U203" i="8" s="1"/>
  <c r="T201" i="8"/>
  <c r="T200" i="8"/>
  <c r="T199" i="8"/>
  <c r="T198" i="8"/>
  <c r="T197" i="8"/>
  <c r="T196" i="8"/>
  <c r="T195" i="8"/>
  <c r="T194" i="8"/>
  <c r="T193" i="8"/>
  <c r="T192" i="8"/>
  <c r="T191" i="8"/>
  <c r="T190" i="8"/>
  <c r="T189" i="8"/>
  <c r="T188" i="8"/>
  <c r="T187" i="8"/>
  <c r="T186" i="8"/>
  <c r="T185" i="8"/>
  <c r="T184" i="8"/>
  <c r="T183" i="8"/>
  <c r="T182" i="8"/>
  <c r="T181" i="8"/>
  <c r="T180" i="8"/>
  <c r="T179" i="8"/>
  <c r="T178" i="8"/>
  <c r="T177" i="8"/>
  <c r="T176" i="8"/>
  <c r="T175" i="8"/>
  <c r="T174" i="8"/>
  <c r="T173" i="8"/>
  <c r="T172" i="8"/>
  <c r="T171" i="8"/>
  <c r="T170" i="8"/>
  <c r="T169" i="8"/>
  <c r="T168" i="8"/>
  <c r="T167" i="8"/>
  <c r="T166" i="8"/>
  <c r="T165" i="8"/>
  <c r="T164" i="8"/>
  <c r="T163" i="8"/>
  <c r="T162" i="8"/>
  <c r="T161" i="8"/>
  <c r="T160" i="8"/>
  <c r="T159" i="8"/>
  <c r="T158" i="8"/>
  <c r="T157" i="8"/>
  <c r="T156" i="8"/>
  <c r="T155" i="8"/>
  <c r="T154" i="8"/>
  <c r="T153" i="8"/>
  <c r="T152" i="8"/>
  <c r="T151" i="8"/>
  <c r="T150" i="8"/>
  <c r="T149" i="8"/>
  <c r="T148" i="8"/>
  <c r="T147" i="8"/>
  <c r="T146" i="8"/>
  <c r="T145" i="8"/>
  <c r="T144" i="8"/>
  <c r="T143" i="8"/>
  <c r="T142" i="8"/>
  <c r="T141" i="8"/>
  <c r="T140" i="8"/>
  <c r="T139" i="8"/>
  <c r="T138" i="8"/>
  <c r="T137" i="8"/>
  <c r="T136" i="8"/>
  <c r="T135" i="8"/>
  <c r="U135" i="8" s="1"/>
  <c r="T134" i="8"/>
  <c r="U134" i="8" s="1"/>
  <c r="T133" i="8"/>
  <c r="U133" i="8" s="1"/>
  <c r="T132" i="8"/>
  <c r="U132" i="8" s="1"/>
  <c r="T131" i="8"/>
  <c r="U131" i="8" s="1"/>
  <c r="T130" i="8"/>
  <c r="U130" i="8" s="1"/>
  <c r="T129" i="8"/>
  <c r="U129" i="8" s="1"/>
  <c r="T128" i="8"/>
  <c r="U128" i="8" s="1"/>
  <c r="T127" i="8"/>
  <c r="U127" i="8" s="1"/>
  <c r="T126" i="8"/>
  <c r="U126" i="8" s="1"/>
  <c r="T125" i="8"/>
  <c r="T124" i="8"/>
  <c r="U124" i="8" s="1"/>
  <c r="T123" i="8"/>
  <c r="U123" i="8" s="1"/>
  <c r="T122" i="8"/>
  <c r="U122" i="8" s="1"/>
  <c r="T121" i="8"/>
  <c r="U121" i="8" s="1"/>
  <c r="T120" i="8"/>
  <c r="U120" i="8" s="1"/>
  <c r="T119" i="8"/>
  <c r="U119" i="8" s="1"/>
  <c r="T118" i="8"/>
  <c r="U118" i="8" s="1"/>
  <c r="T117" i="8"/>
  <c r="U117" i="8" s="1"/>
  <c r="T116" i="8"/>
  <c r="U116" i="8" s="1"/>
  <c r="T115" i="8"/>
  <c r="U115" i="8" s="1"/>
  <c r="T114" i="8"/>
  <c r="U114" i="8" s="1"/>
  <c r="T113" i="8"/>
  <c r="U113" i="8" s="1"/>
  <c r="T112" i="8"/>
  <c r="U112" i="8" s="1"/>
  <c r="T111" i="8"/>
  <c r="U111" i="8" s="1"/>
  <c r="T110" i="8"/>
  <c r="U110" i="8" s="1"/>
  <c r="T109" i="8"/>
  <c r="U109" i="8" s="1"/>
  <c r="T108" i="8"/>
  <c r="U108" i="8" s="1"/>
  <c r="T107" i="8"/>
  <c r="U107" i="8" s="1"/>
  <c r="T106" i="8"/>
  <c r="U106" i="8" s="1"/>
  <c r="T105" i="8"/>
  <c r="U105" i="8" s="1"/>
  <c r="T104" i="8"/>
  <c r="T103" i="8"/>
  <c r="U103" i="8" s="1"/>
  <c r="T102" i="8"/>
  <c r="U102" i="8" s="1"/>
  <c r="T101" i="8"/>
  <c r="U101" i="8" s="1"/>
  <c r="T100" i="8"/>
  <c r="T99" i="8"/>
  <c r="U99" i="8" s="1"/>
  <c r="T98" i="8"/>
  <c r="U98" i="8" s="1"/>
  <c r="T97" i="8"/>
  <c r="U97" i="8" s="1"/>
  <c r="T96" i="8"/>
  <c r="U96" i="8" s="1"/>
  <c r="T95" i="8"/>
  <c r="U95" i="8" s="1"/>
  <c r="T94" i="8"/>
  <c r="U94" i="8" s="1"/>
  <c r="T93" i="8"/>
  <c r="U93" i="8" s="1"/>
  <c r="T92" i="8"/>
  <c r="U92" i="8" s="1"/>
  <c r="T91" i="8"/>
  <c r="U91" i="8" s="1"/>
  <c r="T90" i="8"/>
  <c r="U90" i="8" s="1"/>
  <c r="T89" i="8"/>
  <c r="U89" i="8" s="1"/>
  <c r="T88" i="8"/>
  <c r="U88" i="8" s="1"/>
  <c r="T87" i="8"/>
  <c r="U87" i="8" s="1"/>
  <c r="T86" i="8"/>
  <c r="U86" i="8" s="1"/>
  <c r="T85" i="8"/>
  <c r="U85" i="8" s="1"/>
  <c r="T84" i="8"/>
  <c r="U84" i="8" s="1"/>
  <c r="T83" i="8"/>
  <c r="U83" i="8" s="1"/>
  <c r="T82" i="8"/>
  <c r="U82" i="8" s="1"/>
  <c r="T81" i="8"/>
  <c r="U81" i="8" s="1"/>
  <c r="T80" i="8"/>
  <c r="U80" i="8" s="1"/>
  <c r="T79" i="8"/>
  <c r="U79" i="8" s="1"/>
  <c r="T78" i="8"/>
  <c r="U78" i="8" s="1"/>
  <c r="T77" i="8"/>
  <c r="U77" i="8" s="1"/>
  <c r="T76" i="8"/>
  <c r="U76" i="8" s="1"/>
  <c r="T75" i="8"/>
  <c r="U75" i="8" s="1"/>
  <c r="T74" i="8"/>
  <c r="U74" i="8" s="1"/>
  <c r="T73" i="8"/>
  <c r="U73" i="8" s="1"/>
  <c r="T72" i="8"/>
  <c r="U72" i="8" s="1"/>
  <c r="T71" i="8"/>
  <c r="U71" i="8" s="1"/>
  <c r="T70" i="8"/>
  <c r="U70" i="8" s="1"/>
  <c r="T69" i="8"/>
  <c r="T68" i="8"/>
  <c r="T67" i="8"/>
  <c r="T66" i="8"/>
  <c r="T65" i="8"/>
  <c r="T64" i="8"/>
  <c r="T63" i="8"/>
  <c r="T62" i="8"/>
  <c r="T61" i="8"/>
  <c r="T60" i="8"/>
  <c r="T59" i="8"/>
  <c r="T58" i="8"/>
  <c r="T57" i="8"/>
  <c r="T56" i="8"/>
  <c r="T55" i="8"/>
  <c r="T54" i="8"/>
  <c r="T53" i="8"/>
  <c r="T52" i="8"/>
  <c r="T51" i="8"/>
  <c r="T50" i="8"/>
  <c r="T49" i="8"/>
  <c r="T48" i="8"/>
  <c r="T47" i="8"/>
  <c r="T46" i="8"/>
  <c r="T45" i="8"/>
  <c r="T44" i="8"/>
  <c r="T43" i="8"/>
  <c r="T42" i="8"/>
  <c r="T41" i="8"/>
  <c r="T40" i="8"/>
  <c r="T39" i="8"/>
  <c r="T38" i="8"/>
  <c r="T37" i="8"/>
  <c r="T36" i="8"/>
  <c r="T35" i="8"/>
  <c r="T34" i="8"/>
  <c r="T33" i="8"/>
  <c r="T32" i="8"/>
  <c r="T31" i="8"/>
  <c r="T30" i="8"/>
  <c r="T29" i="8"/>
  <c r="T28" i="8"/>
  <c r="T27" i="8"/>
  <c r="T26" i="8"/>
  <c r="T24" i="8"/>
  <c r="T23" i="8"/>
  <c r="T22" i="8"/>
  <c r="T21" i="8"/>
  <c r="T20" i="8"/>
  <c r="T19" i="8"/>
  <c r="T18" i="8"/>
  <c r="T17" i="8"/>
  <c r="T16" i="8"/>
  <c r="T15" i="8"/>
  <c r="T14" i="8"/>
  <c r="T13" i="8"/>
  <c r="T12" i="8"/>
  <c r="T11" i="8"/>
  <c r="T10" i="8"/>
  <c r="T9" i="8"/>
  <c r="T8" i="8"/>
  <c r="T7" i="8"/>
  <c r="T6" i="8"/>
  <c r="T5" i="8"/>
  <c r="T4" i="8"/>
  <c r="U4" i="8" s="1"/>
  <c r="AQ4" i="8" s="1"/>
  <c r="U166" i="8" l="1"/>
  <c r="U100" i="8"/>
  <c r="U170" i="8"/>
  <c r="U104" i="8"/>
  <c r="U125" i="8"/>
  <c r="U191" i="8"/>
  <c r="U140" i="8"/>
  <c r="AQ140" i="8" s="1"/>
  <c r="AQ191" i="8" l="1"/>
  <c r="AQ170" i="8"/>
  <c r="AQ166" i="8"/>
  <c r="V67" i="11"/>
  <c r="V66" i="11"/>
  <c r="V65" i="11"/>
  <c r="V64" i="11"/>
  <c r="V63" i="11"/>
  <c r="V62" i="11"/>
  <c r="V61" i="11"/>
  <c r="V60" i="11"/>
  <c r="V59" i="11"/>
  <c r="V58" i="11"/>
  <c r="V57" i="11"/>
  <c r="V56" i="11"/>
  <c r="V55" i="11"/>
  <c r="V54" i="11"/>
  <c r="V53" i="11"/>
  <c r="V52" i="11"/>
  <c r="V51" i="11"/>
  <c r="V50" i="11"/>
  <c r="V49" i="11"/>
  <c r="V48" i="11"/>
  <c r="V47" i="11"/>
  <c r="V46" i="11"/>
  <c r="V45" i="11"/>
  <c r="V44" i="11"/>
  <c r="V43" i="11"/>
  <c r="V42" i="11"/>
  <c r="V41" i="11"/>
  <c r="V40" i="11"/>
  <c r="V39" i="11"/>
  <c r="V38" i="11"/>
  <c r="V37" i="11"/>
  <c r="V36" i="11"/>
  <c r="V35" i="11"/>
  <c r="V34" i="11"/>
  <c r="V33" i="11"/>
  <c r="V32" i="11"/>
  <c r="V31" i="11"/>
  <c r="V30" i="11"/>
  <c r="V29" i="11"/>
  <c r="V28" i="11"/>
  <c r="V27" i="11"/>
  <c r="V26" i="11"/>
  <c r="V25" i="11"/>
  <c r="V24" i="11"/>
  <c r="V23" i="11"/>
  <c r="V22" i="11"/>
  <c r="V21" i="11"/>
  <c r="V20" i="11"/>
  <c r="V19" i="11"/>
  <c r="V18" i="11"/>
  <c r="V17" i="11"/>
  <c r="V16" i="11"/>
  <c r="V15" i="11"/>
  <c r="V14" i="11"/>
  <c r="V13" i="11"/>
  <c r="V12" i="11"/>
  <c r="V11" i="11"/>
  <c r="V10" i="11"/>
  <c r="V9" i="11"/>
  <c r="V8" i="11"/>
  <c r="V7" i="11"/>
  <c r="V6" i="11"/>
  <c r="V5" i="11"/>
  <c r="V4" i="11"/>
  <c r="V3" i="11"/>
  <c r="V2" i="11"/>
  <c r="P64" i="8" l="1"/>
  <c r="AM64" i="8" s="1"/>
  <c r="P65" i="8"/>
  <c r="AM65" i="8" s="1"/>
  <c r="M4" i="8" l="1"/>
  <c r="AF70" i="8" l="1"/>
  <c r="AF135" i="8"/>
  <c r="AF113" i="8"/>
  <c r="P7" i="8"/>
  <c r="AM7" i="8" s="1"/>
  <c r="P73" i="8"/>
  <c r="AF74" i="8"/>
  <c r="P8" i="8"/>
  <c r="AM8" i="8" s="1"/>
  <c r="P74" i="8"/>
  <c r="P9" i="8"/>
  <c r="AM9" i="8" s="1"/>
  <c r="P75" i="8"/>
  <c r="P10" i="8"/>
  <c r="AM10" i="8" s="1"/>
  <c r="P76" i="8"/>
  <c r="P11" i="8"/>
  <c r="AM11" i="8" s="1"/>
  <c r="P77" i="8"/>
  <c r="P12" i="8"/>
  <c r="AM12" i="8" s="1"/>
  <c r="P78" i="8"/>
  <c r="AF79" i="8"/>
  <c r="P13" i="8"/>
  <c r="AM13" i="8" s="1"/>
  <c r="P79" i="8"/>
  <c r="P14" i="8"/>
  <c r="AM14" i="8" s="1"/>
  <c r="P80" i="8"/>
  <c r="P15" i="8"/>
  <c r="AM15" i="8" s="1"/>
  <c r="P81" i="8"/>
  <c r="P16" i="8"/>
  <c r="AM16" i="8" s="1"/>
  <c r="P82" i="8"/>
  <c r="P17" i="8"/>
  <c r="AM17" i="8" s="1"/>
  <c r="P83" i="8"/>
  <c r="P18" i="8"/>
  <c r="AM18" i="8" s="1"/>
  <c r="P84" i="8"/>
  <c r="AF85" i="8"/>
  <c r="P19" i="8"/>
  <c r="AM19" i="8" s="1"/>
  <c r="P85" i="8"/>
  <c r="P20" i="8"/>
  <c r="AM20" i="8" s="1"/>
  <c r="P86" i="8"/>
  <c r="P21" i="8"/>
  <c r="AM21" i="8" s="1"/>
  <c r="P87" i="8"/>
  <c r="AF88" i="8"/>
  <c r="P22" i="8"/>
  <c r="AM22" i="8" s="1"/>
  <c r="P88" i="8"/>
  <c r="P23" i="8"/>
  <c r="AM23" i="8" s="1"/>
  <c r="P89" i="8"/>
  <c r="P24" i="8"/>
  <c r="AM24" i="8" s="1"/>
  <c r="P90" i="8"/>
  <c r="P25" i="8"/>
  <c r="AM25" i="8" s="1"/>
  <c r="P91" i="8"/>
  <c r="AF92" i="8"/>
  <c r="P26" i="8"/>
  <c r="AM26" i="8" s="1"/>
  <c r="P92" i="8"/>
  <c r="P27" i="8"/>
  <c r="AM27" i="8" s="1"/>
  <c r="P93" i="8"/>
  <c r="P28" i="8"/>
  <c r="AM28" i="8" s="1"/>
  <c r="P94" i="8"/>
  <c r="AF95" i="8"/>
  <c r="P29" i="8"/>
  <c r="AM29" i="8" s="1"/>
  <c r="P95" i="8"/>
  <c r="P30" i="8"/>
  <c r="AM30" i="8" s="1"/>
  <c r="P96" i="8"/>
  <c r="P31" i="8"/>
  <c r="AM31" i="8" s="1"/>
  <c r="P97" i="8"/>
  <c r="AF98" i="8"/>
  <c r="P32" i="8"/>
  <c r="AM32" i="8" s="1"/>
  <c r="P98" i="8"/>
  <c r="P33" i="8"/>
  <c r="AM33" i="8" s="1"/>
  <c r="P99" i="8"/>
  <c r="P34" i="8"/>
  <c r="AM34" i="8" s="1"/>
  <c r="P100" i="8"/>
  <c r="P35" i="8"/>
  <c r="AM35" i="8" s="1"/>
  <c r="P101" i="8"/>
  <c r="AF102" i="8"/>
  <c r="P36" i="8"/>
  <c r="AM36" i="8" s="1"/>
  <c r="P102" i="8"/>
  <c r="P37" i="8"/>
  <c r="AM37" i="8" s="1"/>
  <c r="P103" i="8"/>
  <c r="P38" i="8"/>
  <c r="AM38" i="8" s="1"/>
  <c r="P104" i="8"/>
  <c r="AF105" i="8"/>
  <c r="P39" i="8"/>
  <c r="AM39" i="8" s="1"/>
  <c r="P105" i="8"/>
  <c r="P40" i="8"/>
  <c r="AM40" i="8" s="1"/>
  <c r="P106" i="8"/>
  <c r="P41" i="8"/>
  <c r="AM41" i="8" s="1"/>
  <c r="P107" i="8"/>
  <c r="P42" i="8"/>
  <c r="AM42" i="8" s="1"/>
  <c r="P108" i="8"/>
  <c r="P43" i="8"/>
  <c r="AM43" i="8" s="1"/>
  <c r="P109" i="8"/>
  <c r="P44" i="8"/>
  <c r="AM44" i="8" s="1"/>
  <c r="P110" i="8"/>
  <c r="P45" i="8"/>
  <c r="AM45" i="8" s="1"/>
  <c r="P111" i="8"/>
  <c r="P46" i="8"/>
  <c r="AM46" i="8" s="1"/>
  <c r="P112" i="8"/>
  <c r="P47" i="8"/>
  <c r="AM47" i="8" s="1"/>
  <c r="P113" i="8"/>
  <c r="P48" i="8"/>
  <c r="AM48" i="8" s="1"/>
  <c r="P114" i="8"/>
  <c r="P49" i="8"/>
  <c r="AM49" i="8" s="1"/>
  <c r="P115" i="8"/>
  <c r="P50" i="8"/>
  <c r="AM50" i="8" s="1"/>
  <c r="P116" i="8"/>
  <c r="AF117" i="8"/>
  <c r="P51" i="8"/>
  <c r="AM51" i="8" s="1"/>
  <c r="P117" i="8"/>
  <c r="P52" i="8"/>
  <c r="AM52" i="8" s="1"/>
  <c r="P118" i="8"/>
  <c r="P53" i="8"/>
  <c r="AM53" i="8" s="1"/>
  <c r="P119" i="8"/>
  <c r="P54" i="8"/>
  <c r="AM54" i="8" s="1"/>
  <c r="P120" i="8"/>
  <c r="AF121" i="8"/>
  <c r="P55" i="8"/>
  <c r="AM55" i="8" s="1"/>
  <c r="P121" i="8"/>
  <c r="AF122" i="8"/>
  <c r="P56" i="8"/>
  <c r="AM56" i="8" s="1"/>
  <c r="P122" i="8"/>
  <c r="P57" i="8"/>
  <c r="AM57" i="8" s="1"/>
  <c r="P123" i="8"/>
  <c r="P58" i="8"/>
  <c r="AM58" i="8" s="1"/>
  <c r="P124" i="8"/>
  <c r="P59" i="8"/>
  <c r="AM59" i="8" s="1"/>
  <c r="P125" i="8"/>
  <c r="P60" i="8"/>
  <c r="AM60" i="8" s="1"/>
  <c r="P126" i="8"/>
  <c r="P61" i="8"/>
  <c r="AM61" i="8" s="1"/>
  <c r="P127" i="8"/>
  <c r="P62" i="8"/>
  <c r="AM62" i="8" s="1"/>
  <c r="P128" i="8"/>
  <c r="AF129" i="8"/>
  <c r="P63" i="8"/>
  <c r="AM63" i="8" s="1"/>
  <c r="P129" i="8"/>
  <c r="P130" i="8"/>
  <c r="P131" i="8"/>
  <c r="P66" i="8"/>
  <c r="AM66" i="8" s="1"/>
  <c r="P132" i="8"/>
  <c r="P67" i="8"/>
  <c r="AM67" i="8" s="1"/>
  <c r="P133" i="8"/>
  <c r="P68" i="8"/>
  <c r="AM68" i="8" s="1"/>
  <c r="P134" i="8"/>
  <c r="P69" i="8"/>
  <c r="AM69" i="8" s="1"/>
  <c r="P135" i="8"/>
  <c r="P5" i="8"/>
  <c r="AM5" i="8" s="1"/>
  <c r="P71" i="8"/>
  <c r="AF72" i="8"/>
  <c r="P6" i="8"/>
  <c r="AM6" i="8" s="1"/>
  <c r="P72" i="8"/>
  <c r="X138" i="8" l="1"/>
  <c r="Y138" i="8" s="1"/>
  <c r="Y72" i="8"/>
  <c r="M72" i="8" s="1"/>
  <c r="Q72" i="8" s="1"/>
  <c r="X168" i="8"/>
  <c r="Y168" i="8" s="1"/>
  <c r="M168" i="8" s="1"/>
  <c r="Y102" i="8"/>
  <c r="M102" i="8" s="1"/>
  <c r="Q102" i="8" s="1"/>
  <c r="X154" i="8"/>
  <c r="Y154" i="8" s="1"/>
  <c r="M154" i="8" s="1"/>
  <c r="Y88" i="8"/>
  <c r="M88" i="8" s="1"/>
  <c r="Q88" i="8" s="1"/>
  <c r="X179" i="8"/>
  <c r="Y179" i="8" s="1"/>
  <c r="M179" i="8" s="1"/>
  <c r="Y113" i="8"/>
  <c r="M113" i="8" s="1"/>
  <c r="X195" i="8"/>
  <c r="Y195" i="8" s="1"/>
  <c r="M195" i="8" s="1"/>
  <c r="Y129" i="8"/>
  <c r="M129" i="8" s="1"/>
  <c r="Q129" i="8" s="1"/>
  <c r="X158" i="8"/>
  <c r="Y158" i="8" s="1"/>
  <c r="M158" i="8" s="1"/>
  <c r="Y92" i="8"/>
  <c r="M92" i="8" s="1"/>
  <c r="Q92" i="8" s="1"/>
  <c r="X188" i="8"/>
  <c r="Y188" i="8" s="1"/>
  <c r="M188" i="8" s="1"/>
  <c r="Y122" i="8"/>
  <c r="M122" i="8" s="1"/>
  <c r="Q122" i="8" s="1"/>
  <c r="X187" i="8"/>
  <c r="Y187" i="8" s="1"/>
  <c r="M187" i="8" s="1"/>
  <c r="Y121" i="8"/>
  <c r="M121" i="8" s="1"/>
  <c r="Q121" i="8" s="1"/>
  <c r="X164" i="8"/>
  <c r="Y164" i="8" s="1"/>
  <c r="M164" i="8" s="1"/>
  <c r="Y98" i="8"/>
  <c r="M98" i="8" s="1"/>
  <c r="Q98" i="8" s="1"/>
  <c r="X151" i="8"/>
  <c r="Y151" i="8" s="1"/>
  <c r="M151" i="8" s="1"/>
  <c r="Y85" i="8"/>
  <c r="M85" i="8" s="1"/>
  <c r="Q85" i="8" s="1"/>
  <c r="X201" i="8"/>
  <c r="Y201" i="8" s="1"/>
  <c r="M201" i="8" s="1"/>
  <c r="Y135" i="8"/>
  <c r="M135" i="8" s="1"/>
  <c r="X171" i="8"/>
  <c r="Y171" i="8" s="1"/>
  <c r="M171" i="8" s="1"/>
  <c r="Y105" i="8"/>
  <c r="M105" i="8" s="1"/>
  <c r="Q105" i="8" s="1"/>
  <c r="X183" i="8"/>
  <c r="Y183" i="8" s="1"/>
  <c r="M183" i="8" s="1"/>
  <c r="Y117" i="8"/>
  <c r="M117" i="8" s="1"/>
  <c r="Q117" i="8" s="1"/>
  <c r="X161" i="8"/>
  <c r="Y161" i="8" s="1"/>
  <c r="M161" i="8" s="1"/>
  <c r="Y95" i="8"/>
  <c r="M95" i="8" s="1"/>
  <c r="Q95" i="8" s="1"/>
  <c r="X145" i="8"/>
  <c r="Y145" i="8" s="1"/>
  <c r="M145" i="8" s="1"/>
  <c r="Y79" i="8"/>
  <c r="M79" i="8" s="1"/>
  <c r="Q79" i="8" s="1"/>
  <c r="X140" i="8"/>
  <c r="Y140" i="8" s="1"/>
  <c r="Y74" i="8"/>
  <c r="M74" i="8" s="1"/>
  <c r="Q74" i="8" s="1"/>
  <c r="X136" i="8"/>
  <c r="Y70" i="8"/>
  <c r="M70" i="8" s="1"/>
  <c r="X253" i="8"/>
  <c r="Y253" i="8" s="1"/>
  <c r="J253" i="8" s="1"/>
  <c r="O58" i="2"/>
  <c r="O52" i="2"/>
  <c r="O50" i="2"/>
  <c r="O6" i="2"/>
  <c r="O56" i="2"/>
  <c r="O51" i="2"/>
  <c r="O49" i="2"/>
  <c r="O36" i="2"/>
  <c r="O33" i="2"/>
  <c r="O31" i="2"/>
  <c r="O28" i="2"/>
  <c r="O18" i="2"/>
  <c r="O16" i="2"/>
  <c r="O13" i="2"/>
  <c r="O11" i="2"/>
  <c r="O7" i="2"/>
  <c r="O60" i="2"/>
  <c r="O57" i="2"/>
  <c r="O54" i="2"/>
  <c r="O39" i="2"/>
  <c r="O34" i="2"/>
  <c r="O14" i="2"/>
  <c r="O9" i="2"/>
  <c r="O37" i="2"/>
  <c r="O32" i="2"/>
  <c r="O29" i="2"/>
  <c r="O17" i="2"/>
  <c r="O15" i="2"/>
  <c r="O12" i="2"/>
  <c r="O10" i="2"/>
  <c r="O61" i="2"/>
  <c r="O59" i="2"/>
  <c r="O55" i="2"/>
  <c r="O53" i="2"/>
  <c r="O38" i="2"/>
  <c r="O35" i="2"/>
  <c r="O30" i="2"/>
  <c r="O27" i="2"/>
  <c r="O8" i="2"/>
  <c r="U67" i="8"/>
  <c r="P61" i="2"/>
  <c r="P59" i="2"/>
  <c r="P55" i="2"/>
  <c r="P53" i="2"/>
  <c r="P38" i="2"/>
  <c r="P35" i="2"/>
  <c r="P30" i="2"/>
  <c r="P27" i="2"/>
  <c r="P8" i="2"/>
  <c r="P6" i="2"/>
  <c r="P51" i="2"/>
  <c r="P49" i="2"/>
  <c r="P36" i="2"/>
  <c r="P33" i="2"/>
  <c r="P31" i="2"/>
  <c r="P28" i="2"/>
  <c r="P18" i="2"/>
  <c r="P16" i="2"/>
  <c r="P13" i="2"/>
  <c r="P11" i="2"/>
  <c r="P7" i="2"/>
  <c r="P60" i="2"/>
  <c r="P57" i="2"/>
  <c r="P54" i="2"/>
  <c r="P39" i="2"/>
  <c r="P34" i="2"/>
  <c r="P14" i="2"/>
  <c r="P9" i="2"/>
  <c r="P58" i="2"/>
  <c r="P52" i="2"/>
  <c r="P50" i="2"/>
  <c r="P37" i="2"/>
  <c r="P32" i="2"/>
  <c r="P29" i="2"/>
  <c r="P17" i="2"/>
  <c r="P15" i="2"/>
  <c r="P12" i="2"/>
  <c r="P10" i="2"/>
  <c r="P67" i="2"/>
  <c r="P64" i="2"/>
  <c r="O22" i="2"/>
  <c r="P19" i="2"/>
  <c r="O62" i="2"/>
  <c r="O47" i="2"/>
  <c r="P45" i="2"/>
  <c r="O42" i="2"/>
  <c r="O41" i="2"/>
  <c r="O40" i="2"/>
  <c r="O24" i="2"/>
  <c r="O23" i="2"/>
  <c r="P21" i="2"/>
  <c r="P20" i="2"/>
  <c r="O69" i="2"/>
  <c r="P65" i="2"/>
  <c r="O46" i="2"/>
  <c r="P43" i="2"/>
  <c r="P25" i="2"/>
  <c r="P68" i="2"/>
  <c r="P69" i="2"/>
  <c r="O67" i="2"/>
  <c r="P66" i="2"/>
  <c r="O65" i="2"/>
  <c r="O64" i="2"/>
  <c r="O63" i="2"/>
  <c r="P46" i="2"/>
  <c r="O44" i="2"/>
  <c r="O43" i="2"/>
  <c r="O26" i="2"/>
  <c r="O25" i="2"/>
  <c r="P22" i="2"/>
  <c r="O19" i="2"/>
  <c r="O66" i="2"/>
  <c r="P63" i="2"/>
  <c r="P44" i="2"/>
  <c r="P26" i="2"/>
  <c r="O68" i="2"/>
  <c r="P62" i="2"/>
  <c r="P48" i="2"/>
  <c r="P47" i="2"/>
  <c r="O45" i="2"/>
  <c r="P42" i="2"/>
  <c r="P41" i="2"/>
  <c r="P40" i="2"/>
  <c r="P24" i="2"/>
  <c r="P23" i="2"/>
  <c r="O21" i="2"/>
  <c r="O20" i="2"/>
  <c r="P56" i="2"/>
  <c r="O48" i="2"/>
  <c r="Q7" i="2"/>
  <c r="U6" i="8"/>
  <c r="S68" i="2"/>
  <c r="R64" i="2"/>
  <c r="S56" i="2"/>
  <c r="R54" i="2"/>
  <c r="Q52" i="2"/>
  <c r="U51" i="8"/>
  <c r="S50" i="2"/>
  <c r="R49" i="2"/>
  <c r="Q47" i="2"/>
  <c r="U46" i="8"/>
  <c r="S45" i="2"/>
  <c r="R43" i="2"/>
  <c r="Q41" i="2"/>
  <c r="U40" i="8"/>
  <c r="S36" i="2"/>
  <c r="S35" i="2"/>
  <c r="Q32" i="2"/>
  <c r="U31" i="8"/>
  <c r="S28" i="2"/>
  <c r="R25" i="2"/>
  <c r="Q23" i="2"/>
  <c r="U22" i="8"/>
  <c r="S20" i="2"/>
  <c r="R19" i="2"/>
  <c r="R15" i="2"/>
  <c r="S11" i="2"/>
  <c r="R9" i="2"/>
  <c r="S69" i="2"/>
  <c r="Q67" i="2"/>
  <c r="U66" i="8"/>
  <c r="S66" i="2"/>
  <c r="Q64" i="2"/>
  <c r="U63" i="8"/>
  <c r="Q63" i="2"/>
  <c r="U62" i="8"/>
  <c r="S60" i="2"/>
  <c r="R59" i="2"/>
  <c r="R58" i="2"/>
  <c r="Q54" i="2"/>
  <c r="U53" i="8"/>
  <c r="Q49" i="2"/>
  <c r="U48" i="8"/>
  <c r="S46" i="2"/>
  <c r="R45" i="2"/>
  <c r="Q34" i="2"/>
  <c r="U33" i="8"/>
  <c r="S29" i="2"/>
  <c r="Q26" i="2"/>
  <c r="U25" i="8"/>
  <c r="Q25" i="2"/>
  <c r="U24" i="8"/>
  <c r="Q19" i="2"/>
  <c r="U18" i="8"/>
  <c r="S17" i="2"/>
  <c r="R16" i="2"/>
  <c r="Q14" i="2"/>
  <c r="U13" i="8"/>
  <c r="Q13" i="2"/>
  <c r="U12" i="8"/>
  <c r="R11" i="2"/>
  <c r="R7" i="2"/>
  <c r="R6" i="2"/>
  <c r="U69" i="8"/>
  <c r="Q69" i="2"/>
  <c r="U68" i="8"/>
  <c r="S67" i="2"/>
  <c r="Q66" i="2"/>
  <c r="U65" i="8"/>
  <c r="S65" i="2"/>
  <c r="S64" i="2"/>
  <c r="S63" i="2"/>
  <c r="R62" i="2"/>
  <c r="R61" i="2"/>
  <c r="Q60" i="2"/>
  <c r="U59" i="8"/>
  <c r="S54" i="2"/>
  <c r="R53" i="2"/>
  <c r="R52" i="2"/>
  <c r="Q51" i="2"/>
  <c r="U50" i="8"/>
  <c r="S49" i="2"/>
  <c r="R48" i="2"/>
  <c r="R47" i="2"/>
  <c r="Q46" i="2"/>
  <c r="U45" i="8"/>
  <c r="S44" i="2"/>
  <c r="S43" i="2"/>
  <c r="R42" i="2"/>
  <c r="R41" i="2"/>
  <c r="R40" i="2"/>
  <c r="R39" i="2"/>
  <c r="Q38" i="2"/>
  <c r="U37" i="8"/>
  <c r="Q37" i="2"/>
  <c r="U36" i="8"/>
  <c r="S34" i="2"/>
  <c r="S33" i="2"/>
  <c r="R32" i="2"/>
  <c r="Q31" i="2"/>
  <c r="U30" i="8"/>
  <c r="Q30" i="2"/>
  <c r="U29" i="8"/>
  <c r="Q29" i="2"/>
  <c r="U28" i="8"/>
  <c r="S26" i="2"/>
  <c r="S25" i="2"/>
  <c r="R24" i="2"/>
  <c r="R23" i="2"/>
  <c r="Q22" i="2"/>
  <c r="U21" i="8"/>
  <c r="S19" i="2"/>
  <c r="R18" i="2"/>
  <c r="Q17" i="2"/>
  <c r="U16" i="8"/>
  <c r="S15" i="2"/>
  <c r="S14" i="2"/>
  <c r="S13" i="2"/>
  <c r="Q12" i="2"/>
  <c r="U11" i="8"/>
  <c r="S10" i="2"/>
  <c r="S9" i="2"/>
  <c r="R8" i="2"/>
  <c r="Q6" i="2"/>
  <c r="U5" i="8"/>
  <c r="R67" i="2"/>
  <c r="R65" i="2"/>
  <c r="R26" i="2"/>
  <c r="R63" i="2"/>
  <c r="Q62" i="2"/>
  <c r="U61" i="8"/>
  <c r="Q61" i="2"/>
  <c r="U60" i="8"/>
  <c r="S59" i="2"/>
  <c r="S58" i="2"/>
  <c r="S57" i="2"/>
  <c r="S55" i="2"/>
  <c r="Q53" i="2"/>
  <c r="U52" i="8"/>
  <c r="Q48" i="2"/>
  <c r="U47" i="8"/>
  <c r="R44" i="2"/>
  <c r="Q42" i="2"/>
  <c r="U41" i="8"/>
  <c r="Q40" i="2"/>
  <c r="U39" i="8"/>
  <c r="Q39" i="2"/>
  <c r="U38" i="8"/>
  <c r="R34" i="2"/>
  <c r="R33" i="2"/>
  <c r="S27" i="2"/>
  <c r="Q24" i="2"/>
  <c r="U23" i="8"/>
  <c r="S21" i="2"/>
  <c r="Q18" i="2"/>
  <c r="U17" i="8"/>
  <c r="S16" i="2"/>
  <c r="R14" i="2"/>
  <c r="R13" i="2"/>
  <c r="R10" i="2"/>
  <c r="Q8" i="2"/>
  <c r="U7" i="8"/>
  <c r="R68" i="2"/>
  <c r="Q65" i="2"/>
  <c r="U64" i="8"/>
  <c r="R57" i="2"/>
  <c r="R56" i="2"/>
  <c r="R55" i="2"/>
  <c r="S51" i="2"/>
  <c r="R50" i="2"/>
  <c r="Q44" i="2"/>
  <c r="U43" i="8"/>
  <c r="Q43" i="2"/>
  <c r="U42" i="8"/>
  <c r="S38" i="2"/>
  <c r="S37" i="2"/>
  <c r="R36" i="2"/>
  <c r="R35" i="2"/>
  <c r="Q33" i="2"/>
  <c r="U32" i="8"/>
  <c r="S31" i="2"/>
  <c r="S30" i="2"/>
  <c r="R28" i="2"/>
  <c r="R27" i="2"/>
  <c r="S22" i="2"/>
  <c r="R21" i="2"/>
  <c r="R20" i="2"/>
  <c r="Q15" i="2"/>
  <c r="U14" i="8"/>
  <c r="AQ14" i="8" s="1"/>
  <c r="AS14" i="8" s="1"/>
  <c r="S12" i="2"/>
  <c r="Q10" i="2"/>
  <c r="U9" i="8"/>
  <c r="Q9" i="2"/>
  <c r="U8" i="8"/>
  <c r="S7" i="2"/>
  <c r="S6" i="2"/>
  <c r="R69" i="2"/>
  <c r="Q68" i="2"/>
  <c r="R66" i="2"/>
  <c r="S62" i="2"/>
  <c r="S61" i="2"/>
  <c r="R60" i="2"/>
  <c r="Q59" i="2"/>
  <c r="U58" i="8"/>
  <c r="Q58" i="2"/>
  <c r="U57" i="8"/>
  <c r="Q57" i="2"/>
  <c r="U56" i="8"/>
  <c r="Q56" i="2"/>
  <c r="U55" i="8"/>
  <c r="Q55" i="2"/>
  <c r="U54" i="8"/>
  <c r="S53" i="2"/>
  <c r="S52" i="2"/>
  <c r="R51" i="2"/>
  <c r="Q50" i="2"/>
  <c r="U49" i="8"/>
  <c r="S48" i="2"/>
  <c r="S47" i="2"/>
  <c r="R46" i="2"/>
  <c r="Q45" i="2"/>
  <c r="U44" i="8"/>
  <c r="S42" i="2"/>
  <c r="S41" i="2"/>
  <c r="S40" i="2"/>
  <c r="S39" i="2"/>
  <c r="R38" i="2"/>
  <c r="R37" i="2"/>
  <c r="Q36" i="2"/>
  <c r="U35" i="8"/>
  <c r="Q35" i="2"/>
  <c r="U34" i="8"/>
  <c r="S32" i="2"/>
  <c r="R31" i="2"/>
  <c r="R30" i="2"/>
  <c r="R29" i="2"/>
  <c r="Q28" i="2"/>
  <c r="U27" i="8"/>
  <c r="Q27" i="2"/>
  <c r="U26" i="8"/>
  <c r="S24" i="2"/>
  <c r="S23" i="2"/>
  <c r="R22" i="2"/>
  <c r="Q21" i="2"/>
  <c r="U20" i="8"/>
  <c r="Q20" i="2"/>
  <c r="U19" i="8"/>
  <c r="S18" i="2"/>
  <c r="R17" i="2"/>
  <c r="Q16" i="2"/>
  <c r="U15" i="8"/>
  <c r="R12" i="2"/>
  <c r="Q11" i="2"/>
  <c r="U10" i="8"/>
  <c r="S8" i="2"/>
  <c r="U195" i="8"/>
  <c r="AQ195" i="8" s="1"/>
  <c r="U136" i="8"/>
  <c r="U138" i="8"/>
  <c r="AQ138" i="8" s="1"/>
  <c r="U180" i="8"/>
  <c r="AQ180" i="8" s="1"/>
  <c r="U164" i="8"/>
  <c r="AQ164" i="8" s="1"/>
  <c r="U163" i="8"/>
  <c r="AQ163" i="8" s="1"/>
  <c r="U158" i="8"/>
  <c r="AQ158" i="8" s="1"/>
  <c r="U194" i="8"/>
  <c r="AQ194" i="8" s="1"/>
  <c r="U190" i="8"/>
  <c r="AQ190" i="8" s="1"/>
  <c r="U146" i="8"/>
  <c r="AQ146" i="8" s="1"/>
  <c r="U178" i="8"/>
  <c r="AQ178" i="8" s="1"/>
  <c r="U172" i="8"/>
  <c r="AQ172" i="8" s="1"/>
  <c r="U188" i="8"/>
  <c r="AQ188" i="8" s="1"/>
  <c r="U169" i="8"/>
  <c r="AQ169" i="8" s="1"/>
  <c r="U162" i="8"/>
  <c r="AQ162" i="8" s="1"/>
  <c r="U196" i="8"/>
  <c r="AQ196" i="8" s="1"/>
  <c r="U148" i="8"/>
  <c r="AQ148" i="8" s="1"/>
  <c r="U147" i="8"/>
  <c r="AQ147" i="8" s="1"/>
  <c r="U142" i="8"/>
  <c r="AQ142" i="8" s="1"/>
  <c r="AF97" i="8"/>
  <c r="AF125" i="8"/>
  <c r="AF89" i="8"/>
  <c r="AF81" i="8"/>
  <c r="AF133" i="8"/>
  <c r="AF73" i="8"/>
  <c r="AF77" i="8"/>
  <c r="Q8" i="8"/>
  <c r="AN8" i="8" s="1"/>
  <c r="AF90" i="8"/>
  <c r="Q24" i="8"/>
  <c r="AN24" i="8" s="1"/>
  <c r="AF71" i="8"/>
  <c r="AF123" i="8"/>
  <c r="Q66" i="8"/>
  <c r="AN66" i="8" s="1"/>
  <c r="Q32" i="8"/>
  <c r="AN32" i="8" s="1"/>
  <c r="U186" i="8"/>
  <c r="AQ186" i="8" s="1"/>
  <c r="U176" i="8"/>
  <c r="AQ176" i="8" s="1"/>
  <c r="U167" i="8"/>
  <c r="AQ167" i="8" s="1"/>
  <c r="U182" i="8"/>
  <c r="AQ182" i="8" s="1"/>
  <c r="U154" i="8"/>
  <c r="AQ154" i="8" s="1"/>
  <c r="U184" i="8"/>
  <c r="AQ184" i="8" s="1"/>
  <c r="U198" i="8"/>
  <c r="AQ198" i="8" s="1"/>
  <c r="U151" i="8"/>
  <c r="AQ151" i="8" s="1"/>
  <c r="U137" i="8"/>
  <c r="AQ137" i="8" s="1"/>
  <c r="U177" i="8"/>
  <c r="AQ177" i="8" s="1"/>
  <c r="U174" i="8"/>
  <c r="AQ174" i="8" s="1"/>
  <c r="U160" i="8"/>
  <c r="AQ160" i="8" s="1"/>
  <c r="U192" i="8"/>
  <c r="AQ192" i="8" s="1"/>
  <c r="U168" i="8"/>
  <c r="AQ168" i="8" s="1"/>
  <c r="U156" i="8"/>
  <c r="AQ156" i="8" s="1"/>
  <c r="AF115" i="8"/>
  <c r="AF111" i="8"/>
  <c r="AF109" i="8"/>
  <c r="AF107" i="8"/>
  <c r="AF101" i="8"/>
  <c r="AF96" i="8"/>
  <c r="AF93" i="8"/>
  <c r="AF80" i="8"/>
  <c r="AF75" i="8"/>
  <c r="AF124" i="8"/>
  <c r="AF119" i="8"/>
  <c r="Q52" i="8"/>
  <c r="AN52" i="8" s="1"/>
  <c r="AF130" i="8"/>
  <c r="AF132" i="8"/>
  <c r="AF116" i="8"/>
  <c r="AF114" i="8"/>
  <c r="AF110" i="8"/>
  <c r="AF86" i="8"/>
  <c r="AF84" i="8"/>
  <c r="AF83" i="8"/>
  <c r="AF82" i="8"/>
  <c r="AF76" i="8"/>
  <c r="AF127" i="8"/>
  <c r="AF103" i="8"/>
  <c r="AF131" i="8"/>
  <c r="Q64" i="8"/>
  <c r="AN64" i="8" s="1"/>
  <c r="AF99" i="8"/>
  <c r="AF91" i="8"/>
  <c r="Q21" i="8"/>
  <c r="AN21" i="8" s="1"/>
  <c r="Q34" i="8"/>
  <c r="AN34" i="8" s="1"/>
  <c r="Q68" i="8"/>
  <c r="AN68" i="8" s="1"/>
  <c r="Q26" i="8"/>
  <c r="AN26" i="8" s="1"/>
  <c r="Q56" i="8"/>
  <c r="AN56" i="8" s="1"/>
  <c r="AF100" i="8"/>
  <c r="X166" i="8" s="1"/>
  <c r="AF87" i="8"/>
  <c r="Q19" i="8"/>
  <c r="AN19" i="8" s="1"/>
  <c r="Q40" i="8"/>
  <c r="AN40" i="8" s="1"/>
  <c r="AF106" i="8"/>
  <c r="Q54" i="8"/>
  <c r="AN54" i="8" s="1"/>
  <c r="Q44" i="8"/>
  <c r="AN44" i="8" s="1"/>
  <c r="U144" i="8"/>
  <c r="AQ144" i="8" s="1"/>
  <c r="Q5" i="8"/>
  <c r="AN5" i="8" s="1"/>
  <c r="U200" i="8"/>
  <c r="AQ200" i="8" s="1"/>
  <c r="Q58" i="8"/>
  <c r="AN58" i="8" s="1"/>
  <c r="Q50" i="8"/>
  <c r="AN50" i="8" s="1"/>
  <c r="Q48" i="8"/>
  <c r="AN48" i="8" s="1"/>
  <c r="Q46" i="8"/>
  <c r="AN46" i="8" s="1"/>
  <c r="Q6" i="8"/>
  <c r="AN6" i="8" s="1"/>
  <c r="Q62" i="8"/>
  <c r="AN62" i="8" s="1"/>
  <c r="Q60" i="8"/>
  <c r="AN60" i="8" s="1"/>
  <c r="U153" i="8"/>
  <c r="AQ153" i="8" s="1"/>
  <c r="U149" i="8"/>
  <c r="AQ149" i="8" s="1"/>
  <c r="Q16" i="8"/>
  <c r="AN16" i="8" s="1"/>
  <c r="U155" i="8"/>
  <c r="AQ155" i="8" s="1"/>
  <c r="Q22" i="8"/>
  <c r="AN22" i="8" s="1"/>
  <c r="Q12" i="8"/>
  <c r="AN12" i="8" s="1"/>
  <c r="U139" i="8"/>
  <c r="AQ139" i="8" s="1"/>
  <c r="Q42" i="8"/>
  <c r="AN42" i="8" s="1"/>
  <c r="Q38" i="8"/>
  <c r="AN38" i="8" s="1"/>
  <c r="Q28" i="8"/>
  <c r="AN28" i="8" s="1"/>
  <c r="U150" i="8"/>
  <c r="AQ150" i="8" s="1"/>
  <c r="Q10" i="8"/>
  <c r="AN10" i="8" s="1"/>
  <c r="Q69" i="8"/>
  <c r="AN69" i="8" s="1"/>
  <c r="U197" i="8"/>
  <c r="AQ197" i="8" s="1"/>
  <c r="Q61" i="8"/>
  <c r="AN61" i="8" s="1"/>
  <c r="U189" i="8"/>
  <c r="AQ189" i="8" s="1"/>
  <c r="Q53" i="8"/>
  <c r="AN53" i="8" s="1"/>
  <c r="U181" i="8"/>
  <c r="AQ181" i="8" s="1"/>
  <c r="Q45" i="8"/>
  <c r="AN45" i="8" s="1"/>
  <c r="U199" i="8"/>
  <c r="AQ199" i="8" s="1"/>
  <c r="Q63" i="8"/>
  <c r="AN63" i="8" s="1"/>
  <c r="Q55" i="8"/>
  <c r="AN55" i="8" s="1"/>
  <c r="U183" i="8"/>
  <c r="AQ183" i="8" s="1"/>
  <c r="Q47" i="8"/>
  <c r="AN47" i="8" s="1"/>
  <c r="U173" i="8"/>
  <c r="AQ173" i="8" s="1"/>
  <c r="Q30" i="8"/>
  <c r="AN30" i="8" s="1"/>
  <c r="U201" i="8"/>
  <c r="AQ201" i="8" s="1"/>
  <c r="AF134" i="8"/>
  <c r="Q65" i="8"/>
  <c r="AN65" i="8" s="1"/>
  <c r="U193" i="8"/>
  <c r="AQ193" i="8" s="1"/>
  <c r="AF126" i="8"/>
  <c r="Q57" i="8"/>
  <c r="AN57" i="8" s="1"/>
  <c r="U185" i="8"/>
  <c r="AQ185" i="8" s="1"/>
  <c r="AF118" i="8"/>
  <c r="Q49" i="8"/>
  <c r="AN49" i="8" s="1"/>
  <c r="Q37" i="8"/>
  <c r="AN37" i="8" s="1"/>
  <c r="Q36" i="8"/>
  <c r="AN36" i="8" s="1"/>
  <c r="Q31" i="8"/>
  <c r="AN31" i="8" s="1"/>
  <c r="Q67" i="8"/>
  <c r="AN67" i="8" s="1"/>
  <c r="AF128" i="8"/>
  <c r="Q59" i="8"/>
  <c r="AN59" i="8" s="1"/>
  <c r="U187" i="8"/>
  <c r="AQ187" i="8" s="1"/>
  <c r="AF120" i="8"/>
  <c r="Q51" i="8"/>
  <c r="AN51" i="8" s="1"/>
  <c r="U179" i="8"/>
  <c r="AQ179" i="8" s="1"/>
  <c r="AF112" i="8"/>
  <c r="Q41" i="8"/>
  <c r="AN41" i="8" s="1"/>
  <c r="Q23" i="8"/>
  <c r="AN23" i="8" s="1"/>
  <c r="U175" i="8"/>
  <c r="AQ175" i="8" s="1"/>
  <c r="AF108" i="8"/>
  <c r="Q39" i="8"/>
  <c r="AN39" i="8" s="1"/>
  <c r="U159" i="8"/>
  <c r="AQ159" i="8" s="1"/>
  <c r="Q17" i="8"/>
  <c r="AN17" i="8" s="1"/>
  <c r="Q14" i="8"/>
  <c r="AN14" i="8" s="1"/>
  <c r="Q18" i="8"/>
  <c r="AN18" i="8" s="1"/>
  <c r="Q7" i="8"/>
  <c r="AN7" i="8" s="1"/>
  <c r="Q43" i="8"/>
  <c r="AN43" i="8" s="1"/>
  <c r="U171" i="8"/>
  <c r="AQ171" i="8" s="1"/>
  <c r="AF104" i="8"/>
  <c r="Q35" i="8"/>
  <c r="AN35" i="8" s="1"/>
  <c r="Q27" i="8"/>
  <c r="AN27" i="8" s="1"/>
  <c r="U165" i="8"/>
  <c r="AQ165" i="8" s="1"/>
  <c r="Q29" i="8"/>
  <c r="AN29" i="8" s="1"/>
  <c r="U157" i="8"/>
  <c r="AQ157" i="8" s="1"/>
  <c r="Q15" i="8"/>
  <c r="AN15" i="8" s="1"/>
  <c r="Q33" i="8"/>
  <c r="AN33" i="8" s="1"/>
  <c r="U161" i="8"/>
  <c r="AQ161" i="8" s="1"/>
  <c r="AF94" i="8"/>
  <c r="Q25" i="8"/>
  <c r="AN25" i="8" s="1"/>
  <c r="Q20" i="8"/>
  <c r="AN20" i="8" s="1"/>
  <c r="Q11" i="8"/>
  <c r="AN11" i="8" s="1"/>
  <c r="U152" i="8"/>
  <c r="AQ152" i="8" s="1"/>
  <c r="U143" i="8"/>
  <c r="AQ143" i="8" s="1"/>
  <c r="Q13" i="8"/>
  <c r="AN13" i="8" s="1"/>
  <c r="U141" i="8"/>
  <c r="AQ141" i="8" s="1"/>
  <c r="U145" i="8"/>
  <c r="AQ145" i="8" s="1"/>
  <c r="AF78" i="8"/>
  <c r="Q9" i="8"/>
  <c r="AN9" i="8" s="1"/>
  <c r="L267" i="8"/>
  <c r="L266" i="8"/>
  <c r="L265" i="8"/>
  <c r="L264" i="8"/>
  <c r="L263" i="8"/>
  <c r="L262" i="8"/>
  <c r="L261" i="8"/>
  <c r="L260" i="8"/>
  <c r="L259" i="8"/>
  <c r="L258" i="8"/>
  <c r="L257" i="8"/>
  <c r="L256" i="8"/>
  <c r="L255" i="8"/>
  <c r="L254" i="8"/>
  <c r="L253" i="8"/>
  <c r="L252" i="8"/>
  <c r="L251" i="8"/>
  <c r="L250" i="8"/>
  <c r="L249" i="8"/>
  <c r="L248" i="8"/>
  <c r="L247" i="8"/>
  <c r="L246" i="8"/>
  <c r="L245" i="8"/>
  <c r="L244" i="8"/>
  <c r="L243" i="8"/>
  <c r="L242" i="8"/>
  <c r="L241" i="8"/>
  <c r="L240" i="8"/>
  <c r="L239" i="8"/>
  <c r="L238" i="8"/>
  <c r="L237" i="8"/>
  <c r="L236" i="8"/>
  <c r="L235" i="8"/>
  <c r="L234" i="8"/>
  <c r="L233" i="8"/>
  <c r="L232" i="8"/>
  <c r="L231" i="8"/>
  <c r="L230" i="8"/>
  <c r="L229" i="8"/>
  <c r="L228" i="8"/>
  <c r="L227" i="8"/>
  <c r="L226" i="8"/>
  <c r="L225" i="8"/>
  <c r="L224" i="8"/>
  <c r="L223" i="8"/>
  <c r="L222" i="8"/>
  <c r="L221" i="8"/>
  <c r="L220" i="8"/>
  <c r="L219" i="8"/>
  <c r="L218" i="8"/>
  <c r="L217" i="8"/>
  <c r="L216" i="8"/>
  <c r="L215" i="8"/>
  <c r="L214" i="8"/>
  <c r="L213" i="8"/>
  <c r="L212" i="8"/>
  <c r="L211" i="8"/>
  <c r="L210" i="8"/>
  <c r="L209" i="8"/>
  <c r="L208" i="8"/>
  <c r="L207" i="8"/>
  <c r="L206" i="8"/>
  <c r="L205" i="8"/>
  <c r="L204" i="8"/>
  <c r="L203" i="8"/>
  <c r="L202" i="8"/>
  <c r="L201" i="8"/>
  <c r="L200" i="8"/>
  <c r="L199" i="8"/>
  <c r="L198" i="8"/>
  <c r="L197" i="8"/>
  <c r="L196" i="8"/>
  <c r="L195" i="8"/>
  <c r="L194" i="8"/>
  <c r="L193" i="8"/>
  <c r="L192" i="8"/>
  <c r="L191" i="8"/>
  <c r="L190" i="8"/>
  <c r="L189" i="8"/>
  <c r="L188" i="8"/>
  <c r="L187" i="8"/>
  <c r="L186" i="8"/>
  <c r="L185" i="8"/>
  <c r="L184" i="8"/>
  <c r="L183" i="8"/>
  <c r="L182" i="8"/>
  <c r="L181" i="8"/>
  <c r="L180" i="8"/>
  <c r="L179" i="8"/>
  <c r="L178" i="8"/>
  <c r="L177" i="8"/>
  <c r="L176" i="8"/>
  <c r="L175" i="8"/>
  <c r="L174" i="8"/>
  <c r="L173" i="8"/>
  <c r="L172" i="8"/>
  <c r="L171" i="8"/>
  <c r="L170" i="8"/>
  <c r="L169" i="8"/>
  <c r="L168" i="8"/>
  <c r="L167" i="8"/>
  <c r="L166" i="8"/>
  <c r="L165" i="8"/>
  <c r="L164" i="8"/>
  <c r="L163" i="8"/>
  <c r="L162" i="8"/>
  <c r="L161" i="8"/>
  <c r="L160" i="8"/>
  <c r="L159" i="8"/>
  <c r="L158" i="8"/>
  <c r="L157" i="8"/>
  <c r="L156" i="8"/>
  <c r="L155" i="8"/>
  <c r="L154" i="8"/>
  <c r="L153" i="8"/>
  <c r="L152" i="8"/>
  <c r="L151" i="8"/>
  <c r="L150" i="8"/>
  <c r="L149" i="8"/>
  <c r="L148" i="8"/>
  <c r="L147" i="8"/>
  <c r="L146" i="8"/>
  <c r="L145" i="8"/>
  <c r="L144" i="8"/>
  <c r="L143" i="8"/>
  <c r="L142" i="8"/>
  <c r="L141" i="8"/>
  <c r="L140" i="8"/>
  <c r="L139" i="8"/>
  <c r="L138" i="8"/>
  <c r="L137" i="8"/>
  <c r="L136" i="8"/>
  <c r="L135" i="8"/>
  <c r="L134" i="8"/>
  <c r="L133" i="8"/>
  <c r="L132" i="8"/>
  <c r="L131" i="8"/>
  <c r="L130" i="8"/>
  <c r="L129" i="8"/>
  <c r="L128" i="8"/>
  <c r="L127" i="8"/>
  <c r="L126" i="8"/>
  <c r="L125" i="8"/>
  <c r="L124" i="8"/>
  <c r="L123" i="8"/>
  <c r="L122" i="8"/>
  <c r="L121" i="8"/>
  <c r="L120" i="8"/>
  <c r="L119" i="8"/>
  <c r="L118" i="8"/>
  <c r="L117" i="8"/>
  <c r="L116" i="8"/>
  <c r="L115" i="8"/>
  <c r="L114" i="8"/>
  <c r="L113" i="8"/>
  <c r="L112" i="8"/>
  <c r="L111" i="8"/>
  <c r="L110" i="8"/>
  <c r="L109" i="8"/>
  <c r="L108" i="8"/>
  <c r="L107" i="8"/>
  <c r="L106" i="8"/>
  <c r="L105" i="8"/>
  <c r="L104" i="8"/>
  <c r="L103" i="8"/>
  <c r="L102" i="8"/>
  <c r="L101" i="8"/>
  <c r="L100" i="8"/>
  <c r="L99" i="8"/>
  <c r="L98" i="8"/>
  <c r="L97" i="8"/>
  <c r="L96" i="8"/>
  <c r="L95" i="8"/>
  <c r="L94" i="8"/>
  <c r="L93" i="8"/>
  <c r="L92" i="8"/>
  <c r="L91" i="8"/>
  <c r="L90" i="8"/>
  <c r="L89" i="8"/>
  <c r="L88" i="8"/>
  <c r="L87" i="8"/>
  <c r="L86" i="8"/>
  <c r="L85" i="8"/>
  <c r="L84" i="8"/>
  <c r="L83" i="8"/>
  <c r="L82" i="8"/>
  <c r="L81" i="8"/>
  <c r="L80" i="8"/>
  <c r="L79" i="8"/>
  <c r="L78" i="8"/>
  <c r="L77" i="8"/>
  <c r="L76" i="8"/>
  <c r="L75" i="8"/>
  <c r="L74" i="8"/>
  <c r="L73" i="8"/>
  <c r="L72" i="8"/>
  <c r="L71" i="8"/>
  <c r="L70" i="8"/>
  <c r="L69" i="8"/>
  <c r="AJ69" i="8" s="1"/>
  <c r="L68" i="8"/>
  <c r="AJ68" i="8" s="1"/>
  <c r="L67" i="8"/>
  <c r="AJ67" i="8" s="1"/>
  <c r="L66" i="8"/>
  <c r="AJ66" i="8" s="1"/>
  <c r="L65" i="8"/>
  <c r="AJ65" i="8" s="1"/>
  <c r="L64" i="8"/>
  <c r="AJ64" i="8" s="1"/>
  <c r="L63" i="8"/>
  <c r="AJ63" i="8" s="1"/>
  <c r="L62" i="8"/>
  <c r="AJ62" i="8" s="1"/>
  <c r="L61" i="8"/>
  <c r="AJ61" i="8" s="1"/>
  <c r="L60" i="8"/>
  <c r="AJ60" i="8" s="1"/>
  <c r="L59" i="8"/>
  <c r="AJ59" i="8" s="1"/>
  <c r="L58" i="8"/>
  <c r="AJ58" i="8" s="1"/>
  <c r="L57" i="8"/>
  <c r="AJ57" i="8" s="1"/>
  <c r="L56" i="8"/>
  <c r="AJ56" i="8" s="1"/>
  <c r="L55" i="8"/>
  <c r="AJ55" i="8" s="1"/>
  <c r="L54" i="8"/>
  <c r="AJ54" i="8" s="1"/>
  <c r="L53" i="8"/>
  <c r="AJ53" i="8" s="1"/>
  <c r="L52" i="8"/>
  <c r="AJ52" i="8" s="1"/>
  <c r="L51" i="8"/>
  <c r="AJ51" i="8" s="1"/>
  <c r="L50" i="8"/>
  <c r="AJ50" i="8" s="1"/>
  <c r="L49" i="8"/>
  <c r="AJ49" i="8" s="1"/>
  <c r="L48" i="8"/>
  <c r="AJ48" i="8" s="1"/>
  <c r="L47" i="8"/>
  <c r="AJ47" i="8" s="1"/>
  <c r="L46" i="8"/>
  <c r="AJ46" i="8" s="1"/>
  <c r="L45" i="8"/>
  <c r="AJ45" i="8" s="1"/>
  <c r="L44" i="8"/>
  <c r="AJ44" i="8" s="1"/>
  <c r="L43" i="8"/>
  <c r="AJ43" i="8" s="1"/>
  <c r="L42" i="8"/>
  <c r="AJ42" i="8" s="1"/>
  <c r="L41" i="8"/>
  <c r="AJ41" i="8" s="1"/>
  <c r="L40" i="8"/>
  <c r="AJ40" i="8" s="1"/>
  <c r="L39" i="8"/>
  <c r="AJ39" i="8" s="1"/>
  <c r="L38" i="8"/>
  <c r="AJ38" i="8" s="1"/>
  <c r="L37" i="8"/>
  <c r="AJ37" i="8" s="1"/>
  <c r="L36" i="8"/>
  <c r="AJ36" i="8" s="1"/>
  <c r="L35" i="8"/>
  <c r="AJ35" i="8" s="1"/>
  <c r="L34" i="8"/>
  <c r="AJ34" i="8" s="1"/>
  <c r="L33" i="8"/>
  <c r="AJ33" i="8" s="1"/>
  <c r="L32" i="8"/>
  <c r="AJ32" i="8" s="1"/>
  <c r="L31" i="8"/>
  <c r="AJ31" i="8" s="1"/>
  <c r="L30" i="8"/>
  <c r="AJ30" i="8" s="1"/>
  <c r="L29" i="8"/>
  <c r="AJ29" i="8" s="1"/>
  <c r="L28" i="8"/>
  <c r="AJ28" i="8" s="1"/>
  <c r="L27" i="8"/>
  <c r="AJ27" i="8" s="1"/>
  <c r="L26" i="8"/>
  <c r="AJ26" i="8" s="1"/>
  <c r="L25" i="8"/>
  <c r="AJ25" i="8" s="1"/>
  <c r="L24" i="8"/>
  <c r="AJ24" i="8" s="1"/>
  <c r="L23" i="8"/>
  <c r="AJ23" i="8" s="1"/>
  <c r="L22" i="8"/>
  <c r="AJ22" i="8" s="1"/>
  <c r="L21" i="8"/>
  <c r="AJ21" i="8" s="1"/>
  <c r="L20" i="8"/>
  <c r="AJ20" i="8" s="1"/>
  <c r="L19" i="8"/>
  <c r="AJ19" i="8" s="1"/>
  <c r="L18" i="8"/>
  <c r="AJ18" i="8" s="1"/>
  <c r="L17" i="8"/>
  <c r="AJ17" i="8" s="1"/>
  <c r="L16" i="8"/>
  <c r="AJ16" i="8" s="1"/>
  <c r="L15" i="8"/>
  <c r="AJ15" i="8" s="1"/>
  <c r="L14" i="8"/>
  <c r="AJ14" i="8" s="1"/>
  <c r="L13" i="8"/>
  <c r="AJ13" i="8" s="1"/>
  <c r="L12" i="8"/>
  <c r="AJ12" i="8" s="1"/>
  <c r="L11" i="8"/>
  <c r="AJ11" i="8" s="1"/>
  <c r="L10" i="8"/>
  <c r="AJ10" i="8" s="1"/>
  <c r="L9" i="8"/>
  <c r="AJ9" i="8" s="1"/>
  <c r="L8" i="8"/>
  <c r="AJ8" i="8" s="1"/>
  <c r="L7" i="8"/>
  <c r="AJ7" i="8" s="1"/>
  <c r="L6" i="8"/>
  <c r="AJ6" i="8" s="1"/>
  <c r="L5" i="8"/>
  <c r="AJ5" i="8" s="1"/>
  <c r="L4" i="8"/>
  <c r="AK12" i="8" l="1"/>
  <c r="AL12" i="8"/>
  <c r="AL24" i="8"/>
  <c r="AK24" i="8"/>
  <c r="AL32" i="8"/>
  <c r="AK32" i="8"/>
  <c r="AK44" i="8"/>
  <c r="AL44" i="8"/>
  <c r="AK56" i="8"/>
  <c r="AL56" i="8"/>
  <c r="AK68" i="8"/>
  <c r="AL68" i="8"/>
  <c r="AL5" i="8"/>
  <c r="AK5" i="8"/>
  <c r="AK9" i="8"/>
  <c r="AL9" i="8"/>
  <c r="AK13" i="8"/>
  <c r="AL13" i="8"/>
  <c r="AK17" i="8"/>
  <c r="AL17" i="8"/>
  <c r="AL21" i="8"/>
  <c r="AK21" i="8"/>
  <c r="AK25" i="8"/>
  <c r="AL25" i="8"/>
  <c r="AL29" i="8"/>
  <c r="AK29" i="8"/>
  <c r="AK33" i="8"/>
  <c r="AL33" i="8"/>
  <c r="AL37" i="8"/>
  <c r="AK37" i="8"/>
  <c r="AK41" i="8"/>
  <c r="AL41" i="8"/>
  <c r="AL45" i="8"/>
  <c r="AK45" i="8"/>
  <c r="AL49" i="8"/>
  <c r="AK49" i="8"/>
  <c r="AK53" i="8"/>
  <c r="AL53" i="8"/>
  <c r="AL57" i="8"/>
  <c r="AK57" i="8"/>
  <c r="AL61" i="8"/>
  <c r="AK61" i="8"/>
  <c r="AL65" i="8"/>
  <c r="AK65" i="8"/>
  <c r="AK69" i="8"/>
  <c r="AL69" i="8"/>
  <c r="AK8" i="8"/>
  <c r="AL8" i="8"/>
  <c r="AK20" i="8"/>
  <c r="AL20" i="8"/>
  <c r="AL40" i="8"/>
  <c r="AK40" i="8"/>
  <c r="AK60" i="8"/>
  <c r="AL60" i="8"/>
  <c r="AK10" i="8"/>
  <c r="AL10" i="8"/>
  <c r="AK18" i="8"/>
  <c r="AL18" i="8"/>
  <c r="AK26" i="8"/>
  <c r="AL26" i="8"/>
  <c r="AL30" i="8"/>
  <c r="AK30" i="8"/>
  <c r="AL34" i="8"/>
  <c r="AK34" i="8"/>
  <c r="AL38" i="8"/>
  <c r="AK38" i="8"/>
  <c r="AL42" i="8"/>
  <c r="AK42" i="8"/>
  <c r="AK46" i="8"/>
  <c r="AL46" i="8"/>
  <c r="AL50" i="8"/>
  <c r="AK50" i="8"/>
  <c r="AL54" i="8"/>
  <c r="AK54" i="8"/>
  <c r="AK58" i="8"/>
  <c r="AL58" i="8"/>
  <c r="AK62" i="8"/>
  <c r="AL62" i="8"/>
  <c r="AK66" i="8"/>
  <c r="AL66" i="8"/>
  <c r="AJ4" i="8"/>
  <c r="AL16" i="8"/>
  <c r="AK16" i="8"/>
  <c r="AK28" i="8"/>
  <c r="AL28" i="8"/>
  <c r="AK36" i="8"/>
  <c r="AL36" i="8"/>
  <c r="AK48" i="8"/>
  <c r="AL48" i="8"/>
  <c r="AK52" i="8"/>
  <c r="AL52" i="8"/>
  <c r="AK64" i="8"/>
  <c r="AL64" i="8"/>
  <c r="AL6" i="8"/>
  <c r="AK6" i="8"/>
  <c r="AL14" i="8"/>
  <c r="AK14" i="8"/>
  <c r="AL22" i="8"/>
  <c r="AK22" i="8"/>
  <c r="AK7" i="8"/>
  <c r="AL7" i="8"/>
  <c r="AL11" i="8"/>
  <c r="AK11" i="8"/>
  <c r="AK15" i="8"/>
  <c r="AL15" i="8"/>
  <c r="AL19" i="8"/>
  <c r="AK19" i="8"/>
  <c r="AK23" i="8"/>
  <c r="AL23" i="8"/>
  <c r="AL27" i="8"/>
  <c r="AK27" i="8"/>
  <c r="AK31" i="8"/>
  <c r="AL31" i="8"/>
  <c r="AL35" i="8"/>
  <c r="AK35" i="8"/>
  <c r="AK39" i="8"/>
  <c r="AL39" i="8"/>
  <c r="AL43" i="8"/>
  <c r="AK43" i="8"/>
  <c r="AK47" i="8"/>
  <c r="AL47" i="8"/>
  <c r="AK51" i="8"/>
  <c r="AL51" i="8"/>
  <c r="AL55" i="8"/>
  <c r="AK55" i="8"/>
  <c r="AL59" i="8"/>
  <c r="AK59" i="8"/>
  <c r="AK63" i="8"/>
  <c r="AL63" i="8"/>
  <c r="AK67" i="8"/>
  <c r="AL67" i="8"/>
  <c r="W27" i="8"/>
  <c r="AQ27" i="8"/>
  <c r="AS27" i="8" s="1"/>
  <c r="W57" i="8"/>
  <c r="AQ57" i="8"/>
  <c r="AS57" i="8" s="1"/>
  <c r="W8" i="8"/>
  <c r="AQ8" i="8"/>
  <c r="AS8" i="8" s="1"/>
  <c r="W42" i="8"/>
  <c r="AQ42" i="8"/>
  <c r="AS42" i="8" s="1"/>
  <c r="W7" i="8"/>
  <c r="AQ7" i="8"/>
  <c r="AS7" i="8" s="1"/>
  <c r="W45" i="8"/>
  <c r="AQ45" i="8"/>
  <c r="AS45" i="8" s="1"/>
  <c r="W13" i="8"/>
  <c r="AQ13" i="8"/>
  <c r="AS13" i="8" s="1"/>
  <c r="W25" i="8"/>
  <c r="AQ25" i="8"/>
  <c r="AS25" i="8" s="1"/>
  <c r="W63" i="8"/>
  <c r="AQ63" i="8"/>
  <c r="AS63" i="8" s="1"/>
  <c r="W49" i="8"/>
  <c r="AQ49" i="8"/>
  <c r="AS49" i="8" s="1"/>
  <c r="W64" i="8"/>
  <c r="AQ64" i="8"/>
  <c r="AS64" i="8" s="1"/>
  <c r="W47" i="8"/>
  <c r="AQ47" i="8"/>
  <c r="AS47" i="8" s="1"/>
  <c r="W30" i="8"/>
  <c r="AQ30" i="8"/>
  <c r="AS30" i="8" s="1"/>
  <c r="W65" i="8"/>
  <c r="AQ65" i="8"/>
  <c r="AS65" i="8" s="1"/>
  <c r="W53" i="8"/>
  <c r="AQ53" i="8"/>
  <c r="AS53" i="8" s="1"/>
  <c r="W26" i="8"/>
  <c r="AQ26" i="8"/>
  <c r="AS26" i="8" s="1"/>
  <c r="W34" i="8"/>
  <c r="AQ34" i="8"/>
  <c r="AS34" i="8" s="1"/>
  <c r="W54" i="8"/>
  <c r="AQ54" i="8"/>
  <c r="AS54" i="8" s="1"/>
  <c r="W56" i="8"/>
  <c r="AQ56" i="8"/>
  <c r="AS56" i="8" s="1"/>
  <c r="W58" i="8"/>
  <c r="AQ58" i="8"/>
  <c r="AS58" i="8" s="1"/>
  <c r="W9" i="8"/>
  <c r="AQ9" i="8"/>
  <c r="AS9" i="8" s="1"/>
  <c r="W32" i="8"/>
  <c r="AQ32" i="8"/>
  <c r="AS32" i="8" s="1"/>
  <c r="W43" i="8"/>
  <c r="AQ43" i="8"/>
  <c r="AS43" i="8" s="1"/>
  <c r="W17" i="8"/>
  <c r="AQ17" i="8"/>
  <c r="AS17" i="8" s="1"/>
  <c r="W38" i="8"/>
  <c r="AQ38" i="8"/>
  <c r="AS38" i="8" s="1"/>
  <c r="W41" i="8"/>
  <c r="AQ41" i="8"/>
  <c r="AS41" i="8" s="1"/>
  <c r="W11" i="8"/>
  <c r="AQ11" i="8"/>
  <c r="AS11" i="8" s="1"/>
  <c r="W36" i="8"/>
  <c r="AQ36" i="8"/>
  <c r="AS36" i="8" s="1"/>
  <c r="W59" i="8"/>
  <c r="AQ59" i="8"/>
  <c r="AS59" i="8" s="1"/>
  <c r="W69" i="8"/>
  <c r="AQ69" i="8"/>
  <c r="AS69" i="8" s="1"/>
  <c r="W12" i="8"/>
  <c r="AQ12" i="8"/>
  <c r="AS12" i="8" s="1"/>
  <c r="W24" i="8"/>
  <c r="AQ24" i="8"/>
  <c r="AS24" i="8" s="1"/>
  <c r="W62" i="8"/>
  <c r="AQ62" i="8"/>
  <c r="AS62" i="8" s="1"/>
  <c r="W10" i="8"/>
  <c r="AQ10" i="8"/>
  <c r="AS10" i="8" s="1"/>
  <c r="W35" i="8"/>
  <c r="AQ35" i="8"/>
  <c r="AS35" i="8" s="1"/>
  <c r="W44" i="8"/>
  <c r="AQ44" i="8"/>
  <c r="AS44" i="8" s="1"/>
  <c r="W55" i="8"/>
  <c r="AQ55" i="8"/>
  <c r="AS55" i="8" s="1"/>
  <c r="W39" i="8"/>
  <c r="AQ39" i="8"/>
  <c r="AS39" i="8" s="1"/>
  <c r="W37" i="8"/>
  <c r="AQ37" i="8"/>
  <c r="AS37" i="8" s="1"/>
  <c r="W68" i="8"/>
  <c r="AQ68" i="8"/>
  <c r="AS68" i="8" s="1"/>
  <c r="W18" i="8"/>
  <c r="AQ18" i="8"/>
  <c r="AS18" i="8" s="1"/>
  <c r="W67" i="8"/>
  <c r="AQ67" i="8"/>
  <c r="AS67" i="8" s="1"/>
  <c r="W20" i="8"/>
  <c r="AQ20" i="8"/>
  <c r="AS20" i="8" s="1"/>
  <c r="W23" i="8"/>
  <c r="AQ23" i="8"/>
  <c r="AS23" i="8" s="1"/>
  <c r="W60" i="8"/>
  <c r="AQ60" i="8"/>
  <c r="AS60" i="8" s="1"/>
  <c r="W5" i="8"/>
  <c r="AQ5" i="8"/>
  <c r="AS5" i="8" s="1"/>
  <c r="W28" i="8"/>
  <c r="AQ28" i="8"/>
  <c r="AS28" i="8" s="1"/>
  <c r="W50" i="8"/>
  <c r="AQ50" i="8"/>
  <c r="AS50" i="8" s="1"/>
  <c r="W6" i="8"/>
  <c r="AQ6" i="8"/>
  <c r="AS6" i="8" s="1"/>
  <c r="W15" i="8"/>
  <c r="AQ15" i="8"/>
  <c r="AS15" i="8" s="1"/>
  <c r="W19" i="8"/>
  <c r="AQ19" i="8"/>
  <c r="AS19" i="8" s="1"/>
  <c r="W52" i="8"/>
  <c r="AQ52" i="8"/>
  <c r="AS52" i="8" s="1"/>
  <c r="W61" i="8"/>
  <c r="AQ61" i="8"/>
  <c r="AS61" i="8" s="1"/>
  <c r="W16" i="8"/>
  <c r="AQ16" i="8"/>
  <c r="AS16" i="8" s="1"/>
  <c r="W21" i="8"/>
  <c r="AQ21" i="8"/>
  <c r="AS21" i="8" s="1"/>
  <c r="W29" i="8"/>
  <c r="AQ29" i="8"/>
  <c r="AS29" i="8" s="1"/>
  <c r="W33" i="8"/>
  <c r="AQ33" i="8"/>
  <c r="AS33" i="8" s="1"/>
  <c r="W48" i="8"/>
  <c r="AQ48" i="8"/>
  <c r="AS48" i="8" s="1"/>
  <c r="W66" i="8"/>
  <c r="AQ66" i="8"/>
  <c r="AS66" i="8" s="1"/>
  <c r="W22" i="8"/>
  <c r="AQ22" i="8"/>
  <c r="AS22" i="8" s="1"/>
  <c r="W31" i="8"/>
  <c r="AQ31" i="8"/>
  <c r="AS31" i="8" s="1"/>
  <c r="W40" i="8"/>
  <c r="AQ40" i="8"/>
  <c r="AS40" i="8" s="1"/>
  <c r="W46" i="8"/>
  <c r="AQ46" i="8"/>
  <c r="AS46" i="8" s="1"/>
  <c r="W51" i="8"/>
  <c r="AQ51" i="8"/>
  <c r="AS51" i="8" s="1"/>
  <c r="X204" i="8"/>
  <c r="Y204" i="8" s="1"/>
  <c r="J204" i="8" s="1"/>
  <c r="X267" i="8"/>
  <c r="Y267" i="8" s="1"/>
  <c r="J267" i="8" s="1"/>
  <c r="X217" i="8"/>
  <c r="Y217" i="8" s="1"/>
  <c r="J217" i="8" s="1"/>
  <c r="X206" i="8"/>
  <c r="Y206" i="8" s="1"/>
  <c r="X211" i="8"/>
  <c r="Y211" i="8" s="1"/>
  <c r="J211" i="8" s="1"/>
  <c r="X261" i="8"/>
  <c r="Y261" i="8" s="1"/>
  <c r="J261" i="8" s="1"/>
  <c r="X234" i="8"/>
  <c r="Y234" i="8" s="1"/>
  <c r="J234" i="8" s="1"/>
  <c r="X249" i="8"/>
  <c r="Y249" i="8" s="1"/>
  <c r="J249" i="8" s="1"/>
  <c r="X237" i="8"/>
  <c r="Y237" i="8" s="1"/>
  <c r="J237" i="8" s="1"/>
  <c r="S79" i="8"/>
  <c r="X245" i="8"/>
  <c r="Y245" i="8" s="1"/>
  <c r="J245" i="8" s="1"/>
  <c r="X224" i="8"/>
  <c r="Y224" i="8" s="1"/>
  <c r="J224" i="8" s="1"/>
  <c r="X227" i="8"/>
  <c r="Y227" i="8" s="1"/>
  <c r="J227" i="8" s="1"/>
  <c r="X220" i="8"/>
  <c r="Y220" i="8" s="1"/>
  <c r="J220" i="8" s="1"/>
  <c r="X230" i="8"/>
  <c r="Y230" i="8" s="1"/>
  <c r="J230" i="8" s="1"/>
  <c r="X254" i="8"/>
  <c r="Y254" i="8" s="1"/>
  <c r="J254" i="8" s="1"/>
  <c r="X178" i="8"/>
  <c r="Y178" i="8" s="1"/>
  <c r="M178" i="8" s="1"/>
  <c r="Y112" i="8"/>
  <c r="M112" i="8" s="1"/>
  <c r="V112" i="8" s="1"/>
  <c r="X172" i="8"/>
  <c r="Y106" i="8"/>
  <c r="M106" i="8" s="1"/>
  <c r="X141" i="8"/>
  <c r="Y141" i="8" s="1"/>
  <c r="Y75" i="8"/>
  <c r="X160" i="8"/>
  <c r="Y160" i="8" s="1"/>
  <c r="M160" i="8" s="1"/>
  <c r="Y94" i="8"/>
  <c r="M94" i="8" s="1"/>
  <c r="V94" i="8" s="1"/>
  <c r="X184" i="8"/>
  <c r="Y184" i="8" s="1"/>
  <c r="Y118" i="8"/>
  <c r="M118" i="8" s="1"/>
  <c r="X192" i="8"/>
  <c r="Y192" i="8" s="1"/>
  <c r="M192" i="8" s="1"/>
  <c r="Y126" i="8"/>
  <c r="M126" i="8" s="1"/>
  <c r="X200" i="8"/>
  <c r="Y200" i="8" s="1"/>
  <c r="M200" i="8" s="1"/>
  <c r="Y134" i="8"/>
  <c r="M134" i="8" s="1"/>
  <c r="Q134" i="8" s="1"/>
  <c r="Y166" i="8"/>
  <c r="M166" i="8" s="1"/>
  <c r="Y100" i="8"/>
  <c r="M100" i="8" s="1"/>
  <c r="Q100" i="8" s="1"/>
  <c r="X157" i="8"/>
  <c r="Y91" i="8"/>
  <c r="M91" i="8" s="1"/>
  <c r="Q91" i="8" s="1"/>
  <c r="X169" i="8"/>
  <c r="Y169" i="8" s="1"/>
  <c r="M169" i="8" s="1"/>
  <c r="Y103" i="8"/>
  <c r="M103" i="8" s="1"/>
  <c r="Q103" i="8" s="1"/>
  <c r="X149" i="8"/>
  <c r="Y149" i="8" s="1"/>
  <c r="M149" i="8" s="1"/>
  <c r="Y83" i="8"/>
  <c r="M83" i="8" s="1"/>
  <c r="V83" i="8" s="1"/>
  <c r="X180" i="8"/>
  <c r="Y180" i="8" s="1"/>
  <c r="M180" i="8" s="1"/>
  <c r="Y114" i="8"/>
  <c r="M114" i="8" s="1"/>
  <c r="V114" i="8" s="1"/>
  <c r="X146" i="8"/>
  <c r="Y146" i="8" s="1"/>
  <c r="Y80" i="8"/>
  <c r="M80" i="8" s="1"/>
  <c r="V80" i="8" s="1"/>
  <c r="X173" i="8"/>
  <c r="Y173" i="8" s="1"/>
  <c r="M173" i="8" s="1"/>
  <c r="Y107" i="8"/>
  <c r="M107" i="8" s="1"/>
  <c r="V107" i="8" s="1"/>
  <c r="X189" i="8"/>
  <c r="Y123" i="8"/>
  <c r="M123" i="8" s="1"/>
  <c r="V123" i="8" s="1"/>
  <c r="X156" i="8"/>
  <c r="Y156" i="8" s="1"/>
  <c r="Y90" i="8"/>
  <c r="M90" i="8" s="1"/>
  <c r="V90" i="8" s="1"/>
  <c r="X199" i="8"/>
  <c r="Y133" i="8"/>
  <c r="M133" i="8" s="1"/>
  <c r="Q133" i="8" s="1"/>
  <c r="S133" i="8" s="1"/>
  <c r="X163" i="8"/>
  <c r="Y163" i="8" s="1"/>
  <c r="M163" i="8" s="1"/>
  <c r="Y97" i="8"/>
  <c r="M97" i="8" s="1"/>
  <c r="X170" i="8"/>
  <c r="Y170" i="8" s="1"/>
  <c r="Y104" i="8"/>
  <c r="M104" i="8" s="1"/>
  <c r="X186" i="8"/>
  <c r="Y120" i="8"/>
  <c r="M120" i="8" s="1"/>
  <c r="Q120" i="8" s="1"/>
  <c r="X153" i="8"/>
  <c r="Y153" i="8" s="1"/>
  <c r="M153" i="8" s="1"/>
  <c r="Y87" i="8"/>
  <c r="M87" i="8" s="1"/>
  <c r="Q87" i="8" s="1"/>
  <c r="X197" i="8"/>
  <c r="Y131" i="8"/>
  <c r="M131" i="8" s="1"/>
  <c r="Q131" i="8" s="1"/>
  <c r="X176" i="8"/>
  <c r="Y176" i="8" s="1"/>
  <c r="M176" i="8" s="1"/>
  <c r="Y110" i="8"/>
  <c r="M110" i="8" s="1"/>
  <c r="Q110" i="8" s="1"/>
  <c r="X167" i="8"/>
  <c r="Y167" i="8" s="1"/>
  <c r="M167" i="8" s="1"/>
  <c r="Y101" i="8"/>
  <c r="M101" i="8" s="1"/>
  <c r="X191" i="8"/>
  <c r="Y191" i="8" s="1"/>
  <c r="Y125" i="8"/>
  <c r="M125" i="8" s="1"/>
  <c r="X165" i="8"/>
  <c r="Y165" i="8" s="1"/>
  <c r="M165" i="8" s="1"/>
  <c r="Y99" i="8"/>
  <c r="M99" i="8" s="1"/>
  <c r="V99" i="8" s="1"/>
  <c r="X193" i="8"/>
  <c r="Y193" i="8" s="1"/>
  <c r="Y127" i="8"/>
  <c r="M127" i="8" s="1"/>
  <c r="Q127" i="8" s="1"/>
  <c r="X150" i="8"/>
  <c r="Y150" i="8" s="1"/>
  <c r="Y84" i="8"/>
  <c r="M84" i="8" s="1"/>
  <c r="Q84" i="8" s="1"/>
  <c r="X182" i="8"/>
  <c r="Y116" i="8"/>
  <c r="M116" i="8" s="1"/>
  <c r="X185" i="8"/>
  <c r="Y185" i="8" s="1"/>
  <c r="Y119" i="8"/>
  <c r="M119" i="8" s="1"/>
  <c r="Q119" i="8" s="1"/>
  <c r="X159" i="8"/>
  <c r="Y93" i="8"/>
  <c r="M93" i="8" s="1"/>
  <c r="X175" i="8"/>
  <c r="Y175" i="8" s="1"/>
  <c r="M175" i="8" s="1"/>
  <c r="Y109" i="8"/>
  <c r="M109" i="8" s="1"/>
  <c r="X147" i="8"/>
  <c r="Y81" i="8"/>
  <c r="M81" i="8" s="1"/>
  <c r="Q81" i="8" s="1"/>
  <c r="S81" i="8" s="1"/>
  <c r="X194" i="8"/>
  <c r="Y194" i="8" s="1"/>
  <c r="M194" i="8" s="1"/>
  <c r="Y128" i="8"/>
  <c r="M128" i="8" s="1"/>
  <c r="V128" i="8" s="1"/>
  <c r="X148" i="8"/>
  <c r="Y148" i="8" s="1"/>
  <c r="Y82" i="8"/>
  <c r="M82" i="8" s="1"/>
  <c r="X196" i="8"/>
  <c r="Y196" i="8" s="1"/>
  <c r="M196" i="8" s="1"/>
  <c r="Y130" i="8"/>
  <c r="M130" i="8" s="1"/>
  <c r="Q130" i="8" s="1"/>
  <c r="X181" i="8"/>
  <c r="Y181" i="8" s="1"/>
  <c r="M181" i="8" s="1"/>
  <c r="Y115" i="8"/>
  <c r="M115" i="8" s="1"/>
  <c r="X139" i="8"/>
  <c r="Y73" i="8"/>
  <c r="M73" i="8" s="1"/>
  <c r="Q73" i="8" s="1"/>
  <c r="S73" i="8" s="1"/>
  <c r="X144" i="8"/>
  <c r="Y144" i="8" s="1"/>
  <c r="M144" i="8" s="1"/>
  <c r="Y78" i="8"/>
  <c r="M78" i="8" s="1"/>
  <c r="Q78" i="8" s="1"/>
  <c r="X174" i="8"/>
  <c r="Y108" i="8"/>
  <c r="M108" i="8" s="1"/>
  <c r="Q108" i="8" s="1"/>
  <c r="X142" i="8"/>
  <c r="Y142" i="8" s="1"/>
  <c r="Y76" i="8"/>
  <c r="M76" i="8" s="1"/>
  <c r="Q76" i="8" s="1"/>
  <c r="X152" i="8"/>
  <c r="Y152" i="8" s="1"/>
  <c r="M152" i="8" s="1"/>
  <c r="Y86" i="8"/>
  <c r="M86" i="8" s="1"/>
  <c r="Q86" i="8" s="1"/>
  <c r="X198" i="8"/>
  <c r="Y198" i="8" s="1"/>
  <c r="M198" i="8" s="1"/>
  <c r="Y132" i="8"/>
  <c r="M132" i="8" s="1"/>
  <c r="X190" i="8"/>
  <c r="Y190" i="8" s="1"/>
  <c r="M190" i="8" s="1"/>
  <c r="Y124" i="8"/>
  <c r="M124" i="8" s="1"/>
  <c r="X162" i="8"/>
  <c r="Y162" i="8" s="1"/>
  <c r="M162" i="8" s="1"/>
  <c r="Y96" i="8"/>
  <c r="M96" i="8" s="1"/>
  <c r="V96" i="8" s="1"/>
  <c r="X177" i="8"/>
  <c r="Y177" i="8" s="1"/>
  <c r="M177" i="8" s="1"/>
  <c r="Y111" i="8"/>
  <c r="M111" i="8" s="1"/>
  <c r="V111" i="8" s="1"/>
  <c r="X137" i="8"/>
  <c r="Y137" i="8" s="1"/>
  <c r="Y71" i="8"/>
  <c r="M71" i="8" s="1"/>
  <c r="V71" i="8" s="1"/>
  <c r="X143" i="8"/>
  <c r="Y143" i="8" s="1"/>
  <c r="Y77" i="8"/>
  <c r="M77" i="8" s="1"/>
  <c r="Q77" i="8" s="1"/>
  <c r="S77" i="8" s="1"/>
  <c r="X155" i="8"/>
  <c r="Y155" i="8" s="1"/>
  <c r="M155" i="8" s="1"/>
  <c r="Y89" i="8"/>
  <c r="M89" i="8" s="1"/>
  <c r="Q89" i="8" s="1"/>
  <c r="S89" i="8" s="1"/>
  <c r="X202" i="8"/>
  <c r="Y202" i="8" s="1"/>
  <c r="Y136" i="8"/>
  <c r="M136" i="8" s="1"/>
  <c r="Q187" i="8"/>
  <c r="AN187" i="8" s="1"/>
  <c r="M138" i="8"/>
  <c r="M140" i="8"/>
  <c r="Q140" i="8" s="1"/>
  <c r="AN140" i="8" s="1"/>
  <c r="W14" i="8"/>
  <c r="S11" i="8"/>
  <c r="AP11" i="8" s="1"/>
  <c r="S29" i="8"/>
  <c r="AP29" i="8" s="1"/>
  <c r="S17" i="8"/>
  <c r="AP17" i="8" s="1"/>
  <c r="S38" i="8"/>
  <c r="AP38" i="8" s="1"/>
  <c r="S6" i="8"/>
  <c r="AP6" i="8" s="1"/>
  <c r="S50" i="8"/>
  <c r="AP50" i="8" s="1"/>
  <c r="S26" i="8"/>
  <c r="AP26" i="8" s="1"/>
  <c r="S21" i="8"/>
  <c r="AP21" i="8" s="1"/>
  <c r="S66" i="8"/>
  <c r="AP66" i="8" s="1"/>
  <c r="S8" i="8"/>
  <c r="AP8" i="8" s="1"/>
  <c r="S35" i="8"/>
  <c r="AP35" i="8" s="1"/>
  <c r="S18" i="8"/>
  <c r="AP18" i="8" s="1"/>
  <c r="S30" i="8"/>
  <c r="AP30" i="8" s="1"/>
  <c r="S10" i="8"/>
  <c r="AP10" i="8" s="1"/>
  <c r="S22" i="8"/>
  <c r="AP22" i="8" s="1"/>
  <c r="S46" i="8"/>
  <c r="AP46" i="8" s="1"/>
  <c r="S54" i="8"/>
  <c r="AP54" i="8" s="1"/>
  <c r="S64" i="8"/>
  <c r="AP64" i="8" s="1"/>
  <c r="S9" i="8"/>
  <c r="AP9" i="8" s="1"/>
  <c r="S20" i="8"/>
  <c r="AP20" i="8" s="1"/>
  <c r="S7" i="8"/>
  <c r="AP7" i="8" s="1"/>
  <c r="S14" i="8"/>
  <c r="AP14" i="8" s="1"/>
  <c r="S23" i="8"/>
  <c r="AP23" i="8" s="1"/>
  <c r="S41" i="8"/>
  <c r="AP41" i="8" s="1"/>
  <c r="S51" i="8"/>
  <c r="AP51" i="8" s="1"/>
  <c r="S67" i="8"/>
  <c r="AP67" i="8" s="1"/>
  <c r="S37" i="8"/>
  <c r="AP37" i="8" s="1"/>
  <c r="S57" i="8"/>
  <c r="AP57" i="8" s="1"/>
  <c r="S47" i="8"/>
  <c r="AP47" i="8" s="1"/>
  <c r="S55" i="8"/>
  <c r="AP55" i="8" s="1"/>
  <c r="S28" i="8"/>
  <c r="AP28" i="8" s="1"/>
  <c r="S62" i="8"/>
  <c r="AP62" i="8" s="1"/>
  <c r="S44" i="8"/>
  <c r="AP44" i="8" s="1"/>
  <c r="S19" i="8"/>
  <c r="AP19" i="8" s="1"/>
  <c r="S34" i="8"/>
  <c r="AP34" i="8" s="1"/>
  <c r="S32" i="8"/>
  <c r="AP32" i="8" s="1"/>
  <c r="S59" i="8"/>
  <c r="AP59" i="8" s="1"/>
  <c r="S65" i="8"/>
  <c r="AP65" i="8" s="1"/>
  <c r="S12" i="8"/>
  <c r="AP12" i="8" s="1"/>
  <c r="S58" i="8"/>
  <c r="AP58" i="8" s="1"/>
  <c r="S52" i="8"/>
  <c r="AP52" i="8" s="1"/>
  <c r="S13" i="8"/>
  <c r="AP13" i="8" s="1"/>
  <c r="S88" i="8"/>
  <c r="S31" i="8"/>
  <c r="AP31" i="8" s="1"/>
  <c r="S42" i="8"/>
  <c r="AP42" i="8" s="1"/>
  <c r="S33" i="8"/>
  <c r="AP33" i="8" s="1"/>
  <c r="S27" i="8"/>
  <c r="AP27" i="8" s="1"/>
  <c r="S43" i="8"/>
  <c r="AP43" i="8" s="1"/>
  <c r="S39" i="8"/>
  <c r="AP39" i="8" s="1"/>
  <c r="S36" i="8"/>
  <c r="AP36" i="8" s="1"/>
  <c r="S49" i="8"/>
  <c r="AP49" i="8" s="1"/>
  <c r="S63" i="8"/>
  <c r="AP63" i="8" s="1"/>
  <c r="S45" i="8"/>
  <c r="AP45" i="8" s="1"/>
  <c r="S53" i="8"/>
  <c r="AP53" i="8" s="1"/>
  <c r="S61" i="8"/>
  <c r="AP61" i="8" s="1"/>
  <c r="S16" i="8"/>
  <c r="AP16" i="8" s="1"/>
  <c r="S60" i="8"/>
  <c r="AP60" i="8" s="1"/>
  <c r="S48" i="8"/>
  <c r="AP48" i="8" s="1"/>
  <c r="S40" i="8"/>
  <c r="AP40" i="8" s="1"/>
  <c r="S56" i="8"/>
  <c r="AP56" i="8" s="1"/>
  <c r="S68" i="8"/>
  <c r="AP68" i="8" s="1"/>
  <c r="S24" i="8"/>
  <c r="AP24" i="8" s="1"/>
  <c r="S69" i="8"/>
  <c r="AP69" i="8" s="1"/>
  <c r="S25" i="8"/>
  <c r="AP25" i="8" s="1"/>
  <c r="O5" i="2"/>
  <c r="S5" i="8"/>
  <c r="AP5" i="8" s="1"/>
  <c r="S15" i="8"/>
  <c r="AP15" i="8" s="1"/>
  <c r="S105" i="8"/>
  <c r="S85" i="8"/>
  <c r="S72" i="8"/>
  <c r="S92" i="8"/>
  <c r="S98" i="8"/>
  <c r="S117" i="8"/>
  <c r="S121" i="8"/>
  <c r="S129" i="8"/>
  <c r="S102" i="8"/>
  <c r="S95" i="8"/>
  <c r="S122" i="8"/>
  <c r="S74" i="8"/>
  <c r="V70" i="8"/>
  <c r="V5" i="8"/>
  <c r="AR5" i="8" s="1"/>
  <c r="P5" i="2"/>
  <c r="A4" i="27"/>
  <c r="A8" i="27"/>
  <c r="E8" i="27" s="1" a="1"/>
  <c r="E8" i="27" s="1"/>
  <c r="A12" i="27"/>
  <c r="E12" i="27" s="1" a="1"/>
  <c r="E12" i="27" s="1"/>
  <c r="A16" i="27"/>
  <c r="A20" i="27"/>
  <c r="A24" i="27"/>
  <c r="A28" i="27"/>
  <c r="A32" i="27"/>
  <c r="A36" i="27"/>
  <c r="A40" i="27"/>
  <c r="E40" i="27" s="1" a="1"/>
  <c r="E40" i="27" s="1"/>
  <c r="A44" i="27"/>
  <c r="E44" i="27" s="1" a="1"/>
  <c r="E44" i="27" s="1"/>
  <c r="A48" i="27"/>
  <c r="E48" i="27" s="1" a="1"/>
  <c r="E48" i="27" s="1"/>
  <c r="A52" i="27"/>
  <c r="A56" i="27"/>
  <c r="E56" i="27" s="1" a="1"/>
  <c r="E56" i="27" s="1"/>
  <c r="A60" i="27"/>
  <c r="E60" i="27" s="1" a="1"/>
  <c r="E60" i="27" s="1"/>
  <c r="A64" i="27"/>
  <c r="E64" i="27" s="1" a="1"/>
  <c r="E64" i="27" s="1"/>
  <c r="A5" i="27"/>
  <c r="A9" i="27"/>
  <c r="E9" i="27" s="1" a="1"/>
  <c r="E9" i="27" s="1"/>
  <c r="A13" i="27"/>
  <c r="E13" i="27" s="1" a="1"/>
  <c r="E13" i="27" s="1"/>
  <c r="A17" i="27"/>
  <c r="A21" i="27"/>
  <c r="A25" i="27"/>
  <c r="A29" i="27"/>
  <c r="A33" i="27"/>
  <c r="A37" i="27"/>
  <c r="A41" i="27"/>
  <c r="A45" i="27"/>
  <c r="E45" i="27" s="1" a="1"/>
  <c r="E45" i="27" s="1"/>
  <c r="A49" i="27"/>
  <c r="A53" i="27"/>
  <c r="A57" i="27"/>
  <c r="A61" i="27"/>
  <c r="A65" i="27"/>
  <c r="A6" i="27"/>
  <c r="A10" i="27"/>
  <c r="E10" i="27" s="1" a="1"/>
  <c r="E10" i="27" s="1"/>
  <c r="A14" i="27"/>
  <c r="E14" i="27" s="1" a="1"/>
  <c r="E14" i="27" s="1"/>
  <c r="A18" i="27"/>
  <c r="A22" i="27"/>
  <c r="A26" i="27"/>
  <c r="E26" i="27" s="1" a="1"/>
  <c r="E26" i="27" s="1"/>
  <c r="A30" i="27"/>
  <c r="E30" i="27" s="1" a="1"/>
  <c r="E30" i="27" s="1"/>
  <c r="A34" i="27"/>
  <c r="A38" i="27"/>
  <c r="A42" i="27"/>
  <c r="A46" i="27"/>
  <c r="E46" i="27" s="1" a="1"/>
  <c r="E46" i="27" s="1"/>
  <c r="A50" i="27"/>
  <c r="E50" i="27" s="1" a="1"/>
  <c r="E50" i="27" s="1"/>
  <c r="A54" i="27"/>
  <c r="A58" i="27"/>
  <c r="A62" i="27"/>
  <c r="E62" i="27" s="1" a="1"/>
  <c r="E62" i="27" s="1"/>
  <c r="A66" i="27"/>
  <c r="A3" i="27"/>
  <c r="A7" i="27"/>
  <c r="A11" i="27"/>
  <c r="E11" i="27" s="1" a="1"/>
  <c r="E11" i="27" s="1"/>
  <c r="A15" i="27"/>
  <c r="E15" i="27" s="1" a="1"/>
  <c r="E15" i="27" s="1"/>
  <c r="A19" i="27"/>
  <c r="A23" i="27"/>
  <c r="A27" i="27"/>
  <c r="E27" i="27" s="1" a="1"/>
  <c r="E27" i="27" s="1"/>
  <c r="A31" i="27"/>
  <c r="E31" i="27" s="1" a="1"/>
  <c r="E31" i="27" s="1"/>
  <c r="A35" i="27"/>
  <c r="A39" i="27"/>
  <c r="A43" i="27"/>
  <c r="E43" i="27" s="1" a="1"/>
  <c r="E43" i="27" s="1"/>
  <c r="A47" i="27"/>
  <c r="A51" i="27"/>
  <c r="A55" i="27"/>
  <c r="A59" i="27"/>
  <c r="A63" i="27"/>
  <c r="A67" i="27"/>
  <c r="A2" i="27"/>
  <c r="AG105" i="8"/>
  <c r="W105" i="8" s="1"/>
  <c r="AG81" i="8"/>
  <c r="W81" i="8" s="1"/>
  <c r="AG79" i="8"/>
  <c r="W79" i="8" s="1"/>
  <c r="AG92" i="8"/>
  <c r="W92" i="8" s="1"/>
  <c r="AG125" i="8"/>
  <c r="W125" i="8" s="1"/>
  <c r="AG72" i="8"/>
  <c r="W72" i="8" s="1"/>
  <c r="AG121" i="8"/>
  <c r="W121" i="8" s="1"/>
  <c r="AG85" i="8"/>
  <c r="W85" i="8" s="1"/>
  <c r="AG77" i="8"/>
  <c r="W77" i="8" s="1"/>
  <c r="AG95" i="8"/>
  <c r="W95" i="8" s="1"/>
  <c r="AG133" i="8"/>
  <c r="W133" i="8" s="1"/>
  <c r="AG129" i="8"/>
  <c r="W129" i="8" s="1"/>
  <c r="AG98" i="8"/>
  <c r="W98" i="8" s="1"/>
  <c r="AG187" i="8"/>
  <c r="S5" i="2"/>
  <c r="Q5" i="2"/>
  <c r="R5" i="2"/>
  <c r="Q183" i="8"/>
  <c r="AN183" i="8" s="1"/>
  <c r="V158" i="8"/>
  <c r="V85" i="8"/>
  <c r="V102" i="8"/>
  <c r="V122" i="8"/>
  <c r="AG74" i="8"/>
  <c r="W74" i="8" s="1"/>
  <c r="AG73" i="8"/>
  <c r="W73" i="8" s="1"/>
  <c r="AG97" i="8"/>
  <c r="W97" i="8" s="1"/>
  <c r="AG88" i="8"/>
  <c r="W88" i="8" s="1"/>
  <c r="AG89" i="8"/>
  <c r="W89" i="8" s="1"/>
  <c r="AG122" i="8"/>
  <c r="W122" i="8" s="1"/>
  <c r="AG117" i="8"/>
  <c r="W117" i="8" s="1"/>
  <c r="AG102" i="8"/>
  <c r="W102" i="8" s="1"/>
  <c r="V117" i="8"/>
  <c r="V164" i="8"/>
  <c r="V121" i="8"/>
  <c r="V105" i="8"/>
  <c r="V72" i="8"/>
  <c r="V79" i="8"/>
  <c r="Q158" i="8"/>
  <c r="AN158" i="8" s="1"/>
  <c r="Q161" i="8"/>
  <c r="AN161" i="8" s="1"/>
  <c r="V92" i="8"/>
  <c r="V74" i="8"/>
  <c r="V98" i="8"/>
  <c r="V154" i="8"/>
  <c r="Q195" i="8"/>
  <c r="AN195" i="8" s="1"/>
  <c r="V113" i="8"/>
  <c r="V151" i="8"/>
  <c r="Q171" i="8"/>
  <c r="AN171" i="8" s="1"/>
  <c r="Q113" i="8"/>
  <c r="Q145" i="8"/>
  <c r="AN145" i="8" s="1"/>
  <c r="Q135" i="8"/>
  <c r="V88" i="8"/>
  <c r="V129" i="8"/>
  <c r="V168" i="8"/>
  <c r="V95" i="8"/>
  <c r="V145" i="8"/>
  <c r="AR145" i="8" s="1"/>
  <c r="V161" i="8"/>
  <c r="V187" i="8"/>
  <c r="V195" i="8"/>
  <c r="Q188" i="8"/>
  <c r="AN188" i="8" s="1"/>
  <c r="V183" i="8"/>
  <c r="Q151" i="8"/>
  <c r="AN151" i="8" s="1"/>
  <c r="Q164" i="8"/>
  <c r="AN164" i="8" s="1"/>
  <c r="V171" i="8"/>
  <c r="V188" i="8"/>
  <c r="Q168" i="8"/>
  <c r="AN168" i="8" s="1"/>
  <c r="Q154" i="8"/>
  <c r="AN154" i="8" s="1"/>
  <c r="V135" i="8"/>
  <c r="Q4" i="8"/>
  <c r="AN4" i="8" s="1"/>
  <c r="AR151" i="8" l="1"/>
  <c r="AR187" i="8"/>
  <c r="AR195" i="8"/>
  <c r="Q99" i="8"/>
  <c r="AR154" i="8"/>
  <c r="AR171" i="8"/>
  <c r="AR158" i="8"/>
  <c r="AR188" i="8"/>
  <c r="AR183" i="8"/>
  <c r="AR161" i="8"/>
  <c r="AR168" i="8"/>
  <c r="AR164" i="8"/>
  <c r="M75" i="8"/>
  <c r="Q75" i="8" s="1"/>
  <c r="F7" i="27" s="1" a="1"/>
  <c r="F7" i="27" s="1"/>
  <c r="J206" i="8"/>
  <c r="J202" i="8"/>
  <c r="V119" i="8"/>
  <c r="N51" i="27" s="1" a="1"/>
  <c r="N51" i="27" s="1"/>
  <c r="Q107" i="8"/>
  <c r="S107" i="8" s="1"/>
  <c r="Q83" i="8"/>
  <c r="S83" i="8" s="1"/>
  <c r="X207" i="8"/>
  <c r="Y207" i="8" s="1"/>
  <c r="V84" i="8"/>
  <c r="V130" i="8"/>
  <c r="N62" i="27" s="1" a="1"/>
  <c r="N62" i="27" s="1"/>
  <c r="V91" i="8"/>
  <c r="N23" i="27" s="1" a="1"/>
  <c r="N23" i="27" s="1"/>
  <c r="V133" i="8"/>
  <c r="N65" i="27" s="1" a="1"/>
  <c r="N65" i="27" s="1"/>
  <c r="Q123" i="8"/>
  <c r="S123" i="8" s="1"/>
  <c r="Q112" i="8"/>
  <c r="F44" i="27" s="1" a="1"/>
  <c r="F44" i="27" s="1"/>
  <c r="V120" i="8"/>
  <c r="N52" i="27" s="1" a="1"/>
  <c r="N52" i="27" s="1"/>
  <c r="V131" i="8"/>
  <c r="Q80" i="8"/>
  <c r="S80" i="8" s="1"/>
  <c r="X246" i="8"/>
  <c r="Y246" i="8" s="1"/>
  <c r="J246" i="8" s="1"/>
  <c r="V110" i="8"/>
  <c r="N42" i="27" s="1" a="1"/>
  <c r="N42" i="27" s="1"/>
  <c r="V87" i="8"/>
  <c r="N19" i="27" s="1" a="1"/>
  <c r="N19" i="27" s="1"/>
  <c r="V134" i="8"/>
  <c r="N66" i="27" s="1" a="1"/>
  <c r="N66" i="27" s="1"/>
  <c r="Q90" i="8"/>
  <c r="S90" i="8" s="1"/>
  <c r="X243" i="8"/>
  <c r="Y243" i="8" s="1"/>
  <c r="J243" i="8" s="1"/>
  <c r="X210" i="8"/>
  <c r="Y210" i="8" s="1"/>
  <c r="J210" i="8" s="1"/>
  <c r="X236" i="8"/>
  <c r="Y236" i="8" s="1"/>
  <c r="J236" i="8" s="1"/>
  <c r="X257" i="8"/>
  <c r="Y257" i="8" s="1"/>
  <c r="J257" i="8" s="1"/>
  <c r="X232" i="8"/>
  <c r="Y232" i="8" s="1"/>
  <c r="J232" i="8" s="1"/>
  <c r="X239" i="8"/>
  <c r="Y239" i="8" s="1"/>
  <c r="J239" i="8" s="1"/>
  <c r="X226" i="8"/>
  <c r="Y226" i="8" s="1"/>
  <c r="J226" i="8" s="1"/>
  <c r="X235" i="8"/>
  <c r="Y235" i="8" s="1"/>
  <c r="J235" i="8" s="1"/>
  <c r="V81" i="8"/>
  <c r="N13" i="27" s="1" a="1"/>
  <c r="N13" i="27" s="1"/>
  <c r="X219" i="8"/>
  <c r="Y219" i="8" s="1"/>
  <c r="J219" i="8" s="1"/>
  <c r="X229" i="8"/>
  <c r="Y229" i="8" s="1"/>
  <c r="J229" i="8" s="1"/>
  <c r="X258" i="8"/>
  <c r="Y258" i="8" s="1"/>
  <c r="J258" i="8" s="1"/>
  <c r="X262" i="8"/>
  <c r="Y262" i="8" s="1"/>
  <c r="J262" i="8" s="1"/>
  <c r="X242" i="8"/>
  <c r="Y242" i="8" s="1"/>
  <c r="J242" i="8" s="1"/>
  <c r="X218" i="8"/>
  <c r="Y218" i="8" s="1"/>
  <c r="J218" i="8" s="1"/>
  <c r="X260" i="8"/>
  <c r="Y260" i="8" s="1"/>
  <c r="J260" i="8" s="1"/>
  <c r="X233" i="8"/>
  <c r="Y233" i="8" s="1"/>
  <c r="J233" i="8" s="1"/>
  <c r="X256" i="8"/>
  <c r="Y256" i="8" s="1"/>
  <c r="J256" i="8" s="1"/>
  <c r="X250" i="8"/>
  <c r="Y250" i="8" s="1"/>
  <c r="J250" i="8" s="1"/>
  <c r="X244" i="8"/>
  <c r="Y244" i="8" s="1"/>
  <c r="J244" i="8" s="1"/>
  <c r="X241" i="8"/>
  <c r="Y241" i="8" s="1"/>
  <c r="J241" i="8" s="1"/>
  <c r="X266" i="8"/>
  <c r="Y266" i="8" s="1"/>
  <c r="J266" i="8" s="1"/>
  <c r="V132" i="8"/>
  <c r="N64" i="27" s="1" a="1"/>
  <c r="N64" i="27" s="1"/>
  <c r="Q132" i="8"/>
  <c r="F64" i="27" s="1" a="1"/>
  <c r="F64" i="27" s="1"/>
  <c r="Q125" i="8"/>
  <c r="S125" i="8" s="1"/>
  <c r="R125" i="8" s="1"/>
  <c r="V125" i="8"/>
  <c r="V104" i="8"/>
  <c r="N36" i="27" s="1" a="1"/>
  <c r="N36" i="27" s="1"/>
  <c r="Q104" i="8"/>
  <c r="F36" i="27" s="1" a="1"/>
  <c r="F36" i="27" s="1"/>
  <c r="V118" i="8"/>
  <c r="N50" i="27" s="1" a="1"/>
  <c r="N50" i="27" s="1"/>
  <c r="Q118" i="8"/>
  <c r="F50" i="27" s="1" a="1"/>
  <c r="F50" i="27" s="1"/>
  <c r="Y139" i="8"/>
  <c r="M139" i="8" s="1"/>
  <c r="X205" i="8"/>
  <c r="Y205" i="8" s="1"/>
  <c r="Q109" i="8"/>
  <c r="S109" i="8" s="1"/>
  <c r="V109" i="8"/>
  <c r="Q115" i="8"/>
  <c r="V115" i="8"/>
  <c r="V82" i="8"/>
  <c r="N14" i="27" s="1" a="1"/>
  <c r="N14" i="27" s="1"/>
  <c r="Q82" i="8"/>
  <c r="F14" i="27" s="1" a="1"/>
  <c r="F14" i="27" s="1"/>
  <c r="X215" i="8"/>
  <c r="Y215" i="8" s="1"/>
  <c r="J215" i="8" s="1"/>
  <c r="Q97" i="8"/>
  <c r="S97" i="8" s="1"/>
  <c r="J29" i="27" s="1" a="1"/>
  <c r="J29" i="27" s="1"/>
  <c r="V97" i="8"/>
  <c r="N29" i="27" s="1" a="1"/>
  <c r="N29" i="27" s="1"/>
  <c r="X231" i="8"/>
  <c r="Y231" i="8" s="1"/>
  <c r="J231" i="8" s="1"/>
  <c r="X222" i="8"/>
  <c r="Y222" i="8" s="1"/>
  <c r="J222" i="8" s="1"/>
  <c r="X251" i="8"/>
  <c r="Y251" i="8" s="1"/>
  <c r="J251" i="8" s="1"/>
  <c r="X216" i="8"/>
  <c r="Y216" i="8" s="1"/>
  <c r="J216" i="8" s="1"/>
  <c r="Q126" i="8"/>
  <c r="F58" i="27" s="1" a="1"/>
  <c r="F58" i="27" s="1"/>
  <c r="V126" i="8"/>
  <c r="N58" i="27" s="1" a="1"/>
  <c r="N58" i="27" s="1"/>
  <c r="V73" i="8"/>
  <c r="Q128" i="8"/>
  <c r="F60" i="27" s="1" a="1"/>
  <c r="F60" i="27" s="1"/>
  <c r="V124" i="8"/>
  <c r="N56" i="27" s="1" a="1"/>
  <c r="N56" i="27" s="1"/>
  <c r="Q124" i="8"/>
  <c r="S124" i="8" s="1"/>
  <c r="Y174" i="8"/>
  <c r="M174" i="8" s="1"/>
  <c r="X240" i="8"/>
  <c r="Y240" i="8" s="1"/>
  <c r="J240" i="8" s="1"/>
  <c r="V103" i="8"/>
  <c r="N35" i="27" s="1" a="1"/>
  <c r="N35" i="27" s="1"/>
  <c r="V78" i="8"/>
  <c r="N10" i="27" s="1" a="1"/>
  <c r="N10" i="27" s="1"/>
  <c r="Q94" i="8"/>
  <c r="F26" i="27" s="1" a="1"/>
  <c r="F26" i="27" s="1"/>
  <c r="V100" i="8"/>
  <c r="N32" i="27" s="1" a="1"/>
  <c r="N32" i="27" s="1"/>
  <c r="F67" i="27" a="1"/>
  <c r="F67" i="27" s="1"/>
  <c r="E67" i="27" a="1"/>
  <c r="E67" i="27" s="1"/>
  <c r="Q67" i="27" a="1"/>
  <c r="Q67" i="27" s="1"/>
  <c r="F51" i="27" a="1"/>
  <c r="F51" i="27" s="1"/>
  <c r="Q51" i="27" a="1"/>
  <c r="Q51" i="27" s="1"/>
  <c r="E51" i="27" a="1"/>
  <c r="E51" i="27" s="1"/>
  <c r="Q35" i="27" a="1"/>
  <c r="Q35" i="27" s="1"/>
  <c r="F35" i="27" a="1"/>
  <c r="F35" i="27" s="1"/>
  <c r="E35" i="27" a="1"/>
  <c r="E35" i="27" s="1"/>
  <c r="Q19" i="27" a="1"/>
  <c r="Q19" i="27" s="1"/>
  <c r="F19" i="27" a="1"/>
  <c r="F19" i="27" s="1"/>
  <c r="E19" i="27" a="1"/>
  <c r="E19" i="27" s="1"/>
  <c r="Q3" i="27" a="1"/>
  <c r="Q3" i="27" s="1"/>
  <c r="E3" i="27" a="1"/>
  <c r="E3" i="27" s="1"/>
  <c r="J54" i="27" a="1"/>
  <c r="J54" i="27" s="1"/>
  <c r="Q54" i="27" a="1"/>
  <c r="Q54" i="27" s="1"/>
  <c r="O54" i="27" a="1"/>
  <c r="O54" i="27" s="1"/>
  <c r="F54" i="27" a="1"/>
  <c r="F54" i="27" s="1"/>
  <c r="E54" i="27" a="1"/>
  <c r="E54" i="27" s="1"/>
  <c r="Q38" i="27" a="1"/>
  <c r="Q38" i="27" s="1"/>
  <c r="E38" i="27" a="1"/>
  <c r="E38" i="27" s="1"/>
  <c r="Q22" i="27" a="1"/>
  <c r="Q22" i="27" s="1"/>
  <c r="F22" i="27" a="1"/>
  <c r="F22" i="27" s="1"/>
  <c r="E22" i="27" a="1"/>
  <c r="E22" i="27" s="1"/>
  <c r="Q6" i="27" a="1"/>
  <c r="Q6" i="27" s="1"/>
  <c r="J6" i="27" a="1"/>
  <c r="J6" i="27" s="1"/>
  <c r="F6" i="27" a="1"/>
  <c r="F6" i="27" s="1"/>
  <c r="E6" i="27" a="1"/>
  <c r="E6" i="27" s="1"/>
  <c r="Q53" i="27" a="1"/>
  <c r="Q53" i="27" s="1"/>
  <c r="F53" i="27" a="1"/>
  <c r="F53" i="27" s="1"/>
  <c r="O53" i="27" a="1"/>
  <c r="O53" i="27" s="1"/>
  <c r="J53" i="27" a="1"/>
  <c r="J53" i="27" s="1"/>
  <c r="E53" i="27" a="1"/>
  <c r="E53" i="27" s="1"/>
  <c r="Q37" i="27" a="1"/>
  <c r="Q37" i="27" s="1"/>
  <c r="J37" i="27" a="1"/>
  <c r="J37" i="27" s="1"/>
  <c r="O37" i="27" a="1"/>
  <c r="O37" i="27" s="1"/>
  <c r="F37" i="27" a="1"/>
  <c r="F37" i="27" s="1"/>
  <c r="E37" i="27" a="1"/>
  <c r="E37" i="27" s="1"/>
  <c r="Q21" i="27" a="1"/>
  <c r="Q21" i="27" s="1"/>
  <c r="F21" i="27" a="1"/>
  <c r="F21" i="27" s="1"/>
  <c r="J21" i="27" a="1"/>
  <c r="J21" i="27" s="1"/>
  <c r="E21" i="27" a="1"/>
  <c r="E21" i="27" s="1"/>
  <c r="J5" i="27" a="1"/>
  <c r="J5" i="27" s="1"/>
  <c r="F5" i="27" a="1"/>
  <c r="F5" i="27" s="1"/>
  <c r="Q5" i="27" a="1"/>
  <c r="Q5" i="27" s="1"/>
  <c r="E5" i="27" a="1"/>
  <c r="E5" i="27" s="1"/>
  <c r="F52" i="27" a="1"/>
  <c r="F52" i="27" s="1"/>
  <c r="Q52" i="27" a="1"/>
  <c r="Q52" i="27" s="1"/>
  <c r="Q36" i="27" a="1"/>
  <c r="Q36" i="27" s="1"/>
  <c r="E36" i="27" a="1"/>
  <c r="E36" i="27" s="1"/>
  <c r="Q20" i="27" a="1"/>
  <c r="Q20" i="27" s="1"/>
  <c r="O20" i="27" a="1"/>
  <c r="O20" i="27" s="1"/>
  <c r="J20" i="27" a="1"/>
  <c r="J20" i="27" s="1"/>
  <c r="F20" i="27" a="1"/>
  <c r="F20" i="27" s="1"/>
  <c r="J4" i="27" a="1"/>
  <c r="J4" i="27" s="1"/>
  <c r="Q4" i="27" a="1"/>
  <c r="Q4" i="27" s="1"/>
  <c r="F4" i="27" a="1"/>
  <c r="F4" i="27" s="1"/>
  <c r="E4" i="27" a="1"/>
  <c r="E4" i="27" s="1"/>
  <c r="X212" i="8"/>
  <c r="Y212" i="8" s="1"/>
  <c r="J212" i="8" s="1"/>
  <c r="V106" i="8"/>
  <c r="Q106" i="8"/>
  <c r="F38" i="27" s="1" a="1"/>
  <c r="F38" i="27" s="1"/>
  <c r="Y159" i="8"/>
  <c r="M159" i="8" s="1"/>
  <c r="X225" i="8"/>
  <c r="Y225" i="8" s="1"/>
  <c r="J225" i="8" s="1"/>
  <c r="Y182" i="8"/>
  <c r="M182" i="8" s="1"/>
  <c r="V182" i="8" s="1"/>
  <c r="X248" i="8"/>
  <c r="Y248" i="8" s="1"/>
  <c r="J248" i="8" s="1"/>
  <c r="Y197" i="8"/>
  <c r="M197" i="8" s="1"/>
  <c r="Q197" i="8" s="1"/>
  <c r="AN197" i="8" s="1"/>
  <c r="X263" i="8"/>
  <c r="Y263" i="8" s="1"/>
  <c r="J263" i="8" s="1"/>
  <c r="Y186" i="8"/>
  <c r="M186" i="8" s="1"/>
  <c r="X252" i="8"/>
  <c r="Y252" i="8" s="1"/>
  <c r="J252" i="8" s="1"/>
  <c r="Y147" i="8"/>
  <c r="M147" i="8" s="1"/>
  <c r="Q147" i="8" s="1"/>
  <c r="AN147" i="8" s="1"/>
  <c r="X213" i="8"/>
  <c r="Y213" i="8" s="1"/>
  <c r="Y199" i="8"/>
  <c r="M199" i="8" s="1"/>
  <c r="Q199" i="8" s="1"/>
  <c r="AN199" i="8" s="1"/>
  <c r="X265" i="8"/>
  <c r="Y265" i="8" s="1"/>
  <c r="J265" i="8" s="1"/>
  <c r="Y189" i="8"/>
  <c r="M189" i="8" s="1"/>
  <c r="X255" i="8"/>
  <c r="Y255" i="8" s="1"/>
  <c r="J255" i="8" s="1"/>
  <c r="V86" i="8"/>
  <c r="N18" i="27" s="1" a="1"/>
  <c r="N18" i="27" s="1"/>
  <c r="Q114" i="8"/>
  <c r="F46" i="27" s="1" a="1"/>
  <c r="F46" i="27" s="1"/>
  <c r="Q63" i="27" a="1"/>
  <c r="Q63" i="27" s="1"/>
  <c r="F63" i="27" a="1"/>
  <c r="F63" i="27" s="1"/>
  <c r="E63" i="27" a="1"/>
  <c r="E63" i="27" s="1"/>
  <c r="Q47" i="27" a="1"/>
  <c r="Q47" i="27" s="1"/>
  <c r="E47" i="27" a="1"/>
  <c r="E47" i="27" s="1"/>
  <c r="F31" i="27" a="1"/>
  <c r="F31" i="27" s="1"/>
  <c r="Q31" i="27" a="1"/>
  <c r="Q31" i="27" s="1"/>
  <c r="Q15" i="27" a="1"/>
  <c r="Q15" i="27" s="1"/>
  <c r="F66" i="27" a="1"/>
  <c r="F66" i="27" s="1"/>
  <c r="Q66" i="27" a="1"/>
  <c r="Q66" i="27" s="1"/>
  <c r="E66" i="27" a="1"/>
  <c r="E66" i="27" s="1"/>
  <c r="Q50" i="27" a="1"/>
  <c r="Q50" i="27" s="1"/>
  <c r="F34" i="27" a="1"/>
  <c r="F34" i="27" s="1"/>
  <c r="O34" i="27" a="1"/>
  <c r="O34" i="27" s="1"/>
  <c r="J34" i="27" a="1"/>
  <c r="J34" i="27" s="1"/>
  <c r="Q34" i="27" a="1"/>
  <c r="Q34" i="27" s="1"/>
  <c r="E34" i="27" a="1"/>
  <c r="E34" i="27" s="1"/>
  <c r="Q18" i="27" a="1"/>
  <c r="Q18" i="27" s="1"/>
  <c r="F18" i="27" a="1"/>
  <c r="F18" i="27" s="1"/>
  <c r="E18" i="27" a="1"/>
  <c r="E18" i="27" s="1"/>
  <c r="Q65" i="27" a="1"/>
  <c r="Q65" i="27" s="1"/>
  <c r="J65" i="27" a="1"/>
  <c r="J65" i="27" s="1"/>
  <c r="F65" i="27" a="1"/>
  <c r="F65" i="27" s="1"/>
  <c r="Q49" i="27" a="1"/>
  <c r="Q49" i="27" s="1"/>
  <c r="F49" i="27" a="1"/>
  <c r="F49" i="27" s="1"/>
  <c r="O49" i="27" a="1"/>
  <c r="O49" i="27" s="1"/>
  <c r="J49" i="27" a="1"/>
  <c r="J49" i="27" s="1"/>
  <c r="E49" i="27" a="1"/>
  <c r="E49" i="27" s="1"/>
  <c r="Q33" i="27" a="1"/>
  <c r="Q33" i="27" s="1"/>
  <c r="E33" i="27" a="1"/>
  <c r="E33" i="27" s="1"/>
  <c r="F17" i="27" a="1"/>
  <c r="F17" i="27" s="1"/>
  <c r="J17" i="27" a="1"/>
  <c r="J17" i="27" s="1"/>
  <c r="Q17" i="27" a="1"/>
  <c r="Q17" i="27" s="1"/>
  <c r="O17" i="27" a="1"/>
  <c r="O17" i="27" s="1"/>
  <c r="E17" i="27" a="1"/>
  <c r="E17" i="27" s="1"/>
  <c r="Q64" i="27" a="1"/>
  <c r="Q64" i="27" s="1"/>
  <c r="Q48" i="27" a="1"/>
  <c r="Q48" i="27" s="1"/>
  <c r="F32" i="27" a="1"/>
  <c r="F32" i="27" s="1"/>
  <c r="Q32" i="27" a="1"/>
  <c r="Q32" i="27" s="1"/>
  <c r="E32" i="27" a="1"/>
  <c r="E32" i="27" s="1"/>
  <c r="Q16" i="27" a="1"/>
  <c r="Q16" i="27" s="1"/>
  <c r="F16" i="27" a="1"/>
  <c r="F16" i="27" s="1"/>
  <c r="X259" i="8"/>
  <c r="Y259" i="8" s="1"/>
  <c r="J259" i="8" s="1"/>
  <c r="E16" i="27" a="1"/>
  <c r="E16" i="27" s="1"/>
  <c r="Q93" i="8"/>
  <c r="S93" i="8" s="1"/>
  <c r="V93" i="8"/>
  <c r="Q116" i="8"/>
  <c r="F48" i="27" s="1" a="1"/>
  <c r="F48" i="27" s="1"/>
  <c r="V116" i="8"/>
  <c r="N48" i="27" s="1" a="1"/>
  <c r="N48" i="27" s="1"/>
  <c r="V101" i="8"/>
  <c r="N33" i="27" s="1" a="1"/>
  <c r="N33" i="27" s="1"/>
  <c r="Q101" i="8"/>
  <c r="F33" i="27" s="1" a="1"/>
  <c r="F33" i="27" s="1"/>
  <c r="Y157" i="8"/>
  <c r="M157" i="8" s="1"/>
  <c r="X223" i="8"/>
  <c r="Y223" i="8" s="1"/>
  <c r="J223" i="8" s="1"/>
  <c r="E52" i="27" a="1"/>
  <c r="E52" i="27" s="1"/>
  <c r="E20" i="27" a="1"/>
  <c r="E20" i="27" s="1"/>
  <c r="E65" i="27" a="1"/>
  <c r="E65" i="27" s="1"/>
  <c r="Y172" i="8"/>
  <c r="M172" i="8" s="1"/>
  <c r="X238" i="8"/>
  <c r="Y238" i="8" s="1"/>
  <c r="J238" i="8" s="1"/>
  <c r="Q55" i="27" a="1"/>
  <c r="Q55" i="27" s="1"/>
  <c r="Q39" i="27" a="1"/>
  <c r="Q39" i="27" s="1"/>
  <c r="Q23" i="27" a="1"/>
  <c r="Q23" i="27" s="1"/>
  <c r="F23" i="27" a="1"/>
  <c r="F23" i="27" s="1"/>
  <c r="Q7" i="27" a="1"/>
  <c r="Q7" i="27" s="1"/>
  <c r="Q58" i="27" a="1"/>
  <c r="Q58" i="27" s="1"/>
  <c r="Q42" i="27" a="1"/>
  <c r="Q42" i="27" s="1"/>
  <c r="F42" i="27" a="1"/>
  <c r="F42" i="27" s="1"/>
  <c r="Q26" i="27" a="1"/>
  <c r="Q26" i="27" s="1"/>
  <c r="Q10" i="27" a="1"/>
  <c r="Q10" i="27" s="1"/>
  <c r="F10" i="27" a="1"/>
  <c r="F10" i="27" s="1"/>
  <c r="Q57" i="27" a="1"/>
  <c r="Q57" i="27" s="1"/>
  <c r="Q41" i="27" a="1"/>
  <c r="Q41" i="27" s="1"/>
  <c r="Q25" i="27" a="1"/>
  <c r="Q25" i="27" s="1"/>
  <c r="F9" i="27" a="1"/>
  <c r="F9" i="27" s="1"/>
  <c r="Q9" i="27" a="1"/>
  <c r="Q9" i="27" s="1"/>
  <c r="J9" i="27" a="1"/>
  <c r="J9" i="27" s="1"/>
  <c r="Q56" i="27" a="1"/>
  <c r="Q56" i="27" s="1"/>
  <c r="Q40" i="27" a="1"/>
  <c r="Q40" i="27" s="1"/>
  <c r="F40" i="27" a="1"/>
  <c r="F40" i="27" s="1"/>
  <c r="F24" i="27" a="1"/>
  <c r="F24" i="27" s="1"/>
  <c r="Q24" i="27" a="1"/>
  <c r="Q24" i="27" s="1"/>
  <c r="J24" i="27" a="1"/>
  <c r="J24" i="27" s="1"/>
  <c r="O24" i="27" a="1"/>
  <c r="O24" i="27" s="1"/>
  <c r="Q8" i="27" a="1"/>
  <c r="Q8" i="27" s="1"/>
  <c r="F8" i="27" a="1"/>
  <c r="F8" i="27" s="1"/>
  <c r="E23" i="27" a="1"/>
  <c r="E23" i="27" s="1"/>
  <c r="E24" i="27" a="1"/>
  <c r="E24" i="27" s="1"/>
  <c r="E57" i="27" a="1"/>
  <c r="E57" i="27" s="1"/>
  <c r="E41" i="27" a="1"/>
  <c r="E41" i="27" s="1"/>
  <c r="E7" i="27" a="1"/>
  <c r="E7" i="27" s="1"/>
  <c r="F59" i="27" a="1"/>
  <c r="F59" i="27" s="1"/>
  <c r="Q59" i="27" a="1"/>
  <c r="Q59" i="27" s="1"/>
  <c r="Q43" i="27" a="1"/>
  <c r="Q43" i="27" s="1"/>
  <c r="Q27" i="27" a="1"/>
  <c r="Q27" i="27" s="1"/>
  <c r="F27" i="27" a="1"/>
  <c r="F27" i="27" s="1"/>
  <c r="J27" i="27" a="1"/>
  <c r="J27" i="27" s="1"/>
  <c r="O27" i="27" a="1"/>
  <c r="O27" i="27" s="1"/>
  <c r="O11" i="27" a="1"/>
  <c r="O11" i="27" s="1"/>
  <c r="J11" i="27" a="1"/>
  <c r="J11" i="27" s="1"/>
  <c r="F11" i="27" a="1"/>
  <c r="F11" i="27" s="1"/>
  <c r="Q11" i="27" a="1"/>
  <c r="Q11" i="27" s="1"/>
  <c r="F62" i="27" a="1"/>
  <c r="F62" i="27" s="1"/>
  <c r="Q62" i="27" a="1"/>
  <c r="Q62" i="27" s="1"/>
  <c r="Q46" i="27" a="1"/>
  <c r="Q46" i="27" s="1"/>
  <c r="F30" i="27" a="1"/>
  <c r="F30" i="27" s="1"/>
  <c r="Q30" i="27" a="1"/>
  <c r="Q30" i="27" s="1"/>
  <c r="O30" i="27" a="1"/>
  <c r="O30" i="27" s="1"/>
  <c r="J30" i="27" a="1"/>
  <c r="J30" i="27" s="1"/>
  <c r="Q14" i="27" a="1"/>
  <c r="Q14" i="27" s="1"/>
  <c r="Q61" i="27" a="1"/>
  <c r="Q61" i="27" s="1"/>
  <c r="J61" i="27" a="1"/>
  <c r="J61" i="27" s="1"/>
  <c r="O61" i="27" a="1"/>
  <c r="O61" i="27" s="1"/>
  <c r="F61" i="27" a="1"/>
  <c r="F61" i="27" s="1"/>
  <c r="F45" i="27" a="1"/>
  <c r="F45" i="27" s="1"/>
  <c r="Q45" i="27" a="1"/>
  <c r="Q45" i="27" s="1"/>
  <c r="Q29" i="27" a="1"/>
  <c r="Q29" i="27" s="1"/>
  <c r="J13" i="27" a="1"/>
  <c r="J13" i="27" s="1"/>
  <c r="F13" i="27" a="1"/>
  <c r="F13" i="27" s="1"/>
  <c r="Q13" i="27" a="1"/>
  <c r="Q13" i="27" s="1"/>
  <c r="Q60" i="27" a="1"/>
  <c r="Q60" i="27" s="1"/>
  <c r="Q44" i="27" a="1"/>
  <c r="Q44" i="27" s="1"/>
  <c r="Q28" i="27" a="1"/>
  <c r="Q28" i="27" s="1"/>
  <c r="Q12" i="27" a="1"/>
  <c r="Q12" i="27" s="1"/>
  <c r="E42" i="27" a="1"/>
  <c r="E42" i="27" s="1"/>
  <c r="E59" i="27" a="1"/>
  <c r="E59" i="27" s="1"/>
  <c r="E61" i="27" a="1"/>
  <c r="E61" i="27" s="1"/>
  <c r="E28" i="27" a="1"/>
  <c r="E28" i="27" s="1"/>
  <c r="E55" i="27" a="1"/>
  <c r="E55" i="27" s="1"/>
  <c r="E29" i="27" a="1"/>
  <c r="E29" i="27" s="1"/>
  <c r="E39" i="27" a="1"/>
  <c r="E39" i="27" s="1"/>
  <c r="E58" i="27" a="1"/>
  <c r="E58" i="27" s="1"/>
  <c r="E25" i="27" a="1"/>
  <c r="E25" i="27" s="1"/>
  <c r="G30" i="27" a="1"/>
  <c r="G30" i="27" s="1"/>
  <c r="G24" i="27" a="1"/>
  <c r="G24" i="27" s="1"/>
  <c r="G49" i="27" a="1"/>
  <c r="G49" i="27" s="1"/>
  <c r="G6" i="27" a="1"/>
  <c r="G6" i="27" s="1"/>
  <c r="G37" i="27" a="1"/>
  <c r="G37" i="27" s="1"/>
  <c r="G27" i="27" a="1"/>
  <c r="G27" i="27" s="1"/>
  <c r="S187" i="8"/>
  <c r="G53" i="27" a="1"/>
  <c r="G53" i="27" s="1"/>
  <c r="G20" i="27" a="1"/>
  <c r="G20" i="27" s="1"/>
  <c r="G17" i="27" a="1"/>
  <c r="G17" i="27" s="1"/>
  <c r="G54" i="27" a="1"/>
  <c r="G54" i="27" s="1"/>
  <c r="G34" i="27" a="1"/>
  <c r="G34" i="27" s="1"/>
  <c r="G11" i="27" a="1"/>
  <c r="G11" i="27" s="1"/>
  <c r="G61" i="27" a="1"/>
  <c r="G61" i="27" s="1"/>
  <c r="N31" i="27" a="1"/>
  <c r="N31" i="27" s="1"/>
  <c r="N20" i="27" a="1"/>
  <c r="N20" i="27" s="1"/>
  <c r="N53" i="27" a="1"/>
  <c r="N53" i="27" s="1"/>
  <c r="N17" i="27" a="1"/>
  <c r="N17" i="27" s="1"/>
  <c r="R24" i="27" a="1"/>
  <c r="R24" i="27" s="1"/>
  <c r="N28" i="27" a="1"/>
  <c r="N28" i="27" s="1"/>
  <c r="N63" i="27" a="1"/>
  <c r="N63" i="27" s="1"/>
  <c r="N15" i="27" a="1"/>
  <c r="N15" i="27" s="1"/>
  <c r="R20" i="27" a="1"/>
  <c r="R20" i="27" s="1"/>
  <c r="R65" i="27" a="1"/>
  <c r="R65" i="27" s="1"/>
  <c r="R53" i="27" a="1"/>
  <c r="R53" i="27" s="1"/>
  <c r="N26" i="27" a="1"/>
  <c r="N26" i="27" s="1"/>
  <c r="N55" i="27" a="1"/>
  <c r="N55" i="27" s="1"/>
  <c r="N46" i="27" a="1"/>
  <c r="N46" i="27" s="1"/>
  <c r="N61" i="27" a="1"/>
  <c r="N61" i="27" s="1"/>
  <c r="N30" i="27" a="1"/>
  <c r="N30" i="27" s="1"/>
  <c r="N22" i="27" a="1"/>
  <c r="N22" i="27" s="1"/>
  <c r="R49" i="27" a="1"/>
  <c r="R49" i="27" s="1"/>
  <c r="R29" i="27" a="1"/>
  <c r="R29" i="27" s="1"/>
  <c r="N54" i="27" a="1"/>
  <c r="N54" i="27" s="1"/>
  <c r="R27" i="27" a="1"/>
  <c r="R27" i="27" s="1"/>
  <c r="R4" i="27" a="1"/>
  <c r="R4" i="27" s="1"/>
  <c r="R13" i="27" a="1"/>
  <c r="R13" i="27" s="1"/>
  <c r="N43" i="27" a="1"/>
  <c r="N43" i="27" s="1"/>
  <c r="N60" i="27" a="1"/>
  <c r="N60" i="27" s="1"/>
  <c r="N39" i="27" a="1"/>
  <c r="N39" i="27" s="1"/>
  <c r="N27" i="27" a="1"/>
  <c r="N27" i="27" s="1"/>
  <c r="N44" i="27" a="1"/>
  <c r="N44" i="27" s="1"/>
  <c r="N57" i="27" a="1"/>
  <c r="N57" i="27" s="1"/>
  <c r="R21" i="27" a="1"/>
  <c r="R21" i="27" s="1"/>
  <c r="R61" i="27" a="1"/>
  <c r="R61" i="27" s="1"/>
  <c r="R17" i="27" a="1"/>
  <c r="R17" i="27" s="1"/>
  <c r="N3" i="27" a="1"/>
  <c r="N3" i="27" s="1"/>
  <c r="N4" i="27" a="1"/>
  <c r="N4" i="27" s="1"/>
  <c r="R34" i="27" a="1"/>
  <c r="R34" i="27" s="1"/>
  <c r="R6" i="27" a="1"/>
  <c r="R6" i="27" s="1"/>
  <c r="R11" i="27" a="1"/>
  <c r="R11" i="27" s="1"/>
  <c r="N16" i="27" a="1"/>
  <c r="N16" i="27" s="1"/>
  <c r="N67" i="27" a="1"/>
  <c r="N67" i="27" s="1"/>
  <c r="N45" i="27" a="1"/>
  <c r="N45" i="27" s="1"/>
  <c r="N6" i="27" a="1"/>
  <c r="N6" i="27" s="1"/>
  <c r="N24" i="27" a="1"/>
  <c r="N24" i="27" s="1"/>
  <c r="N11" i="27" a="1"/>
  <c r="N11" i="27" s="1"/>
  <c r="N37" i="27" a="1"/>
  <c r="N37" i="27" s="1"/>
  <c r="N49" i="27" a="1"/>
  <c r="N49" i="27" s="1"/>
  <c r="R54" i="27" a="1"/>
  <c r="R54" i="27" s="1"/>
  <c r="R5" i="27" a="1"/>
  <c r="R5" i="27" s="1"/>
  <c r="N34" i="27" a="1"/>
  <c r="N34" i="27" s="1"/>
  <c r="R30" i="27" a="1"/>
  <c r="R30" i="27" s="1"/>
  <c r="R9" i="27" a="1"/>
  <c r="R9" i="27" s="1"/>
  <c r="R57" i="27" a="1"/>
  <c r="R57" i="27" s="1"/>
  <c r="R37" i="27" a="1"/>
  <c r="R37" i="27" s="1"/>
  <c r="N12" i="27" a="1"/>
  <c r="N12" i="27" s="1"/>
  <c r="N2" i="27" a="1"/>
  <c r="N2" i="27" s="1"/>
  <c r="V108" i="8"/>
  <c r="V77" i="8"/>
  <c r="V89" i="8"/>
  <c r="Q111" i="8"/>
  <c r="F43" i="27" s="1" a="1"/>
  <c r="F43" i="27" s="1"/>
  <c r="V127" i="8"/>
  <c r="X264" i="8"/>
  <c r="Y264" i="8" s="1"/>
  <c r="J264" i="8" s="1"/>
  <c r="Q138" i="8"/>
  <c r="AN138" i="8" s="1"/>
  <c r="V138" i="8"/>
  <c r="AR138" i="8" s="1"/>
  <c r="X247" i="8"/>
  <c r="Y247" i="8" s="1"/>
  <c r="J247" i="8" s="1"/>
  <c r="X214" i="8"/>
  <c r="Y214" i="8" s="1"/>
  <c r="J214" i="8" s="1"/>
  <c r="I3" i="27" a="1"/>
  <c r="I3" i="27" s="1"/>
  <c r="I23" i="27" a="1"/>
  <c r="I23" i="27" s="1"/>
  <c r="I54" i="27" a="1"/>
  <c r="I54" i="27" s="1"/>
  <c r="I61" i="27" a="1"/>
  <c r="I61" i="27" s="1"/>
  <c r="I29" i="27" a="1"/>
  <c r="I29" i="27" s="1"/>
  <c r="I30" i="27" a="1"/>
  <c r="I30" i="27" s="1"/>
  <c r="I55" i="27" a="1"/>
  <c r="I55" i="27" s="1"/>
  <c r="I52" i="27" a="1"/>
  <c r="I52" i="27" s="1"/>
  <c r="I64" i="27" a="1"/>
  <c r="I64" i="27" s="1"/>
  <c r="I4" i="27" a="1"/>
  <c r="I4" i="27" s="1"/>
  <c r="E2" i="27" a="1"/>
  <c r="E2" i="27" s="1"/>
  <c r="V76" i="8"/>
  <c r="I22" i="27" a="1"/>
  <c r="I22" i="27" s="1"/>
  <c r="I46" i="27" a="1"/>
  <c r="I46" i="27" s="1"/>
  <c r="I51" i="27" a="1"/>
  <c r="I51" i="27" s="1"/>
  <c r="I34" i="27" a="1"/>
  <c r="I34" i="27" s="1"/>
  <c r="I31" i="27" a="1"/>
  <c r="I31" i="27" s="1"/>
  <c r="I11" i="27" a="1"/>
  <c r="I11" i="27" s="1"/>
  <c r="I63" i="27" a="1"/>
  <c r="I63" i="27" s="1"/>
  <c r="I17" i="27" a="1"/>
  <c r="I17" i="27" s="1"/>
  <c r="I53" i="27" a="1"/>
  <c r="I53" i="27" s="1"/>
  <c r="I65" i="27" a="1"/>
  <c r="I65" i="27" s="1"/>
  <c r="I12" i="27" a="1"/>
  <c r="I12" i="27" s="1"/>
  <c r="I7" i="27" a="1"/>
  <c r="I7" i="27" s="1"/>
  <c r="I20" i="27" a="1"/>
  <c r="I20" i="27" s="1"/>
  <c r="I33" i="27" a="1"/>
  <c r="I33" i="27" s="1"/>
  <c r="I24" i="27" a="1"/>
  <c r="I24" i="27" s="1"/>
  <c r="I15" i="27" a="1"/>
  <c r="I15" i="27" s="1"/>
  <c r="X221" i="8"/>
  <c r="Y221" i="8" s="1"/>
  <c r="X209" i="8"/>
  <c r="Y209" i="8" s="1"/>
  <c r="I14" i="27" a="1"/>
  <c r="I14" i="27" s="1"/>
  <c r="I41" i="27" a="1"/>
  <c r="I41" i="27" s="1"/>
  <c r="I56" i="27" a="1"/>
  <c r="I56" i="27" s="1"/>
  <c r="I60" i="27" a="1"/>
  <c r="I60" i="27" s="1"/>
  <c r="I39" i="27" a="1"/>
  <c r="I39" i="27" s="1"/>
  <c r="I18" i="27" a="1"/>
  <c r="I18" i="27" s="1"/>
  <c r="I28" i="27" a="1"/>
  <c r="I28" i="27" s="1"/>
  <c r="I9" i="27" a="1"/>
  <c r="I9" i="27" s="1"/>
  <c r="Q71" i="8"/>
  <c r="M3" i="27" a="1"/>
  <c r="M3" i="27" s="1"/>
  <c r="I13" i="27" a="1"/>
  <c r="I13" i="27" s="1"/>
  <c r="I67" i="27" a="1"/>
  <c r="I67" i="27" s="1"/>
  <c r="I38" i="27" a="1"/>
  <c r="I38" i="27" s="1"/>
  <c r="I59" i="27" a="1"/>
  <c r="I59" i="27" s="1"/>
  <c r="I47" i="27" a="1"/>
  <c r="I47" i="27" s="1"/>
  <c r="I25" i="27" a="1"/>
  <c r="I25" i="27" s="1"/>
  <c r="I10" i="27" a="1"/>
  <c r="I10" i="27" s="1"/>
  <c r="I32" i="27" a="1"/>
  <c r="I32" i="27" s="1"/>
  <c r="I26" i="27" a="1"/>
  <c r="I26" i="27" s="1"/>
  <c r="I35" i="27" a="1"/>
  <c r="I35" i="27" s="1"/>
  <c r="I21" i="27" a="1"/>
  <c r="I21" i="27" s="1"/>
  <c r="I44" i="27" a="1"/>
  <c r="I44" i="27" s="1"/>
  <c r="I16" i="27" a="1"/>
  <c r="I16" i="27" s="1"/>
  <c r="I19" i="27" a="1"/>
  <c r="I19" i="27" s="1"/>
  <c r="I36" i="27" a="1"/>
  <c r="I36" i="27" s="1"/>
  <c r="Q96" i="8"/>
  <c r="F28" i="27" s="1" a="1"/>
  <c r="F28" i="27" s="1"/>
  <c r="I66" i="27" a="1"/>
  <c r="I66" i="27" s="1"/>
  <c r="I58" i="27" a="1"/>
  <c r="I58" i="27" s="1"/>
  <c r="I43" i="27" a="1"/>
  <c r="I43" i="27" s="1"/>
  <c r="I37" i="27" a="1"/>
  <c r="I37" i="27" s="1"/>
  <c r="I40" i="27" a="1"/>
  <c r="I40" i="27" s="1"/>
  <c r="I50" i="27" a="1"/>
  <c r="I50" i="27" s="1"/>
  <c r="I57" i="27" a="1"/>
  <c r="I57" i="27" s="1"/>
  <c r="I42" i="27" a="1"/>
  <c r="I42" i="27" s="1"/>
  <c r="I45" i="27" a="1"/>
  <c r="I45" i="27" s="1"/>
  <c r="I49" i="27" a="1"/>
  <c r="I49" i="27" s="1"/>
  <c r="I5" i="27" a="1"/>
  <c r="I5" i="27" s="1"/>
  <c r="I62" i="27" a="1"/>
  <c r="I62" i="27" s="1"/>
  <c r="I8" i="27" a="1"/>
  <c r="I8" i="27" s="1"/>
  <c r="I6" i="27" a="1"/>
  <c r="I6" i="27" s="1"/>
  <c r="I48" i="27" a="1"/>
  <c r="I48" i="27" s="1"/>
  <c r="I27" i="27" a="1"/>
  <c r="I27" i="27" s="1"/>
  <c r="X203" i="8"/>
  <c r="Y203" i="8" s="1"/>
  <c r="X228" i="8"/>
  <c r="Y228" i="8" s="1"/>
  <c r="J228" i="8" s="1"/>
  <c r="X208" i="8"/>
  <c r="Y208" i="8" s="1"/>
  <c r="J208" i="8" s="1"/>
  <c r="D2" i="27" a="1"/>
  <c r="D2" i="27" s="1"/>
  <c r="Q155" i="8"/>
  <c r="AN155" i="8" s="1"/>
  <c r="V163" i="8"/>
  <c r="V140" i="8"/>
  <c r="AR140" i="8" s="1"/>
  <c r="V155" i="8"/>
  <c r="M141" i="8"/>
  <c r="M137" i="8"/>
  <c r="V137" i="8" s="1"/>
  <c r="AR137" i="8" s="1"/>
  <c r="M156" i="8"/>
  <c r="M146" i="8"/>
  <c r="V146" i="8" s="1"/>
  <c r="M193" i="8"/>
  <c r="M184" i="8"/>
  <c r="Q184" i="8" s="1"/>
  <c r="AN184" i="8" s="1"/>
  <c r="M142" i="8"/>
  <c r="M170" i="8"/>
  <c r="M150" i="8"/>
  <c r="M191" i="8"/>
  <c r="M143" i="8"/>
  <c r="M185" i="8"/>
  <c r="M148" i="8"/>
  <c r="Q163" i="8"/>
  <c r="AN163" i="8" s="1"/>
  <c r="W187" i="8"/>
  <c r="W253" i="8"/>
  <c r="Q257" i="8"/>
  <c r="Q265" i="8"/>
  <c r="Q205" i="8"/>
  <c r="D63" i="27" a="1"/>
  <c r="D63" i="27" s="1"/>
  <c r="D47" i="27" a="1"/>
  <c r="D47" i="27" s="1"/>
  <c r="D31" i="27" a="1"/>
  <c r="D31" i="27" s="1"/>
  <c r="D15" i="27" a="1"/>
  <c r="D15" i="27" s="1"/>
  <c r="D66" i="27" a="1"/>
  <c r="D66" i="27" s="1"/>
  <c r="D50" i="27" a="1"/>
  <c r="D50" i="27" s="1"/>
  <c r="D34" i="27" a="1"/>
  <c r="D34" i="27" s="1"/>
  <c r="D18" i="27" a="1"/>
  <c r="D18" i="27" s="1"/>
  <c r="D65" i="27" a="1"/>
  <c r="D65" i="27" s="1"/>
  <c r="D49" i="27" a="1"/>
  <c r="D49" i="27" s="1"/>
  <c r="D33" i="27" a="1"/>
  <c r="D33" i="27" s="1"/>
  <c r="D17" i="27" a="1"/>
  <c r="D17" i="27" s="1"/>
  <c r="D64" i="27" a="1"/>
  <c r="D64" i="27" s="1"/>
  <c r="D48" i="27" a="1"/>
  <c r="D48" i="27" s="1"/>
  <c r="D32" i="27" a="1"/>
  <c r="D32" i="27" s="1"/>
  <c r="D16" i="27" a="1"/>
  <c r="D16" i="27" s="1"/>
  <c r="D59" i="27" a="1"/>
  <c r="D59" i="27" s="1"/>
  <c r="D43" i="27" a="1"/>
  <c r="D43" i="27" s="1"/>
  <c r="D27" i="27" a="1"/>
  <c r="D27" i="27" s="1"/>
  <c r="D11" i="27" a="1"/>
  <c r="D11" i="27" s="1"/>
  <c r="D62" i="27" a="1"/>
  <c r="D62" i="27" s="1"/>
  <c r="D46" i="27" a="1"/>
  <c r="D46" i="27" s="1"/>
  <c r="D30" i="27" a="1"/>
  <c r="D30" i="27" s="1"/>
  <c r="D14" i="27" a="1"/>
  <c r="D14" i="27" s="1"/>
  <c r="D61" i="27" a="1"/>
  <c r="D61" i="27" s="1"/>
  <c r="D45" i="27" a="1"/>
  <c r="D45" i="27" s="1"/>
  <c r="D29" i="27" a="1"/>
  <c r="D29" i="27" s="1"/>
  <c r="D13" i="27" a="1"/>
  <c r="D13" i="27" s="1"/>
  <c r="D60" i="27" a="1"/>
  <c r="D60" i="27" s="1"/>
  <c r="D44" i="27" a="1"/>
  <c r="D44" i="27" s="1"/>
  <c r="D28" i="27" a="1"/>
  <c r="D28" i="27" s="1"/>
  <c r="D12" i="27" a="1"/>
  <c r="D12" i="27" s="1"/>
  <c r="D55" i="27" a="1"/>
  <c r="D55" i="27" s="1"/>
  <c r="D39" i="27" a="1"/>
  <c r="D39" i="27" s="1"/>
  <c r="D23" i="27" a="1"/>
  <c r="D23" i="27" s="1"/>
  <c r="D7" i="27" a="1"/>
  <c r="D7" i="27" s="1"/>
  <c r="D58" i="27" a="1"/>
  <c r="D58" i="27" s="1"/>
  <c r="D42" i="27" a="1"/>
  <c r="D42" i="27" s="1"/>
  <c r="D26" i="27" a="1"/>
  <c r="D26" i="27" s="1"/>
  <c r="D10" i="27" a="1"/>
  <c r="D10" i="27" s="1"/>
  <c r="D57" i="27" a="1"/>
  <c r="D57" i="27" s="1"/>
  <c r="D41" i="27" a="1"/>
  <c r="D41" i="27" s="1"/>
  <c r="D25" i="27" a="1"/>
  <c r="D25" i="27" s="1"/>
  <c r="D9" i="27" a="1"/>
  <c r="D9" i="27" s="1"/>
  <c r="D56" i="27" a="1"/>
  <c r="D56" i="27" s="1"/>
  <c r="D40" i="27" a="1"/>
  <c r="D40" i="27" s="1"/>
  <c r="D24" i="27" a="1"/>
  <c r="D24" i="27" s="1"/>
  <c r="D8" i="27" a="1"/>
  <c r="D8" i="27" s="1"/>
  <c r="D67" i="27" a="1"/>
  <c r="D67" i="27" s="1"/>
  <c r="D51" i="27" a="1"/>
  <c r="D51" i="27" s="1"/>
  <c r="D35" i="27" a="1"/>
  <c r="D35" i="27" s="1"/>
  <c r="D19" i="27" a="1"/>
  <c r="D19" i="27" s="1"/>
  <c r="D3" i="27" a="1"/>
  <c r="D3" i="27" s="1"/>
  <c r="D54" i="27" a="1"/>
  <c r="D54" i="27" s="1"/>
  <c r="D38" i="27" a="1"/>
  <c r="D38" i="27" s="1"/>
  <c r="D22" i="27" a="1"/>
  <c r="D22" i="27" s="1"/>
  <c r="D6" i="27" a="1"/>
  <c r="D6" i="27" s="1"/>
  <c r="D53" i="27" a="1"/>
  <c r="D53" i="27" s="1"/>
  <c r="D37" i="27" a="1"/>
  <c r="D37" i="27" s="1"/>
  <c r="D21" i="27" a="1"/>
  <c r="D21" i="27" s="1"/>
  <c r="D5" i="27" a="1"/>
  <c r="D5" i="27" s="1"/>
  <c r="D52" i="27" a="1"/>
  <c r="D52" i="27" s="1"/>
  <c r="D36" i="27" a="1"/>
  <c r="D36" i="27" s="1"/>
  <c r="D20" i="27" a="1"/>
  <c r="D20" i="27" s="1"/>
  <c r="D4" i="27" a="1"/>
  <c r="D4" i="27" s="1"/>
  <c r="R29" i="8"/>
  <c r="AO29" i="8" s="1"/>
  <c r="S119" i="8"/>
  <c r="S171" i="8"/>
  <c r="S161" i="8"/>
  <c r="S183" i="8"/>
  <c r="R74" i="8"/>
  <c r="R102" i="8"/>
  <c r="R89" i="8"/>
  <c r="R133" i="8"/>
  <c r="R5" i="8"/>
  <c r="AO5" i="8" s="1"/>
  <c r="S154" i="8"/>
  <c r="S168" i="8"/>
  <c r="S188" i="8"/>
  <c r="S99" i="8"/>
  <c r="S131" i="8"/>
  <c r="S91" i="8"/>
  <c r="S140" i="8"/>
  <c r="S164" i="8"/>
  <c r="S87" i="8"/>
  <c r="S84" i="8"/>
  <c r="S134" i="8"/>
  <c r="S118" i="8"/>
  <c r="S151" i="8"/>
  <c r="S103" i="8"/>
  <c r="S158" i="8"/>
  <c r="R122" i="8"/>
  <c r="R79" i="8"/>
  <c r="R129" i="8"/>
  <c r="R98" i="8"/>
  <c r="R73" i="8"/>
  <c r="R105" i="8"/>
  <c r="R68" i="8"/>
  <c r="AO68" i="8" s="1"/>
  <c r="R40" i="8"/>
  <c r="AO40" i="8" s="1"/>
  <c r="R60" i="8"/>
  <c r="AO60" i="8" s="1"/>
  <c r="R61" i="8"/>
  <c r="AO61" i="8" s="1"/>
  <c r="R45" i="8"/>
  <c r="AO45" i="8" s="1"/>
  <c r="R49" i="8"/>
  <c r="AO49" i="8" s="1"/>
  <c r="R39" i="8"/>
  <c r="AO39" i="8" s="1"/>
  <c r="R27" i="8"/>
  <c r="AO27" i="8" s="1"/>
  <c r="R42" i="8"/>
  <c r="AO42" i="8" s="1"/>
  <c r="R88" i="8"/>
  <c r="R52" i="8"/>
  <c r="AO52" i="8" s="1"/>
  <c r="R12" i="8"/>
  <c r="AO12" i="8" s="1"/>
  <c r="R59" i="8"/>
  <c r="AO59" i="8" s="1"/>
  <c r="R32" i="8"/>
  <c r="AO32" i="8" s="1"/>
  <c r="R19" i="8"/>
  <c r="AO19" i="8" s="1"/>
  <c r="R62" i="8"/>
  <c r="AO62" i="8" s="1"/>
  <c r="R47" i="8"/>
  <c r="AO47" i="8" s="1"/>
  <c r="R37" i="8"/>
  <c r="AO37" i="8" s="1"/>
  <c r="R51" i="8"/>
  <c r="AO51" i="8" s="1"/>
  <c r="R23" i="8"/>
  <c r="AO23" i="8" s="1"/>
  <c r="R7" i="8"/>
  <c r="AO7" i="8" s="1"/>
  <c r="R81" i="8"/>
  <c r="R64" i="8"/>
  <c r="AO64" i="8" s="1"/>
  <c r="R46" i="8"/>
  <c r="AO46" i="8" s="1"/>
  <c r="R10" i="8"/>
  <c r="AO10" i="8" s="1"/>
  <c r="R18" i="8"/>
  <c r="AO18" i="8" s="1"/>
  <c r="R8" i="8"/>
  <c r="AO8" i="8" s="1"/>
  <c r="R21" i="8"/>
  <c r="AO21" i="8" s="1"/>
  <c r="R50" i="8"/>
  <c r="AO50" i="8" s="1"/>
  <c r="R38" i="8"/>
  <c r="AO38" i="8" s="1"/>
  <c r="S108" i="8"/>
  <c r="S78" i="8"/>
  <c r="S100" i="8"/>
  <c r="S86" i="8"/>
  <c r="S145" i="8"/>
  <c r="S113" i="8"/>
  <c r="R121" i="8"/>
  <c r="R72" i="8"/>
  <c r="R77" i="8"/>
  <c r="R25" i="8"/>
  <c r="AO25" i="8" s="1"/>
  <c r="S120" i="8"/>
  <c r="S76" i="8"/>
  <c r="S110" i="8"/>
  <c r="S127" i="8"/>
  <c r="S195" i="8"/>
  <c r="R95" i="8"/>
  <c r="R117" i="8"/>
  <c r="R92" i="8"/>
  <c r="R85" i="8"/>
  <c r="R15" i="8"/>
  <c r="AO15" i="8" s="1"/>
  <c r="R24" i="8"/>
  <c r="AO24" i="8" s="1"/>
  <c r="R56" i="8"/>
  <c r="AO56" i="8" s="1"/>
  <c r="R48" i="8"/>
  <c r="AO48" i="8" s="1"/>
  <c r="R16" i="8"/>
  <c r="AO16" i="8" s="1"/>
  <c r="R53" i="8"/>
  <c r="AO53" i="8" s="1"/>
  <c r="R63" i="8"/>
  <c r="AO63" i="8" s="1"/>
  <c r="R36" i="8"/>
  <c r="AO36" i="8" s="1"/>
  <c r="R43" i="8"/>
  <c r="AO43" i="8" s="1"/>
  <c r="R33" i="8"/>
  <c r="AO33" i="8" s="1"/>
  <c r="R31" i="8"/>
  <c r="AO31" i="8" s="1"/>
  <c r="R13" i="8"/>
  <c r="AO13" i="8" s="1"/>
  <c r="R58" i="8"/>
  <c r="AO58" i="8" s="1"/>
  <c r="R65" i="8"/>
  <c r="AO65" i="8" s="1"/>
  <c r="R34" i="8"/>
  <c r="AO34" i="8" s="1"/>
  <c r="R44" i="8"/>
  <c r="AO44" i="8" s="1"/>
  <c r="R28" i="8"/>
  <c r="AO28" i="8" s="1"/>
  <c r="R55" i="8"/>
  <c r="AO55" i="8" s="1"/>
  <c r="R57" i="8"/>
  <c r="AO57" i="8" s="1"/>
  <c r="R67" i="8"/>
  <c r="AO67" i="8" s="1"/>
  <c r="R41" i="8"/>
  <c r="AO41" i="8" s="1"/>
  <c r="R14" i="8"/>
  <c r="AO14" i="8" s="1"/>
  <c r="R20" i="8"/>
  <c r="AO20" i="8" s="1"/>
  <c r="R9" i="8"/>
  <c r="AO9" i="8" s="1"/>
  <c r="R54" i="8"/>
  <c r="AO54" i="8" s="1"/>
  <c r="R22" i="8"/>
  <c r="AO22" i="8" s="1"/>
  <c r="R30" i="8"/>
  <c r="AO30" i="8" s="1"/>
  <c r="R35" i="8"/>
  <c r="AO35" i="8" s="1"/>
  <c r="R66" i="8"/>
  <c r="AO66" i="8" s="1"/>
  <c r="R26" i="8"/>
  <c r="AO26" i="8" s="1"/>
  <c r="R6" i="8"/>
  <c r="AO6" i="8" s="1"/>
  <c r="R17" i="8"/>
  <c r="AO17" i="8" s="1"/>
  <c r="R11" i="8"/>
  <c r="AO11" i="8" s="1"/>
  <c r="S135" i="8"/>
  <c r="AG135" i="8"/>
  <c r="W135" i="8" s="1"/>
  <c r="R69" i="8"/>
  <c r="AO69" i="8" s="1"/>
  <c r="S130" i="8"/>
  <c r="S4" i="8"/>
  <c r="AP4" i="8" s="1"/>
  <c r="V4" i="8"/>
  <c r="AR4" i="8" s="1"/>
  <c r="AG113" i="8"/>
  <c r="W113" i="8" s="1"/>
  <c r="AG188" i="8"/>
  <c r="AG164" i="8"/>
  <c r="AG171" i="8"/>
  <c r="AG104" i="8"/>
  <c r="W104" i="8" s="1"/>
  <c r="AG108" i="8"/>
  <c r="W108" i="8" s="1"/>
  <c r="AG107" i="8"/>
  <c r="W107" i="8" s="1"/>
  <c r="AG195" i="8"/>
  <c r="AG143" i="8"/>
  <c r="AG93" i="8"/>
  <c r="W93" i="8" s="1"/>
  <c r="AG112" i="8"/>
  <c r="W112" i="8" s="1"/>
  <c r="AG140" i="8"/>
  <c r="AG126" i="8"/>
  <c r="W126" i="8" s="1"/>
  <c r="AG106" i="8"/>
  <c r="W106" i="8" s="1"/>
  <c r="AG87" i="8"/>
  <c r="W87" i="8" s="1"/>
  <c r="AG90" i="8"/>
  <c r="W90" i="8" s="1"/>
  <c r="AG134" i="8"/>
  <c r="W134" i="8" s="1"/>
  <c r="AG168" i="8"/>
  <c r="AG151" i="8"/>
  <c r="AG145" i="8"/>
  <c r="AG161" i="8"/>
  <c r="AG163" i="8"/>
  <c r="AG120" i="8"/>
  <c r="W120" i="8" s="1"/>
  <c r="AG103" i="8"/>
  <c r="W103" i="8" s="1"/>
  <c r="AG132" i="8"/>
  <c r="W132" i="8" s="1"/>
  <c r="AG75" i="8"/>
  <c r="W75" i="8" s="1"/>
  <c r="AG191" i="8"/>
  <c r="AG155" i="8"/>
  <c r="AG158" i="8"/>
  <c r="AG199" i="8"/>
  <c r="AG154" i="8"/>
  <c r="AG118" i="8"/>
  <c r="W118" i="8" s="1"/>
  <c r="AG71" i="8"/>
  <c r="W71" i="8" s="1"/>
  <c r="AG138" i="8"/>
  <c r="AG139" i="8"/>
  <c r="AG147" i="8"/>
  <c r="AG183" i="8"/>
  <c r="Q190" i="8"/>
  <c r="AN190" i="8" s="1"/>
  <c r="V190" i="8"/>
  <c r="V13" i="8"/>
  <c r="AR13" i="8" s="1"/>
  <c r="Q204" i="8"/>
  <c r="V169" i="8"/>
  <c r="Q180" i="8"/>
  <c r="AN180" i="8" s="1"/>
  <c r="V149" i="8"/>
  <c r="V179" i="8"/>
  <c r="AR179" i="8" s="1"/>
  <c r="V175" i="8"/>
  <c r="AG111" i="8"/>
  <c r="W111" i="8" s="1"/>
  <c r="AG130" i="8"/>
  <c r="W130" i="8" s="1"/>
  <c r="AG101" i="8"/>
  <c r="W101" i="8" s="1"/>
  <c r="AG123" i="8"/>
  <c r="W123" i="8" s="1"/>
  <c r="AG100" i="8"/>
  <c r="W100" i="8" s="1"/>
  <c r="AG131" i="8"/>
  <c r="W131" i="8" s="1"/>
  <c r="AG86" i="8"/>
  <c r="W86" i="8" s="1"/>
  <c r="AG114" i="8"/>
  <c r="W114" i="8" s="1"/>
  <c r="AG94" i="8"/>
  <c r="W94" i="8" s="1"/>
  <c r="AG96" i="8"/>
  <c r="W96" i="8" s="1"/>
  <c r="AG119" i="8"/>
  <c r="W119" i="8" s="1"/>
  <c r="AG99" i="8"/>
  <c r="W99" i="8" s="1"/>
  <c r="AG76" i="8"/>
  <c r="W76" i="8" s="1"/>
  <c r="AG116" i="8"/>
  <c r="W116" i="8" s="1"/>
  <c r="AG124" i="8"/>
  <c r="W124" i="8" s="1"/>
  <c r="AG82" i="8"/>
  <c r="W82" i="8" s="1"/>
  <c r="AG84" i="8"/>
  <c r="W84" i="8" s="1"/>
  <c r="AG78" i="8"/>
  <c r="W78" i="8" s="1"/>
  <c r="AG110" i="8"/>
  <c r="W110" i="8" s="1"/>
  <c r="AG127" i="8"/>
  <c r="W127" i="8" s="1"/>
  <c r="AG80" i="8"/>
  <c r="W80" i="8" s="1"/>
  <c r="AG128" i="8"/>
  <c r="W128" i="8" s="1"/>
  <c r="AG83" i="8"/>
  <c r="W83" i="8" s="1"/>
  <c r="AG115" i="8"/>
  <c r="W115" i="8" s="1"/>
  <c r="AG91" i="8"/>
  <c r="W91" i="8" s="1"/>
  <c r="Q249" i="8"/>
  <c r="AG109" i="8"/>
  <c r="W109" i="8" s="1"/>
  <c r="Q224" i="8"/>
  <c r="Q149" i="8"/>
  <c r="AN149" i="8" s="1"/>
  <c r="V181" i="8"/>
  <c r="V152" i="8"/>
  <c r="Q152" i="8"/>
  <c r="AN152" i="8" s="1"/>
  <c r="Q166" i="8"/>
  <c r="AN166" i="8" s="1"/>
  <c r="V166" i="8"/>
  <c r="V196" i="8"/>
  <c r="V153" i="8"/>
  <c r="Q153" i="8"/>
  <c r="AN153" i="8" s="1"/>
  <c r="V176" i="8"/>
  <c r="Q261" i="8"/>
  <c r="Q237" i="8"/>
  <c r="V180" i="8"/>
  <c r="AR180" i="8" s="1"/>
  <c r="Q227" i="8"/>
  <c r="Q211" i="8"/>
  <c r="Q253" i="8"/>
  <c r="Q165" i="8"/>
  <c r="AN165" i="8" s="1"/>
  <c r="V165" i="8"/>
  <c r="Q173" i="8"/>
  <c r="AN173" i="8" s="1"/>
  <c r="Q201" i="8"/>
  <c r="AN201" i="8" s="1"/>
  <c r="Q176" i="8"/>
  <c r="AN176" i="8" s="1"/>
  <c r="Q169" i="8"/>
  <c r="AN169" i="8" s="1"/>
  <c r="V177" i="8"/>
  <c r="Q177" i="8"/>
  <c r="AN177" i="8" s="1"/>
  <c r="Q181" i="8"/>
  <c r="AN181" i="8" s="1"/>
  <c r="Q179" i="8"/>
  <c r="AN179" i="8" s="1"/>
  <c r="V167" i="8"/>
  <c r="Q167" i="8"/>
  <c r="AN167" i="8" s="1"/>
  <c r="Q175" i="8"/>
  <c r="AN175" i="8" s="1"/>
  <c r="V173" i="8"/>
  <c r="Q198" i="8"/>
  <c r="AN198" i="8" s="1"/>
  <c r="V201" i="8"/>
  <c r="AR201" i="8" s="1"/>
  <c r="V198" i="8"/>
  <c r="Q70" i="8"/>
  <c r="Q196" i="8"/>
  <c r="AN196" i="8" s="1"/>
  <c r="V162" i="8"/>
  <c r="Q162" i="8"/>
  <c r="AN162" i="8" s="1"/>
  <c r="V9" i="8"/>
  <c r="AR9" i="8" s="1"/>
  <c r="V17" i="8"/>
  <c r="AR17" i="8" s="1"/>
  <c r="V21" i="8"/>
  <c r="AR21" i="8" s="1"/>
  <c r="V33" i="8"/>
  <c r="AR33" i="8" s="1"/>
  <c r="V41" i="8"/>
  <c r="AR41" i="8" s="1"/>
  <c r="V49" i="8"/>
  <c r="AR49" i="8" s="1"/>
  <c r="V53" i="8"/>
  <c r="AR53" i="8" s="1"/>
  <c r="V69" i="8"/>
  <c r="AR69" i="8" s="1"/>
  <c r="V15" i="8"/>
  <c r="AR15" i="8" s="1"/>
  <c r="V19" i="8"/>
  <c r="AR19" i="8" s="1"/>
  <c r="V31" i="8"/>
  <c r="AR31" i="8" s="1"/>
  <c r="V35" i="8"/>
  <c r="AR35" i="8" s="1"/>
  <c r="V47" i="8"/>
  <c r="AR47" i="8" s="1"/>
  <c r="V51" i="8"/>
  <c r="AR51" i="8" s="1"/>
  <c r="V63" i="8"/>
  <c r="AR63" i="8" s="1"/>
  <c r="V67" i="8"/>
  <c r="AR67" i="8" s="1"/>
  <c r="V25" i="8"/>
  <c r="AR25" i="8" s="1"/>
  <c r="V37" i="8"/>
  <c r="AR37" i="8" s="1"/>
  <c r="V57" i="8"/>
  <c r="AR57" i="8" s="1"/>
  <c r="V65" i="8"/>
  <c r="AR65" i="8" s="1"/>
  <c r="V8" i="8"/>
  <c r="AR8" i="8" s="1"/>
  <c r="V16" i="8"/>
  <c r="AR16" i="8" s="1"/>
  <c r="V20" i="8"/>
  <c r="AR20" i="8" s="1"/>
  <c r="V24" i="8"/>
  <c r="AR24" i="8" s="1"/>
  <c r="V32" i="8"/>
  <c r="AR32" i="8" s="1"/>
  <c r="V36" i="8"/>
  <c r="AR36" i="8" s="1"/>
  <c r="V40" i="8"/>
  <c r="AR40" i="8" s="1"/>
  <c r="V48" i="8"/>
  <c r="AR48" i="8" s="1"/>
  <c r="V52" i="8"/>
  <c r="AR52" i="8" s="1"/>
  <c r="V56" i="8"/>
  <c r="AR56" i="8" s="1"/>
  <c r="V64" i="8"/>
  <c r="AR64" i="8" s="1"/>
  <c r="V68" i="8"/>
  <c r="AR68" i="8" s="1"/>
  <c r="Q200" i="8"/>
  <c r="AN200" i="8" s="1"/>
  <c r="V200" i="8"/>
  <c r="Q206" i="8"/>
  <c r="Q192" i="8"/>
  <c r="AN192" i="8" s="1"/>
  <c r="V192" i="8"/>
  <c r="Q254" i="8"/>
  <c r="Q178" i="8"/>
  <c r="AN178" i="8" s="1"/>
  <c r="V178" i="8"/>
  <c r="AR178" i="8" s="1"/>
  <c r="Q194" i="8"/>
  <c r="AN194" i="8" s="1"/>
  <c r="V194" i="8"/>
  <c r="AR194" i="8" s="1"/>
  <c r="Q160" i="8"/>
  <c r="AN160" i="8" s="1"/>
  <c r="V160" i="8"/>
  <c r="Q230" i="8"/>
  <c r="Q217" i="8"/>
  <c r="Q220" i="8"/>
  <c r="Q144" i="8"/>
  <c r="AN144" i="8" s="1"/>
  <c r="V144" i="8"/>
  <c r="Q234" i="8"/>
  <c r="S114" i="8" l="1"/>
  <c r="S126" i="8"/>
  <c r="S82" i="8"/>
  <c r="S106" i="8"/>
  <c r="J38" i="27" s="1" a="1"/>
  <c r="J38" i="27" s="1"/>
  <c r="AR196" i="8"/>
  <c r="R97" i="8"/>
  <c r="S75" i="8"/>
  <c r="AR181" i="8"/>
  <c r="S94" i="8"/>
  <c r="F39" i="27" a="1"/>
  <c r="F39" i="27" s="1"/>
  <c r="S116" i="8"/>
  <c r="O41" i="27" a="1"/>
  <c r="O41" i="27" s="1"/>
  <c r="AR175" i="8"/>
  <c r="O35" i="27" a="1"/>
  <c r="O35" i="27" s="1"/>
  <c r="AR169" i="8"/>
  <c r="O43" i="27" a="1"/>
  <c r="O43" i="27" s="1"/>
  <c r="AR177" i="8"/>
  <c r="O12" i="27" a="1"/>
  <c r="O12" i="27" s="1"/>
  <c r="AR146" i="8"/>
  <c r="O21" i="27" a="1"/>
  <c r="O21" i="27" s="1"/>
  <c r="AR155" i="8"/>
  <c r="O28" i="27" a="1"/>
  <c r="O28" i="27" s="1"/>
  <c r="AR162" i="8"/>
  <c r="O19" i="27" a="1"/>
  <c r="O19" i="27" s="1"/>
  <c r="AR153" i="8"/>
  <c r="O33" i="27" a="1"/>
  <c r="O33" i="27" s="1"/>
  <c r="AR167" i="8"/>
  <c r="O18" i="27" a="1"/>
  <c r="O18" i="27" s="1"/>
  <c r="AR152" i="8"/>
  <c r="O10" i="27" a="1"/>
  <c r="O10" i="27" s="1"/>
  <c r="AR144" i="8"/>
  <c r="O58" i="27" a="1"/>
  <c r="O58" i="27" s="1"/>
  <c r="AR192" i="8"/>
  <c r="O39" i="27" a="1"/>
  <c r="O39" i="27" s="1"/>
  <c r="AR173" i="8"/>
  <c r="O31" i="27" a="1"/>
  <c r="O31" i="27" s="1"/>
  <c r="AR165" i="8"/>
  <c r="O42" i="27" a="1"/>
  <c r="O42" i="27" s="1"/>
  <c r="AR176" i="8"/>
  <c r="O32" i="27" a="1"/>
  <c r="O32" i="27" s="1"/>
  <c r="AR166" i="8"/>
  <c r="O15" i="27" a="1"/>
  <c r="O15" i="27" s="1"/>
  <c r="AR149" i="8"/>
  <c r="R187" i="8"/>
  <c r="O48" i="27" a="1"/>
  <c r="O48" i="27" s="1"/>
  <c r="AR182" i="8"/>
  <c r="AR200" i="8"/>
  <c r="O26" i="27" a="1"/>
  <c r="O26" i="27" s="1"/>
  <c r="AR160" i="8"/>
  <c r="O64" i="27" a="1"/>
  <c r="O64" i="27" s="1"/>
  <c r="AR198" i="8"/>
  <c r="O56" i="27" a="1"/>
  <c r="O56" i="27" s="1"/>
  <c r="AR190" i="8"/>
  <c r="O29" i="27" a="1"/>
  <c r="O29" i="27" s="1"/>
  <c r="AR163" i="8"/>
  <c r="F56" i="27" a="1"/>
  <c r="F56" i="27" s="1"/>
  <c r="F55" i="27" a="1"/>
  <c r="F55" i="27" s="1"/>
  <c r="N41" i="27" a="1"/>
  <c r="N41" i="27" s="1"/>
  <c r="N38" i="27" a="1"/>
  <c r="N38" i="27" s="1"/>
  <c r="N5" i="27" a="1"/>
  <c r="N5" i="27" s="1"/>
  <c r="V75" i="8"/>
  <c r="N7" i="27" s="1" a="1"/>
  <c r="N7" i="27" s="1"/>
  <c r="F15" i="27" a="1"/>
  <c r="F15" i="27" s="1"/>
  <c r="F12" i="27" a="1"/>
  <c r="F12" i="27" s="1"/>
  <c r="J207" i="8"/>
  <c r="J205" i="8"/>
  <c r="J203" i="8"/>
  <c r="V186" i="8"/>
  <c r="S132" i="8"/>
  <c r="R132" i="8" s="1"/>
  <c r="S104" i="8"/>
  <c r="J36" i="27" s="1" a="1"/>
  <c r="J36" i="27" s="1"/>
  <c r="O47" i="27" a="1"/>
  <c r="O47" i="27" s="1"/>
  <c r="O67" i="27" a="1"/>
  <c r="O67" i="27" s="1"/>
  <c r="O60" i="27" a="1"/>
  <c r="O60" i="27" s="1"/>
  <c r="O66" i="27" a="1"/>
  <c r="O66" i="27" s="1"/>
  <c r="O62" i="27" a="1"/>
  <c r="O62" i="27" s="1"/>
  <c r="O45" i="27" a="1"/>
  <c r="O45" i="27" s="1"/>
  <c r="O44" i="27" a="1"/>
  <c r="O44" i="27" s="1"/>
  <c r="O46" i="27" a="1"/>
  <c r="O46" i="27" s="1"/>
  <c r="V159" i="8"/>
  <c r="AR159" i="8" s="1"/>
  <c r="J45" i="27" a="1"/>
  <c r="J45" i="27" s="1"/>
  <c r="F3" i="27" a="1"/>
  <c r="F3" i="27" s="1"/>
  <c r="F47" i="27" a="1"/>
  <c r="F47" i="27" s="1"/>
  <c r="S112" i="8"/>
  <c r="J44" i="27" s="1" a="1"/>
  <c r="J44" i="27" s="1"/>
  <c r="J23" i="27" a="1"/>
  <c r="J23" i="27" s="1"/>
  <c r="N25" i="27" a="1"/>
  <c r="N25" i="27" s="1"/>
  <c r="F2" i="27" a="1"/>
  <c r="F2" i="27" s="1"/>
  <c r="J67" i="27" a="1"/>
  <c r="J67" i="27" s="1"/>
  <c r="F25" i="27" a="1"/>
  <c r="F25" i="27" s="1"/>
  <c r="N47" i="27" a="1"/>
  <c r="N47" i="27" s="1"/>
  <c r="S115" i="8"/>
  <c r="V197" i="8"/>
  <c r="AR197" i="8" s="1"/>
  <c r="V189" i="8"/>
  <c r="V147" i="8"/>
  <c r="Q159" i="8"/>
  <c r="Q172" i="8"/>
  <c r="F41" i="27" a="1"/>
  <c r="F41" i="27" s="1"/>
  <c r="Q213" i="8"/>
  <c r="J213" i="8"/>
  <c r="Q209" i="8"/>
  <c r="J209" i="8"/>
  <c r="Q221" i="8"/>
  <c r="H21" i="27" s="1" a="1"/>
  <c r="H21" i="27" s="1"/>
  <c r="J221" i="8"/>
  <c r="Q186" i="8"/>
  <c r="V199" i="8"/>
  <c r="AR199" i="8" s="1"/>
  <c r="S101" i="8"/>
  <c r="R101" i="8" s="1"/>
  <c r="S128" i="8"/>
  <c r="S96" i="8"/>
  <c r="R96" i="8" s="1"/>
  <c r="V184" i="8"/>
  <c r="S71" i="8"/>
  <c r="H34" i="27" a="1"/>
  <c r="H34" i="27" s="1"/>
  <c r="H53" i="27" a="1"/>
  <c r="H53" i="27" s="1"/>
  <c r="H37" i="27" a="1"/>
  <c r="H37" i="27" s="1"/>
  <c r="H49" i="27" a="1"/>
  <c r="H49" i="27" s="1"/>
  <c r="H4" i="27" a="1"/>
  <c r="H4" i="27" s="1"/>
  <c r="H57" i="27" a="1"/>
  <c r="H57" i="27" s="1"/>
  <c r="H13" i="27" a="1"/>
  <c r="H13" i="27" s="1"/>
  <c r="H11" i="27" a="1"/>
  <c r="H11" i="27" s="1"/>
  <c r="H61" i="27" a="1"/>
  <c r="H61" i="27" s="1"/>
  <c r="H9" i="27" a="1"/>
  <c r="H9" i="27" s="1"/>
  <c r="H65" i="27" a="1"/>
  <c r="H65" i="27" s="1"/>
  <c r="T53" i="27" a="1"/>
  <c r="T53" i="27" s="1"/>
  <c r="H17" i="27" a="1"/>
  <c r="H17" i="27" s="1"/>
  <c r="H6" i="27" a="1"/>
  <c r="H6" i="27" s="1"/>
  <c r="H27" i="27" a="1"/>
  <c r="H27" i="27" s="1"/>
  <c r="H24" i="27" a="1"/>
  <c r="H24" i="27" s="1"/>
  <c r="H5" i="27" a="1"/>
  <c r="H5" i="27" s="1"/>
  <c r="H20" i="27" a="1"/>
  <c r="H20" i="27" s="1"/>
  <c r="H30" i="27" a="1"/>
  <c r="H30" i="27" s="1"/>
  <c r="H54" i="27" a="1"/>
  <c r="H54" i="27" s="1"/>
  <c r="Q157" i="8"/>
  <c r="V172" i="8"/>
  <c r="V157" i="8"/>
  <c r="AR157" i="8" s="1"/>
  <c r="J25" i="27" a="1"/>
  <c r="J25" i="27" s="1"/>
  <c r="O4" i="27" a="1"/>
  <c r="O4" i="27" s="1"/>
  <c r="J12" i="27" a="1"/>
  <c r="J12" i="27" s="1"/>
  <c r="J56" i="27" a="1"/>
  <c r="J56" i="27" s="1"/>
  <c r="J10" i="27" a="1"/>
  <c r="J10" i="27" s="1"/>
  <c r="J47" i="27" a="1"/>
  <c r="J47" i="27" s="1"/>
  <c r="J39" i="27" a="1"/>
  <c r="J39" i="27" s="1"/>
  <c r="J14" i="27" a="1"/>
  <c r="J14" i="27" s="1"/>
  <c r="J59" i="27" a="1"/>
  <c r="J59" i="27" s="1"/>
  <c r="S111" i="8"/>
  <c r="R111" i="8" s="1"/>
  <c r="J22" i="27" a="1"/>
  <c r="J22" i="27" s="1"/>
  <c r="J15" i="27" a="1"/>
  <c r="J15" i="27" s="1"/>
  <c r="J40" i="27" a="1"/>
  <c r="J40" i="27" s="1"/>
  <c r="J48" i="27" a="1"/>
  <c r="J48" i="27" s="1"/>
  <c r="J66" i="27" a="1"/>
  <c r="J66" i="27" s="1"/>
  <c r="J19" i="27" a="1"/>
  <c r="J19" i="27" s="1"/>
  <c r="J41" i="27" a="1"/>
  <c r="J41" i="27" s="1"/>
  <c r="J52" i="27" a="1"/>
  <c r="J52" i="27" s="1"/>
  <c r="J18" i="27" a="1"/>
  <c r="J18" i="27" s="1"/>
  <c r="J46" i="27" a="1"/>
  <c r="J46" i="27" s="1"/>
  <c r="J55" i="27" a="1"/>
  <c r="J55" i="27" s="1"/>
  <c r="J58" i="27" a="1"/>
  <c r="J58" i="27" s="1"/>
  <c r="J63" i="27" a="1"/>
  <c r="J63" i="27" s="1"/>
  <c r="J51" i="27" a="1"/>
  <c r="J51" i="27" s="1"/>
  <c r="O3" i="27" a="1"/>
  <c r="O3" i="27" s="1"/>
  <c r="O6" i="27" a="1"/>
  <c r="O6" i="27" s="1"/>
  <c r="J57" i="27" a="1"/>
  <c r="J57" i="27" s="1"/>
  <c r="J42" i="27" a="1"/>
  <c r="J42" i="27" s="1"/>
  <c r="J62" i="27" a="1"/>
  <c r="J62" i="27" s="1"/>
  <c r="J7" i="27" a="1"/>
  <c r="J7" i="27" s="1"/>
  <c r="J26" i="27" a="1"/>
  <c r="J26" i="27" s="1"/>
  <c r="Q189" i="8"/>
  <c r="J8" i="27" a="1"/>
  <c r="J8" i="27" s="1"/>
  <c r="J32" i="27" a="1"/>
  <c r="J32" i="27" s="1"/>
  <c r="J35" i="27" a="1"/>
  <c r="J35" i="27" s="1"/>
  <c r="J50" i="27" a="1"/>
  <c r="J50" i="27" s="1"/>
  <c r="J16" i="27" a="1"/>
  <c r="J16" i="27" s="1"/>
  <c r="J31" i="27" a="1"/>
  <c r="J31" i="27" s="1"/>
  <c r="J60" i="27" a="1"/>
  <c r="J60" i="27" s="1"/>
  <c r="F29" i="27" a="1"/>
  <c r="F29" i="27" s="1"/>
  <c r="F57" i="27" a="1"/>
  <c r="F57" i="27" s="1"/>
  <c r="G62" i="27" a="1"/>
  <c r="G62" i="27" s="1"/>
  <c r="G41" i="27" a="1"/>
  <c r="G41" i="27" s="1"/>
  <c r="G47" i="27" a="1"/>
  <c r="G47" i="27" s="1"/>
  <c r="K61" i="27" a="1"/>
  <c r="K61" i="27" s="1"/>
  <c r="K24" i="27" a="1"/>
  <c r="K24" i="27" s="1"/>
  <c r="K30" i="27" a="1"/>
  <c r="K30" i="27" s="1"/>
  <c r="K37" i="27" a="1"/>
  <c r="K37" i="27" s="1"/>
  <c r="S163" i="8"/>
  <c r="G29" i="27" a="1"/>
  <c r="G29" i="27" s="1"/>
  <c r="S147" i="8"/>
  <c r="G13" i="27" a="1"/>
  <c r="G13" i="27" s="1"/>
  <c r="S155" i="8"/>
  <c r="G21" i="27" a="1"/>
  <c r="G21" i="27" s="1"/>
  <c r="G60" i="27" a="1"/>
  <c r="G60" i="27" s="1"/>
  <c r="G66" i="27" a="1"/>
  <c r="G66" i="27" s="1"/>
  <c r="G64" i="27" a="1"/>
  <c r="G64" i="27" s="1"/>
  <c r="G33" i="27" a="1"/>
  <c r="G33" i="27" s="1"/>
  <c r="G43" i="27" a="1"/>
  <c r="G43" i="27" s="1"/>
  <c r="G42" i="27" a="1"/>
  <c r="G42" i="27" s="1"/>
  <c r="G19" i="27" a="1"/>
  <c r="G19" i="27" s="1"/>
  <c r="G32" i="27" a="1"/>
  <c r="G32" i="27" s="1"/>
  <c r="G15" i="27" a="1"/>
  <c r="G15" i="27" s="1"/>
  <c r="G56" i="27" a="1"/>
  <c r="G56" i="27" s="1"/>
  <c r="K11" i="27" a="1"/>
  <c r="K11" i="27" s="1"/>
  <c r="K6" i="27" a="1"/>
  <c r="K6" i="27" s="1"/>
  <c r="K54" i="27" a="1"/>
  <c r="K54" i="27" s="1"/>
  <c r="K49" i="27" a="1"/>
  <c r="K49" i="27" s="1"/>
  <c r="G50" i="27" a="1"/>
  <c r="G50" i="27" s="1"/>
  <c r="S199" i="8"/>
  <c r="G65" i="27" a="1"/>
  <c r="G65" i="27" s="1"/>
  <c r="K34" i="27" a="1"/>
  <c r="K34" i="27" s="1"/>
  <c r="G10" i="27" a="1"/>
  <c r="G10" i="27" s="1"/>
  <c r="G26" i="27" a="1"/>
  <c r="G26" i="27" s="1"/>
  <c r="G44" i="27" a="1"/>
  <c r="G44" i="27" s="1"/>
  <c r="G63" i="27" a="1"/>
  <c r="G63" i="27" s="1"/>
  <c r="G45" i="27" a="1"/>
  <c r="G45" i="27" s="1"/>
  <c r="G35" i="27" a="1"/>
  <c r="G35" i="27" s="1"/>
  <c r="G39" i="27" a="1"/>
  <c r="G39" i="27" s="1"/>
  <c r="G31" i="27" a="1"/>
  <c r="G31" i="27" s="1"/>
  <c r="G46" i="27" a="1"/>
  <c r="G46" i="27" s="1"/>
  <c r="K17" i="27" a="1"/>
  <c r="K17" i="27" s="1"/>
  <c r="K20" i="27" a="1"/>
  <c r="K20" i="27" s="1"/>
  <c r="K27" i="27" a="1"/>
  <c r="K27" i="27" s="1"/>
  <c r="S53" i="27" a="1"/>
  <c r="S53" i="27" s="1"/>
  <c r="K53" i="27" a="1"/>
  <c r="K53" i="27" s="1"/>
  <c r="G58" i="27" a="1"/>
  <c r="G58" i="27" s="1"/>
  <c r="G28" i="27" a="1"/>
  <c r="G28" i="27" s="1"/>
  <c r="G67" i="27" a="1"/>
  <c r="G67" i="27" s="1"/>
  <c r="G18" i="27" a="1"/>
  <c r="G18" i="27" s="1"/>
  <c r="S138" i="8"/>
  <c r="G4" i="27" a="1"/>
  <c r="G4" i="27" s="1"/>
  <c r="R23" i="27" a="1"/>
  <c r="R23" i="27" s="1"/>
  <c r="R16" i="27" a="1"/>
  <c r="R16" i="27" s="1"/>
  <c r="R26" i="27" a="1"/>
  <c r="R26" i="27" s="1"/>
  <c r="R43" i="27" a="1"/>
  <c r="R43" i="27" s="1"/>
  <c r="R3" i="27" a="1"/>
  <c r="R3" i="27" s="1"/>
  <c r="R64" i="27" a="1"/>
  <c r="R64" i="27" s="1"/>
  <c r="R66" i="27" a="1"/>
  <c r="R66" i="27" s="1"/>
  <c r="R58" i="27" a="1"/>
  <c r="R58" i="27" s="1"/>
  <c r="R36" i="27" a="1"/>
  <c r="R36" i="27" s="1"/>
  <c r="R45" i="27" a="1"/>
  <c r="R45" i="27" s="1"/>
  <c r="R41" i="27" a="1"/>
  <c r="R41" i="27" s="1"/>
  <c r="R15" i="27" a="1"/>
  <c r="R15" i="27" s="1"/>
  <c r="R42" i="27" a="1"/>
  <c r="R42" i="27" s="1"/>
  <c r="R56" i="27" a="1"/>
  <c r="R56" i="27" s="1"/>
  <c r="R51" i="27" a="1"/>
  <c r="R51" i="27" s="1"/>
  <c r="R18" i="27" a="1"/>
  <c r="R18" i="27" s="1"/>
  <c r="R33" i="27" a="1"/>
  <c r="R33" i="27" s="1"/>
  <c r="R52" i="27" a="1"/>
  <c r="R52" i="27" s="1"/>
  <c r="R19" i="27" a="1"/>
  <c r="R19" i="27" s="1"/>
  <c r="R44" i="27" a="1"/>
  <c r="R44" i="27" s="1"/>
  <c r="R39" i="27" a="1"/>
  <c r="R39" i="27" s="1"/>
  <c r="N8" i="27" a="1"/>
  <c r="N8" i="27" s="1"/>
  <c r="N9" i="27" a="1"/>
  <c r="N9" i="27" s="1"/>
  <c r="R60" i="27" a="1"/>
  <c r="R60" i="27" s="1"/>
  <c r="R10" i="27" a="1"/>
  <c r="R10" i="27" s="1"/>
  <c r="R48" i="27" a="1"/>
  <c r="R48" i="27" s="1"/>
  <c r="R28" i="27" a="1"/>
  <c r="R28" i="27" s="1"/>
  <c r="R63" i="27" a="1"/>
  <c r="R63" i="27" s="1"/>
  <c r="R62" i="27" a="1"/>
  <c r="R62" i="27" s="1"/>
  <c r="R7" i="27" a="1"/>
  <c r="R7" i="27" s="1"/>
  <c r="R38" i="27" a="1"/>
  <c r="R38" i="27" s="1"/>
  <c r="R25" i="27" a="1"/>
  <c r="R25" i="27" s="1"/>
  <c r="R40" i="27" a="1"/>
  <c r="R40" i="27" s="1"/>
  <c r="N21" i="27" a="1"/>
  <c r="N21" i="27" s="1"/>
  <c r="R12" i="27" a="1"/>
  <c r="R12" i="27" s="1"/>
  <c r="R8" i="27" a="1"/>
  <c r="R8" i="27" s="1"/>
  <c r="R32" i="27" a="1"/>
  <c r="R32" i="27" s="1"/>
  <c r="R47" i="27" a="1"/>
  <c r="R47" i="27" s="1"/>
  <c r="R59" i="27" a="1"/>
  <c r="R59" i="27" s="1"/>
  <c r="R14" i="27" a="1"/>
  <c r="R14" i="27" s="1"/>
  <c r="R31" i="27" a="1"/>
  <c r="R31" i="27" s="1"/>
  <c r="R46" i="27" a="1"/>
  <c r="R46" i="27" s="1"/>
  <c r="R55" i="27" a="1"/>
  <c r="R55" i="27" s="1"/>
  <c r="R50" i="27" a="1"/>
  <c r="R50" i="27" s="1"/>
  <c r="R35" i="27" a="1"/>
  <c r="R35" i="27" s="1"/>
  <c r="R22" i="27" a="1"/>
  <c r="R22" i="27" s="1"/>
  <c r="R67" i="27" a="1"/>
  <c r="R67" i="27" s="1"/>
  <c r="N59" i="27" a="1"/>
  <c r="N59" i="27" s="1"/>
  <c r="N40" i="27" a="1"/>
  <c r="N40" i="27" s="1"/>
  <c r="Q146" i="8"/>
  <c r="AN146" i="8" s="1"/>
  <c r="M34" i="27" a="1"/>
  <c r="M34" i="27" s="1"/>
  <c r="M49" i="27" a="1"/>
  <c r="M49" i="27" s="1"/>
  <c r="M14" i="27" a="1"/>
  <c r="M14" i="27" s="1"/>
  <c r="M15" i="27" a="1"/>
  <c r="M15" i="27" s="1"/>
  <c r="I2" i="27" a="1"/>
  <c r="I2" i="27" s="1"/>
  <c r="M23" i="27" a="1"/>
  <c r="M23" i="27" s="1"/>
  <c r="M7" i="27" a="1"/>
  <c r="M7" i="27" s="1"/>
  <c r="M35" i="27" a="1"/>
  <c r="M35" i="27" s="1"/>
  <c r="M47" i="27" a="1"/>
  <c r="M47" i="27" s="1"/>
  <c r="M50" i="27" a="1"/>
  <c r="M50" i="27" s="1"/>
  <c r="M6" i="27" a="1"/>
  <c r="M6" i="27" s="1"/>
  <c r="M13" i="27" a="1"/>
  <c r="M13" i="27" s="1"/>
  <c r="Q182" i="8"/>
  <c r="AN182" i="8" s="1"/>
  <c r="M66" i="27" a="1"/>
  <c r="M66" i="27" s="1"/>
  <c r="M46" i="27" a="1"/>
  <c r="M46" i="27" s="1"/>
  <c r="M22" i="27" a="1"/>
  <c r="M22" i="27" s="1"/>
  <c r="M63" i="27" a="1"/>
  <c r="M63" i="27" s="1"/>
  <c r="M65" i="27" a="1"/>
  <c r="M65" i="27" s="1"/>
  <c r="M33" i="27" a="1"/>
  <c r="M33" i="27" s="1"/>
  <c r="M67" i="27" a="1"/>
  <c r="M67" i="27" s="1"/>
  <c r="M31" i="27" a="1"/>
  <c r="M31" i="27" s="1"/>
  <c r="M54" i="27" a="1"/>
  <c r="M54" i="27" s="1"/>
  <c r="M17" i="27" a="1"/>
  <c r="M17" i="27" s="1"/>
  <c r="M30" i="27" a="1"/>
  <c r="M30" i="27" s="1"/>
  <c r="M45" i="27" a="1"/>
  <c r="M45" i="27" s="1"/>
  <c r="M39" i="27" a="1"/>
  <c r="M39" i="27" s="1"/>
  <c r="M62" i="27" a="1"/>
  <c r="M62" i="27" s="1"/>
  <c r="M38" i="27" a="1"/>
  <c r="M38" i="27" s="1"/>
  <c r="M18" i="27" a="1"/>
  <c r="M18" i="27" s="1"/>
  <c r="M55" i="27" a="1"/>
  <c r="M55" i="27" s="1"/>
  <c r="M61" i="27" a="1"/>
  <c r="M61" i="27" s="1"/>
  <c r="M29" i="27" a="1"/>
  <c r="M29" i="27" s="1"/>
  <c r="M51" i="27" a="1"/>
  <c r="M51" i="27" s="1"/>
  <c r="M19" i="27" a="1"/>
  <c r="M19" i="27" s="1"/>
  <c r="M11" i="27" a="1"/>
  <c r="M11" i="27" s="1"/>
  <c r="M2" i="27" a="1"/>
  <c r="M2" i="27" s="1"/>
  <c r="V143" i="8"/>
  <c r="Q137" i="8"/>
  <c r="AN137" i="8" s="1"/>
  <c r="V170" i="8"/>
  <c r="Q185" i="8"/>
  <c r="AN185" i="8" s="1"/>
  <c r="Q170" i="8"/>
  <c r="AN170" i="8" s="1"/>
  <c r="V185" i="8"/>
  <c r="Q148" i="8"/>
  <c r="AN148" i="8" s="1"/>
  <c r="Q174" i="8"/>
  <c r="AN174" i="8" s="1"/>
  <c r="Q193" i="8"/>
  <c r="AN193" i="8" s="1"/>
  <c r="V193" i="8"/>
  <c r="Q150" i="8"/>
  <c r="AN150" i="8" s="1"/>
  <c r="Q143" i="8"/>
  <c r="AN143" i="8" s="1"/>
  <c r="Q156" i="8"/>
  <c r="AN156" i="8" s="1"/>
  <c r="V141" i="8"/>
  <c r="V156" i="8"/>
  <c r="AR156" i="8" s="1"/>
  <c r="Q141" i="8"/>
  <c r="V142" i="8"/>
  <c r="AR142" i="8" s="1"/>
  <c r="Q142" i="8"/>
  <c r="AN142" i="8" s="1"/>
  <c r="V174" i="8"/>
  <c r="V148" i="8"/>
  <c r="Q139" i="8"/>
  <c r="AN139" i="8" s="1"/>
  <c r="V139" i="8"/>
  <c r="AR139" i="8" s="1"/>
  <c r="V150" i="8"/>
  <c r="AR150" i="8" s="1"/>
  <c r="Q191" i="8"/>
  <c r="AN191" i="8" s="1"/>
  <c r="V191" i="8"/>
  <c r="Q229" i="8"/>
  <c r="W139" i="8"/>
  <c r="W205" i="8"/>
  <c r="W154" i="8"/>
  <c r="W220" i="8"/>
  <c r="W217" i="8"/>
  <c r="W151" i="8"/>
  <c r="W164" i="8"/>
  <c r="W230" i="8"/>
  <c r="W138" i="8"/>
  <c r="W204" i="8"/>
  <c r="W199" i="8"/>
  <c r="W265" i="8"/>
  <c r="W229" i="8"/>
  <c r="W163" i="8"/>
  <c r="W168" i="8"/>
  <c r="W234" i="8"/>
  <c r="W188" i="8"/>
  <c r="W254" i="8"/>
  <c r="W257" i="8"/>
  <c r="W191" i="8"/>
  <c r="W249" i="8"/>
  <c r="W183" i="8"/>
  <c r="W158" i="8"/>
  <c r="W224" i="8"/>
  <c r="W161" i="8"/>
  <c r="W227" i="8"/>
  <c r="W209" i="8"/>
  <c r="W143" i="8"/>
  <c r="W147" i="8"/>
  <c r="W213" i="8"/>
  <c r="W155" i="8"/>
  <c r="W221" i="8"/>
  <c r="W145" i="8"/>
  <c r="W211" i="8"/>
  <c r="W140" i="8"/>
  <c r="W206" i="8"/>
  <c r="W195" i="8"/>
  <c r="W261" i="8"/>
  <c r="W171" i="8"/>
  <c r="W237" i="8"/>
  <c r="AG4" i="8"/>
  <c r="AS4" i="8" s="1"/>
  <c r="S201" i="8"/>
  <c r="S144" i="8"/>
  <c r="S217" i="8"/>
  <c r="S184" i="8"/>
  <c r="S194" i="8"/>
  <c r="S254" i="8"/>
  <c r="S206" i="8"/>
  <c r="S200" i="8"/>
  <c r="S162" i="8"/>
  <c r="S175" i="8"/>
  <c r="S179" i="8"/>
  <c r="S169" i="8"/>
  <c r="S173" i="8"/>
  <c r="S165" i="8"/>
  <c r="S211" i="8"/>
  <c r="S237" i="8"/>
  <c r="S180" i="8"/>
  <c r="S204" i="8"/>
  <c r="S190" i="8"/>
  <c r="R115" i="8"/>
  <c r="R114" i="8"/>
  <c r="R107" i="8"/>
  <c r="R151" i="8"/>
  <c r="R131" i="8"/>
  <c r="R188" i="8"/>
  <c r="R154" i="8"/>
  <c r="R161" i="8"/>
  <c r="R124" i="8"/>
  <c r="R119" i="8"/>
  <c r="R94" i="8"/>
  <c r="R112" i="8"/>
  <c r="S70" i="8"/>
  <c r="S224" i="8"/>
  <c r="R130" i="8"/>
  <c r="R109" i="8"/>
  <c r="R195" i="8"/>
  <c r="R127" i="8"/>
  <c r="R76" i="8"/>
  <c r="R93" i="8"/>
  <c r="R120" i="8"/>
  <c r="R145" i="8"/>
  <c r="R86" i="8"/>
  <c r="R100" i="8"/>
  <c r="R108" i="8"/>
  <c r="R134" i="8"/>
  <c r="R123" i="8"/>
  <c r="R82" i="8"/>
  <c r="R126" i="8"/>
  <c r="R140" i="8"/>
  <c r="S220" i="8"/>
  <c r="S198" i="8"/>
  <c r="S181" i="8"/>
  <c r="S261" i="8"/>
  <c r="S153" i="8"/>
  <c r="S166" i="8"/>
  <c r="S149" i="8"/>
  <c r="S249" i="8"/>
  <c r="S213" i="8"/>
  <c r="S234" i="8"/>
  <c r="S230" i="8"/>
  <c r="S160" i="8"/>
  <c r="S178" i="8"/>
  <c r="S192" i="8"/>
  <c r="S196" i="8"/>
  <c r="S197" i="8"/>
  <c r="S167" i="8"/>
  <c r="S177" i="8"/>
  <c r="S176" i="8"/>
  <c r="S253" i="8"/>
  <c r="S227" i="8"/>
  <c r="S152" i="8"/>
  <c r="S265" i="8"/>
  <c r="S221" i="8"/>
  <c r="R4" i="8"/>
  <c r="AO4" i="8" s="1"/>
  <c r="R80" i="8"/>
  <c r="R110" i="8"/>
  <c r="R90" i="8"/>
  <c r="R113" i="8"/>
  <c r="R83" i="8"/>
  <c r="R78" i="8"/>
  <c r="R158" i="8"/>
  <c r="R116" i="8"/>
  <c r="R103" i="8"/>
  <c r="R118" i="8"/>
  <c r="R84" i="8"/>
  <c r="R87" i="8"/>
  <c r="R164" i="8"/>
  <c r="R91" i="8"/>
  <c r="R99" i="8"/>
  <c r="R168" i="8"/>
  <c r="R183" i="8"/>
  <c r="R75" i="8"/>
  <c r="R171" i="8"/>
  <c r="R135" i="8"/>
  <c r="AG201" i="8"/>
  <c r="AG179" i="8"/>
  <c r="AG181" i="8"/>
  <c r="AG170" i="8"/>
  <c r="AG184" i="8"/>
  <c r="AG197" i="8"/>
  <c r="AG176" i="8"/>
  <c r="AG153" i="8"/>
  <c r="AG166" i="8"/>
  <c r="AG157" i="8"/>
  <c r="AG142" i="8"/>
  <c r="AG141" i="8"/>
  <c r="AG180" i="8"/>
  <c r="AG150" i="8"/>
  <c r="AG186" i="8"/>
  <c r="AG160" i="8"/>
  <c r="AG178" i="8"/>
  <c r="AG192" i="8"/>
  <c r="AG174" i="8"/>
  <c r="AG137" i="8"/>
  <c r="AG162" i="8"/>
  <c r="AG175" i="8"/>
  <c r="AG169" i="8"/>
  <c r="AG173" i="8"/>
  <c r="AG165" i="8"/>
  <c r="AG172" i="8"/>
  <c r="AG152" i="8"/>
  <c r="AG149" i="8"/>
  <c r="AG198" i="8"/>
  <c r="AG167" i="8"/>
  <c r="AG189" i="8"/>
  <c r="AG193" i="8"/>
  <c r="AG185" i="8"/>
  <c r="AG144" i="8"/>
  <c r="AG194" i="8"/>
  <c r="AG200" i="8"/>
  <c r="AG196" i="8"/>
  <c r="AG177" i="8"/>
  <c r="AG159" i="8"/>
  <c r="AG182" i="8"/>
  <c r="AG156" i="8"/>
  <c r="AG190" i="8"/>
  <c r="AG146" i="8"/>
  <c r="AG148" i="8"/>
  <c r="V61" i="8"/>
  <c r="AR61" i="8" s="1"/>
  <c r="V45" i="8"/>
  <c r="AR45" i="8" s="1"/>
  <c r="Q208" i="8"/>
  <c r="Q256" i="8"/>
  <c r="V29" i="8"/>
  <c r="AR29" i="8" s="1"/>
  <c r="Q218" i="8"/>
  <c r="Q215" i="8"/>
  <c r="Q242" i="8"/>
  <c r="Q222" i="8"/>
  <c r="Q264" i="8"/>
  <c r="Q231" i="8"/>
  <c r="Q246" i="8"/>
  <c r="Q212" i="8"/>
  <c r="Q255" i="8"/>
  <c r="Q239" i="8"/>
  <c r="AG70" i="8"/>
  <c r="Q232" i="8"/>
  <c r="Q214" i="8"/>
  <c r="Q225" i="8"/>
  <c r="Q238" i="8"/>
  <c r="Q136" i="8"/>
  <c r="Q216" i="8"/>
  <c r="Q248" i="8"/>
  <c r="Q207" i="8"/>
  <c r="Q243" i="8"/>
  <c r="Q251" i="8"/>
  <c r="Q235" i="8"/>
  <c r="Q219" i="8"/>
  <c r="Q262" i="8"/>
  <c r="V136" i="8"/>
  <c r="AR136" i="8" s="1"/>
  <c r="Q247" i="8"/>
  <c r="Q241" i="8"/>
  <c r="Q263" i="8"/>
  <c r="Q245" i="8"/>
  <c r="Q267" i="8"/>
  <c r="Q233" i="8"/>
  <c r="Q259" i="8"/>
  <c r="Q223" i="8"/>
  <c r="Q228" i="8"/>
  <c r="V55" i="8"/>
  <c r="AR55" i="8" s="1"/>
  <c r="V39" i="8"/>
  <c r="AR39" i="8" s="1"/>
  <c r="V23" i="8"/>
  <c r="AR23" i="8" s="1"/>
  <c r="V7" i="8"/>
  <c r="AR7" i="8" s="1"/>
  <c r="V60" i="8"/>
  <c r="AR60" i="8" s="1"/>
  <c r="V44" i="8"/>
  <c r="AR44" i="8" s="1"/>
  <c r="V28" i="8"/>
  <c r="AR28" i="8" s="1"/>
  <c r="V12" i="8"/>
  <c r="AR12" i="8" s="1"/>
  <c r="V30" i="8"/>
  <c r="AR30" i="8" s="1"/>
  <c r="V10" i="8"/>
  <c r="AR10" i="8" s="1"/>
  <c r="V66" i="8"/>
  <c r="AR66" i="8" s="1"/>
  <c r="V54" i="8"/>
  <c r="AR54" i="8" s="1"/>
  <c r="V46" i="8"/>
  <c r="AR46" i="8" s="1"/>
  <c r="V38" i="8"/>
  <c r="AR38" i="8" s="1"/>
  <c r="V26" i="8"/>
  <c r="AR26" i="8" s="1"/>
  <c r="V14" i="8"/>
  <c r="AR14" i="8" s="1"/>
  <c r="V59" i="8"/>
  <c r="AR59" i="8" s="1"/>
  <c r="V43" i="8"/>
  <c r="AR43" i="8" s="1"/>
  <c r="V27" i="8"/>
  <c r="AR27" i="8" s="1"/>
  <c r="V11" i="8"/>
  <c r="AR11" i="8" s="1"/>
  <c r="V58" i="8"/>
  <c r="AR58" i="8" s="1"/>
  <c r="V22" i="8"/>
  <c r="AR22" i="8" s="1"/>
  <c r="V62" i="8"/>
  <c r="AR62" i="8" s="1"/>
  <c r="V50" i="8"/>
  <c r="AR50" i="8" s="1"/>
  <c r="V42" i="8"/>
  <c r="AR42" i="8" s="1"/>
  <c r="V34" i="8"/>
  <c r="AR34" i="8" s="1"/>
  <c r="V18" i="8"/>
  <c r="AR18" i="8" s="1"/>
  <c r="V6" i="8"/>
  <c r="AR6" i="8" s="1"/>
  <c r="Q203" i="8"/>
  <c r="Q252" i="8"/>
  <c r="Q250" i="8"/>
  <c r="Q258" i="8"/>
  <c r="Q240" i="8"/>
  <c r="Q244" i="8"/>
  <c r="Q210" i="8"/>
  <c r="Q236" i="8"/>
  <c r="Q226" i="8"/>
  <c r="Q260" i="8"/>
  <c r="Q266" i="8"/>
  <c r="R106" i="8" l="1"/>
  <c r="R163" i="8"/>
  <c r="G55" i="27" a="1"/>
  <c r="G55" i="27" s="1"/>
  <c r="AN189" i="8"/>
  <c r="S157" i="8"/>
  <c r="AN157" i="8"/>
  <c r="G25" i="27" a="1"/>
  <c r="G25" i="27" s="1"/>
  <c r="AN159" i="8"/>
  <c r="O7" i="27" a="1"/>
  <c r="O7" i="27" s="1"/>
  <c r="AR141" i="8"/>
  <c r="O59" i="27" a="1"/>
  <c r="O59" i="27" s="1"/>
  <c r="AR193" i="8"/>
  <c r="O51" i="27" a="1"/>
  <c r="O51" i="27" s="1"/>
  <c r="AR185" i="8"/>
  <c r="O38" i="27" a="1"/>
  <c r="O38" i="27" s="1"/>
  <c r="AR172" i="8"/>
  <c r="S186" i="8"/>
  <c r="AN186" i="8"/>
  <c r="S172" i="8"/>
  <c r="AN172" i="8"/>
  <c r="O57" i="27" a="1"/>
  <c r="O57" i="27" s="1"/>
  <c r="AR191" i="8"/>
  <c r="O9" i="27" a="1"/>
  <c r="O9" i="27" s="1"/>
  <c r="AR143" i="8"/>
  <c r="O14" i="27" a="1"/>
  <c r="O14" i="27" s="1"/>
  <c r="AR148" i="8"/>
  <c r="S141" i="8"/>
  <c r="AN141" i="8"/>
  <c r="G52" i="27" a="1"/>
  <c r="G52" i="27" s="1"/>
  <c r="R147" i="8"/>
  <c r="O13" i="27" a="1"/>
  <c r="O13" i="27" s="1"/>
  <c r="AR147" i="8"/>
  <c r="O40" i="27" a="1"/>
  <c r="O40" i="27" s="1"/>
  <c r="AR174" i="8"/>
  <c r="O36" i="27" a="1"/>
  <c r="O36" i="27" s="1"/>
  <c r="AR170" i="8"/>
  <c r="R199" i="8"/>
  <c r="O50" i="27" a="1"/>
  <c r="O50" i="27" s="1"/>
  <c r="AR184" i="8"/>
  <c r="O55" i="27" a="1"/>
  <c r="O55" i="27" s="1"/>
  <c r="AR189" i="8"/>
  <c r="O52" i="27" a="1"/>
  <c r="O52" i="27" s="1"/>
  <c r="AR186" i="8"/>
  <c r="S159" i="8"/>
  <c r="J64" i="27" a="1"/>
  <c r="J64" i="27" s="1"/>
  <c r="R104" i="8"/>
  <c r="G38" i="27" a="1"/>
  <c r="G38" i="27" s="1"/>
  <c r="J28" i="27" a="1"/>
  <c r="J28" i="27" s="1"/>
  <c r="O22" i="27" a="1"/>
  <c r="O22" i="27" s="1"/>
  <c r="O23" i="27" a="1"/>
  <c r="O23" i="27" s="1"/>
  <c r="O63" i="27" a="1"/>
  <c r="O63" i="27" s="1"/>
  <c r="O65" i="27" a="1"/>
  <c r="O65" i="27" s="1"/>
  <c r="O25" i="27" a="1"/>
  <c r="O25" i="27" s="1"/>
  <c r="G23" i="27" a="1"/>
  <c r="G23" i="27" s="1"/>
  <c r="R128" i="8"/>
  <c r="R71" i="8"/>
  <c r="J33" i="27" a="1"/>
  <c r="J33" i="27" s="1"/>
  <c r="J3" i="27" a="1"/>
  <c r="J3" i="27" s="1"/>
  <c r="S189" i="8"/>
  <c r="L30" i="27" a="1"/>
  <c r="L30" i="27" s="1"/>
  <c r="L49" i="27" a="1"/>
  <c r="L49" i="27" s="1"/>
  <c r="L61" i="27" a="1"/>
  <c r="L61" i="27" s="1"/>
  <c r="L4" i="27" a="1"/>
  <c r="L4" i="27" s="1"/>
  <c r="H44" i="27" a="1"/>
  <c r="H44" i="27" s="1"/>
  <c r="H63" i="27" a="1"/>
  <c r="H63" i="27" s="1"/>
  <c r="H62" i="27" a="1"/>
  <c r="H62" i="27" s="1"/>
  <c r="H32" i="27" a="1"/>
  <c r="H32" i="27" s="1"/>
  <c r="H22" i="27" a="1"/>
  <c r="H22" i="27" s="1"/>
  <c r="H26" i="27" a="1"/>
  <c r="H26" i="27" s="1"/>
  <c r="H40" i="27" a="1"/>
  <c r="H40" i="27" s="1"/>
  <c r="H3" i="27" a="1"/>
  <c r="H3" i="27" s="1"/>
  <c r="H33" i="27" a="1"/>
  <c r="H33" i="27" s="1"/>
  <c r="H41" i="27" a="1"/>
  <c r="H41" i="27" s="1"/>
  <c r="H19" i="27" a="1"/>
  <c r="H19" i="27" s="1"/>
  <c r="H7" i="27" a="1"/>
  <c r="H7" i="27" s="1"/>
  <c r="H38" i="27" a="1"/>
  <c r="H38" i="27" s="1"/>
  <c r="H46" i="27" a="1"/>
  <c r="H46" i="27" s="1"/>
  <c r="H42" i="27" a="1"/>
  <c r="H42" i="27" s="1"/>
  <c r="H56" i="27" a="1"/>
  <c r="H56" i="27" s="1"/>
  <c r="L21" i="27" a="1"/>
  <c r="L21" i="27" s="1"/>
  <c r="L27" i="27" a="1"/>
  <c r="L27" i="27" s="1"/>
  <c r="L34" i="27" a="1"/>
  <c r="L34" i="27" s="1"/>
  <c r="L24" i="27" a="1"/>
  <c r="L24" i="27" s="1"/>
  <c r="L37" i="27" a="1"/>
  <c r="L37" i="27" s="1"/>
  <c r="T54" i="27" a="1"/>
  <c r="T54" i="27" s="1"/>
  <c r="H36" i="27" a="1"/>
  <c r="H36" i="27" s="1"/>
  <c r="H58" i="27" a="1"/>
  <c r="H58" i="27" s="1"/>
  <c r="H28" i="27" a="1"/>
  <c r="H28" i="27" s="1"/>
  <c r="H67" i="27" a="1"/>
  <c r="H67" i="27" s="1"/>
  <c r="H47" i="27" a="1"/>
  <c r="H47" i="27" s="1"/>
  <c r="H35" i="27" a="1"/>
  <c r="H35" i="27" s="1"/>
  <c r="H48" i="27" a="1"/>
  <c r="H48" i="27" s="1"/>
  <c r="H25" i="27" a="1"/>
  <c r="H25" i="27" s="1"/>
  <c r="H39" i="27" a="1"/>
  <c r="H39" i="27" s="1"/>
  <c r="H31" i="27" a="1"/>
  <c r="H31" i="27" s="1"/>
  <c r="H15" i="27" a="1"/>
  <c r="H15" i="27" s="1"/>
  <c r="H8" i="27" a="1"/>
  <c r="H8" i="27" s="1"/>
  <c r="L65" i="27" a="1"/>
  <c r="L65" i="27" s="1"/>
  <c r="L53" i="27" a="1"/>
  <c r="L53" i="27" s="1"/>
  <c r="L13" i="27" a="1"/>
  <c r="L13" i="27" s="1"/>
  <c r="L20" i="27" a="1"/>
  <c r="L20" i="27" s="1"/>
  <c r="L11" i="27" a="1"/>
  <c r="L11" i="27" s="1"/>
  <c r="L6" i="27" a="1"/>
  <c r="L6" i="27" s="1"/>
  <c r="L17" i="27" a="1"/>
  <c r="L17" i="27" s="1"/>
  <c r="T61" i="27" a="1"/>
  <c r="T61" i="27" s="1"/>
  <c r="T6" i="27" a="1"/>
  <c r="T6" i="27" s="1"/>
  <c r="T13" i="27" a="1"/>
  <c r="T13" i="27" s="1"/>
  <c r="T9" i="27" a="1"/>
  <c r="T9" i="27" s="1"/>
  <c r="T65" i="27" a="1"/>
  <c r="T65" i="27" s="1"/>
  <c r="T20" i="27" a="1"/>
  <c r="T20" i="27" s="1"/>
  <c r="H66" i="27" a="1"/>
  <c r="H66" i="27" s="1"/>
  <c r="H10" i="27" a="1"/>
  <c r="H10" i="27" s="1"/>
  <c r="H50" i="27" a="1"/>
  <c r="H50" i="27" s="1"/>
  <c r="H23" i="27" a="1"/>
  <c r="H23" i="27" s="1"/>
  <c r="H45" i="27" a="1"/>
  <c r="H45" i="27" s="1"/>
  <c r="H51" i="27" a="1"/>
  <c r="H51" i="27" s="1"/>
  <c r="H16" i="27" a="1"/>
  <c r="H16" i="27" s="1"/>
  <c r="H14" i="27" a="1"/>
  <c r="H14" i="27" s="1"/>
  <c r="H55" i="27" a="1"/>
  <c r="H55" i="27" s="1"/>
  <c r="H64" i="27" a="1"/>
  <c r="H64" i="27" s="1"/>
  <c r="H18" i="27" a="1"/>
  <c r="H18" i="27" s="1"/>
  <c r="L54" i="27" a="1"/>
  <c r="L54" i="27" s="1"/>
  <c r="T21" i="27" a="1"/>
  <c r="T21" i="27" s="1"/>
  <c r="T24" i="27" a="1"/>
  <c r="T24" i="27" s="1"/>
  <c r="T57" i="27" a="1"/>
  <c r="T57" i="27" s="1"/>
  <c r="T34" i="27" a="1"/>
  <c r="T34" i="27" s="1"/>
  <c r="T30" i="27" a="1"/>
  <c r="T30" i="27" s="1"/>
  <c r="T17" i="27" a="1"/>
  <c r="T17" i="27" s="1"/>
  <c r="S229" i="8"/>
  <c r="H29" i="27" a="1"/>
  <c r="H29" i="27" s="1"/>
  <c r="H60" i="27" a="1"/>
  <c r="H60" i="27" s="1"/>
  <c r="H52" i="27" a="1"/>
  <c r="H52" i="27" s="1"/>
  <c r="H59" i="27" a="1"/>
  <c r="H59" i="27" s="1"/>
  <c r="H43" i="27" a="1"/>
  <c r="H43" i="27" s="1"/>
  <c r="H12" i="27" a="1"/>
  <c r="H12" i="27" s="1"/>
  <c r="T37" i="27" a="1"/>
  <c r="T37" i="27" s="1"/>
  <c r="T11" i="27" a="1"/>
  <c r="T11" i="27" s="1"/>
  <c r="T27" i="27" a="1"/>
  <c r="T27" i="27" s="1"/>
  <c r="T49" i="27" a="1"/>
  <c r="T49" i="27" s="1"/>
  <c r="T29" i="27" a="1"/>
  <c r="T29" i="27" s="1"/>
  <c r="T4" i="27" a="1"/>
  <c r="T4" i="27" s="1"/>
  <c r="T5" i="27" a="1"/>
  <c r="T5" i="27" s="1"/>
  <c r="O5" i="27" a="1"/>
  <c r="O5" i="27" s="1"/>
  <c r="O2" i="27" a="1"/>
  <c r="O2" i="27" s="1"/>
  <c r="R138" i="8"/>
  <c r="J43" i="27" a="1"/>
  <c r="J43" i="27" s="1"/>
  <c r="J2" i="27" a="1"/>
  <c r="J2" i="27" s="1"/>
  <c r="O8" i="27" a="1"/>
  <c r="O8" i="27" s="1"/>
  <c r="R155" i="8"/>
  <c r="O16" i="27" a="1"/>
  <c r="O16" i="27" s="1"/>
  <c r="K55" i="27" a="1"/>
  <c r="K55" i="27" s="1"/>
  <c r="K63" i="27" a="1"/>
  <c r="K63" i="27" s="1"/>
  <c r="K26" i="27" a="1"/>
  <c r="K26" i="27" s="1"/>
  <c r="K19" i="27" a="1"/>
  <c r="K19" i="27" s="1"/>
  <c r="K46" i="27" a="1"/>
  <c r="K46" i="27" s="1"/>
  <c r="K39" i="27" a="1"/>
  <c r="K39" i="27" s="1"/>
  <c r="K28" i="27" a="1"/>
  <c r="K28" i="27" s="1"/>
  <c r="K60" i="27" a="1"/>
  <c r="K60" i="27" s="1"/>
  <c r="K67" i="27" a="1"/>
  <c r="K67" i="27" s="1"/>
  <c r="S61" i="27" a="1"/>
  <c r="S61" i="27" s="1"/>
  <c r="S21" i="27" a="1"/>
  <c r="S21" i="27" s="1"/>
  <c r="S24" i="27" a="1"/>
  <c r="S24" i="27" s="1"/>
  <c r="S139" i="8"/>
  <c r="G5" i="27" a="1"/>
  <c r="G5" i="27" s="1"/>
  <c r="S174" i="8"/>
  <c r="G40" i="27" a="1"/>
  <c r="G40" i="27" s="1"/>
  <c r="S170" i="8"/>
  <c r="G36" i="27" a="1"/>
  <c r="G36" i="27" s="1"/>
  <c r="K4" i="27" a="1"/>
  <c r="K4" i="27" s="1"/>
  <c r="K21" i="27" a="1"/>
  <c r="K21" i="27" s="1"/>
  <c r="G2" i="27" a="1"/>
  <c r="G2" i="27" s="1"/>
  <c r="K7" i="27" a="1"/>
  <c r="K7" i="27" s="1"/>
  <c r="K35" i="27" a="1"/>
  <c r="K35" i="27" s="1"/>
  <c r="S37" i="27" a="1"/>
  <c r="S37" i="27" s="1"/>
  <c r="S34" i="27" a="1"/>
  <c r="S34" i="27" s="1"/>
  <c r="S30" i="27" a="1"/>
  <c r="S30" i="27" s="1"/>
  <c r="S191" i="8"/>
  <c r="G57" i="27" a="1"/>
  <c r="G57" i="27" s="1"/>
  <c r="S142" i="8"/>
  <c r="G8" i="27" a="1"/>
  <c r="G8" i="27" s="1"/>
  <c r="S150" i="8"/>
  <c r="G16" i="27" a="1"/>
  <c r="G16" i="27" s="1"/>
  <c r="S182" i="8"/>
  <c r="G48" i="27" a="1"/>
  <c r="G48" i="27" s="1"/>
  <c r="S146" i="8"/>
  <c r="G12" i="27" a="1"/>
  <c r="G12" i="27" s="1"/>
  <c r="K13" i="27" a="1"/>
  <c r="K13" i="27" s="1"/>
  <c r="K42" i="27" a="1"/>
  <c r="K42" i="27" s="1"/>
  <c r="K62" i="27" a="1"/>
  <c r="K62" i="27" s="1"/>
  <c r="K66" i="27" a="1"/>
  <c r="K66" i="27" s="1"/>
  <c r="K50" i="27" a="1"/>
  <c r="K50" i="27" s="1"/>
  <c r="S9" i="27" a="1"/>
  <c r="S9" i="27" s="1"/>
  <c r="S4" i="27" a="1"/>
  <c r="S4" i="27" s="1"/>
  <c r="S185" i="8"/>
  <c r="G51" i="27" a="1"/>
  <c r="G51" i="27" s="1"/>
  <c r="K65" i="27" a="1"/>
  <c r="K65" i="27" s="1"/>
  <c r="K29" i="27" a="1"/>
  <c r="K29" i="27" s="1"/>
  <c r="K18" i="27" a="1"/>
  <c r="K18" i="27" s="1"/>
  <c r="K43" i="27" a="1"/>
  <c r="K43" i="27" s="1"/>
  <c r="K58" i="27" a="1"/>
  <c r="K58" i="27" s="1"/>
  <c r="K52" i="27" a="1"/>
  <c r="K52" i="27" s="1"/>
  <c r="K15" i="27" a="1"/>
  <c r="K15" i="27" s="1"/>
  <c r="K47" i="27" a="1"/>
  <c r="K47" i="27" s="1"/>
  <c r="K23" i="27" a="1"/>
  <c r="K23" i="27" s="1"/>
  <c r="K56" i="27" a="1"/>
  <c r="K56" i="27" s="1"/>
  <c r="K45" i="27" a="1"/>
  <c r="K45" i="27" s="1"/>
  <c r="S11" i="27" a="1"/>
  <c r="S11" i="27" s="1"/>
  <c r="S27" i="27" a="1"/>
  <c r="S27" i="27" s="1"/>
  <c r="S57" i="27" a="1"/>
  <c r="S57" i="27" s="1"/>
  <c r="S54" i="27" a="1"/>
  <c r="S54" i="27" s="1"/>
  <c r="S17" i="27" a="1"/>
  <c r="S17" i="27" s="1"/>
  <c r="S5" i="27" a="1"/>
  <c r="S5" i="27" s="1"/>
  <c r="S156" i="8"/>
  <c r="G22" i="27" a="1"/>
  <c r="G22" i="27" s="1"/>
  <c r="S148" i="8"/>
  <c r="G14" i="27" a="1"/>
  <c r="G14" i="27" s="1"/>
  <c r="K33" i="27" a="1"/>
  <c r="K33" i="27" s="1"/>
  <c r="K44" i="27" a="1"/>
  <c r="K44" i="27" s="1"/>
  <c r="K32" i="27" a="1"/>
  <c r="K32" i="27" s="1"/>
  <c r="K64" i="27" a="1"/>
  <c r="K64" i="27" s="1"/>
  <c r="K31" i="27" a="1"/>
  <c r="K31" i="27" s="1"/>
  <c r="K41" i="27" a="1"/>
  <c r="K41" i="27" s="1"/>
  <c r="K10" i="27" a="1"/>
  <c r="K10" i="27" s="1"/>
  <c r="S6" i="27" a="1"/>
  <c r="S6" i="27" s="1"/>
  <c r="S13" i="27" a="1"/>
  <c r="S13" i="27" s="1"/>
  <c r="S49" i="27" a="1"/>
  <c r="S49" i="27" s="1"/>
  <c r="S29" i="27" a="1"/>
  <c r="S29" i="27" s="1"/>
  <c r="S65" i="27" a="1"/>
  <c r="S65" i="27" s="1"/>
  <c r="S20" i="27" a="1"/>
  <c r="S20" i="27" s="1"/>
  <c r="G7" i="27" a="1"/>
  <c r="G7" i="27" s="1"/>
  <c r="S143" i="8"/>
  <c r="G9" i="27" a="1"/>
  <c r="G9" i="27" s="1"/>
  <c r="S193" i="8"/>
  <c r="G59" i="27" a="1"/>
  <c r="G59" i="27" s="1"/>
  <c r="S137" i="8"/>
  <c r="G3" i="27" a="1"/>
  <c r="G3" i="27" s="1"/>
  <c r="S207" i="8"/>
  <c r="M32" i="27" a="1"/>
  <c r="M32" i="27" s="1"/>
  <c r="M41" i="27" a="1"/>
  <c r="M41" i="27" s="1"/>
  <c r="M8" i="27" a="1"/>
  <c r="M8" i="27" s="1"/>
  <c r="M37" i="27" a="1"/>
  <c r="M37" i="27" s="1"/>
  <c r="M59" i="27" a="1"/>
  <c r="M59" i="27" s="1"/>
  <c r="M40" i="27" a="1"/>
  <c r="M40" i="27" s="1"/>
  <c r="M56" i="27" a="1"/>
  <c r="M56" i="27" s="1"/>
  <c r="M57" i="27" a="1"/>
  <c r="M57" i="27" s="1"/>
  <c r="M44" i="27" a="1"/>
  <c r="M44" i="27" s="1"/>
  <c r="M28" i="27" a="1"/>
  <c r="M28" i="27" s="1"/>
  <c r="M58" i="27" a="1"/>
  <c r="M58" i="27" s="1"/>
  <c r="M53" i="27" a="1"/>
  <c r="M53" i="27" s="1"/>
  <c r="M4" i="27" a="1"/>
  <c r="M4" i="27" s="1"/>
  <c r="M48" i="27" a="1"/>
  <c r="M48" i="27" s="1"/>
  <c r="M9" i="27" a="1"/>
  <c r="M9" i="27" s="1"/>
  <c r="M12" i="27" a="1"/>
  <c r="M12" i="27" s="1"/>
  <c r="M52" i="27" a="1"/>
  <c r="M52" i="27" s="1"/>
  <c r="M10" i="27" a="1"/>
  <c r="M10" i="27" s="1"/>
  <c r="M5" i="27" a="1"/>
  <c r="M5" i="27" s="1"/>
  <c r="S209" i="8"/>
  <c r="M20" i="27" a="1"/>
  <c r="M20" i="27" s="1"/>
  <c r="M36" i="27" a="1"/>
  <c r="M36" i="27" s="1"/>
  <c r="M42" i="27" a="1"/>
  <c r="M42" i="27" s="1"/>
  <c r="M27" i="27" a="1"/>
  <c r="M27" i="27" s="1"/>
  <c r="M16" i="27" a="1"/>
  <c r="M16" i="27" s="1"/>
  <c r="M60" i="27" a="1"/>
  <c r="M60" i="27" s="1"/>
  <c r="M25" i="27" a="1"/>
  <c r="M25" i="27" s="1"/>
  <c r="M24" i="27" a="1"/>
  <c r="M24" i="27" s="1"/>
  <c r="M64" i="27" a="1"/>
  <c r="M64" i="27" s="1"/>
  <c r="M26" i="27" a="1"/>
  <c r="M26" i="27" s="1"/>
  <c r="M21" i="27" a="1"/>
  <c r="M21" i="27" s="1"/>
  <c r="M43" i="27" a="1"/>
  <c r="M43" i="27" s="1"/>
  <c r="S205" i="8"/>
  <c r="S257" i="8"/>
  <c r="W146" i="8"/>
  <c r="W212" i="8"/>
  <c r="W225" i="8"/>
  <c r="W159" i="8"/>
  <c r="W194" i="8"/>
  <c r="W260" i="8"/>
  <c r="W255" i="8"/>
  <c r="W189" i="8"/>
  <c r="W152" i="8"/>
  <c r="W218" i="8"/>
  <c r="W235" i="8"/>
  <c r="W169" i="8"/>
  <c r="W174" i="8"/>
  <c r="W240" i="8"/>
  <c r="W252" i="8"/>
  <c r="W186" i="8"/>
  <c r="W142" i="8"/>
  <c r="W208" i="8"/>
  <c r="W242" i="8"/>
  <c r="W176" i="8"/>
  <c r="W247" i="8"/>
  <c r="W181" i="8"/>
  <c r="W148" i="8"/>
  <c r="W214" i="8"/>
  <c r="W200" i="8"/>
  <c r="W266" i="8"/>
  <c r="W259" i="8"/>
  <c r="W193" i="8"/>
  <c r="W173" i="8"/>
  <c r="W239" i="8"/>
  <c r="W160" i="8"/>
  <c r="W226" i="8"/>
  <c r="W236" i="8"/>
  <c r="W170" i="8"/>
  <c r="W182" i="8"/>
  <c r="W248" i="8"/>
  <c r="W215" i="8"/>
  <c r="W149" i="8"/>
  <c r="W203" i="8"/>
  <c r="W137" i="8"/>
  <c r="W141" i="8"/>
  <c r="W207" i="8"/>
  <c r="W153" i="8"/>
  <c r="W219" i="8"/>
  <c r="W70" i="8"/>
  <c r="W4" i="8"/>
  <c r="W256" i="8"/>
  <c r="W190" i="8"/>
  <c r="W243" i="8"/>
  <c r="W177" i="8"/>
  <c r="W210" i="8"/>
  <c r="W144" i="8"/>
  <c r="W167" i="8"/>
  <c r="W233" i="8"/>
  <c r="W172" i="8"/>
  <c r="W238" i="8"/>
  <c r="W175" i="8"/>
  <c r="W241" i="8"/>
  <c r="W192" i="8"/>
  <c r="W258" i="8"/>
  <c r="W216" i="8"/>
  <c r="W150" i="8"/>
  <c r="W223" i="8"/>
  <c r="W157" i="8"/>
  <c r="W197" i="8"/>
  <c r="W263" i="8"/>
  <c r="W245" i="8"/>
  <c r="W179" i="8"/>
  <c r="W222" i="8"/>
  <c r="W156" i="8"/>
  <c r="W262" i="8"/>
  <c r="W196" i="8"/>
  <c r="W251" i="8"/>
  <c r="W185" i="8"/>
  <c r="W264" i="8"/>
  <c r="W198" i="8"/>
  <c r="W165" i="8"/>
  <c r="W231" i="8"/>
  <c r="W228" i="8"/>
  <c r="W162" i="8"/>
  <c r="W244" i="8"/>
  <c r="W178" i="8"/>
  <c r="W246" i="8"/>
  <c r="W180" i="8"/>
  <c r="W232" i="8"/>
  <c r="W166" i="8"/>
  <c r="W184" i="8"/>
  <c r="W250" i="8"/>
  <c r="W201" i="8"/>
  <c r="W267" i="8"/>
  <c r="S259" i="8"/>
  <c r="S267" i="8"/>
  <c r="S241" i="8"/>
  <c r="S235" i="8"/>
  <c r="S248" i="8"/>
  <c r="S239" i="8"/>
  <c r="S231" i="8"/>
  <c r="S242" i="8"/>
  <c r="S208" i="8"/>
  <c r="R221" i="8"/>
  <c r="R141" i="8"/>
  <c r="R227" i="8"/>
  <c r="R253" i="8"/>
  <c r="R176" i="8"/>
  <c r="R167" i="8"/>
  <c r="R196" i="8"/>
  <c r="R192" i="8"/>
  <c r="R160" i="8"/>
  <c r="R186" i="8"/>
  <c r="R213" i="8"/>
  <c r="R149" i="8"/>
  <c r="R153" i="8"/>
  <c r="R181" i="8"/>
  <c r="R198" i="8"/>
  <c r="R157" i="8"/>
  <c r="S226" i="8"/>
  <c r="S236" i="8"/>
  <c r="S240" i="8"/>
  <c r="S258" i="8"/>
  <c r="S252" i="8"/>
  <c r="S228" i="8"/>
  <c r="S245" i="8"/>
  <c r="S262" i="8"/>
  <c r="S216" i="8"/>
  <c r="S214" i="8"/>
  <c r="S255" i="8"/>
  <c r="S264" i="8"/>
  <c r="R204" i="8"/>
  <c r="R180" i="8"/>
  <c r="R211" i="8"/>
  <c r="R165" i="8"/>
  <c r="R169" i="8"/>
  <c r="R175" i="8"/>
  <c r="R206" i="8"/>
  <c r="R194" i="8"/>
  <c r="R217" i="8"/>
  <c r="R144" i="8"/>
  <c r="S266" i="8"/>
  <c r="S260" i="8"/>
  <c r="S223" i="8"/>
  <c r="S233" i="8"/>
  <c r="S263" i="8"/>
  <c r="S247" i="8"/>
  <c r="S243" i="8"/>
  <c r="S238" i="8"/>
  <c r="S232" i="8"/>
  <c r="S212" i="8"/>
  <c r="S222" i="8"/>
  <c r="S215" i="8"/>
  <c r="R265" i="8"/>
  <c r="R152" i="8"/>
  <c r="R177" i="8"/>
  <c r="R197" i="8"/>
  <c r="R178" i="8"/>
  <c r="R230" i="8"/>
  <c r="R234" i="8"/>
  <c r="R249" i="8"/>
  <c r="R166" i="8"/>
  <c r="R261" i="8"/>
  <c r="R220" i="8"/>
  <c r="R224" i="8"/>
  <c r="R70" i="8"/>
  <c r="S244" i="8"/>
  <c r="S210" i="8"/>
  <c r="S250" i="8"/>
  <c r="S203" i="8"/>
  <c r="S219" i="8"/>
  <c r="S251" i="8"/>
  <c r="S136" i="8"/>
  <c r="S225" i="8"/>
  <c r="S246" i="8"/>
  <c r="S218" i="8"/>
  <c r="S256" i="8"/>
  <c r="R190" i="8"/>
  <c r="R237" i="8"/>
  <c r="R173" i="8"/>
  <c r="R179" i="8"/>
  <c r="R162" i="8"/>
  <c r="R200" i="8"/>
  <c r="R254" i="8"/>
  <c r="R184" i="8"/>
  <c r="R201" i="8"/>
  <c r="AG136" i="8"/>
  <c r="W136" i="8" s="1"/>
  <c r="Q202" i="8"/>
  <c r="V202" i="8"/>
  <c r="AR202" i="8" s="1"/>
  <c r="R172" i="8" l="1"/>
  <c r="K38" i="27" a="1"/>
  <c r="K38" i="27" s="1"/>
  <c r="R159" i="8"/>
  <c r="R189" i="8"/>
  <c r="R193" i="8"/>
  <c r="K25" i="27" a="1"/>
  <c r="K25" i="27" s="1"/>
  <c r="R150" i="8"/>
  <c r="Q2" i="27" a="1"/>
  <c r="Q2" i="27" s="1"/>
  <c r="P2" i="27" a="1"/>
  <c r="P2" i="27" s="1"/>
  <c r="L56" i="27" a="1"/>
  <c r="L56" i="27" s="1"/>
  <c r="L50" i="27" a="1"/>
  <c r="L50" i="27" s="1"/>
  <c r="L60" i="27" a="1"/>
  <c r="L60" i="27" s="1"/>
  <c r="L16" i="27" a="1"/>
  <c r="L16" i="27" s="1"/>
  <c r="L52" i="27" a="1"/>
  <c r="L52" i="27" s="1"/>
  <c r="L35" i="27" a="1"/>
  <c r="L35" i="27" s="1"/>
  <c r="T22" i="27" a="1"/>
  <c r="T22" i="27" s="1"/>
  <c r="H2" i="27" a="1"/>
  <c r="H2" i="27" s="1"/>
  <c r="L18" i="27" a="1"/>
  <c r="L18" i="27" s="1"/>
  <c r="L51" i="27" a="1"/>
  <c r="L51" i="27" s="1"/>
  <c r="L10" i="27" a="1"/>
  <c r="L10" i="27" s="1"/>
  <c r="L32" i="27" a="1"/>
  <c r="L32" i="27" s="1"/>
  <c r="L63" i="27" a="1"/>
  <c r="L63" i="27" s="1"/>
  <c r="L66" i="27" a="1"/>
  <c r="L66" i="27" s="1"/>
  <c r="L64" i="27" a="1"/>
  <c r="L64" i="27" s="1"/>
  <c r="L62" i="27" a="1"/>
  <c r="L62" i="27" s="1"/>
  <c r="L58" i="27" a="1"/>
  <c r="L58" i="27" s="1"/>
  <c r="L31" i="27" a="1"/>
  <c r="L31" i="27" s="1"/>
  <c r="L41" i="27" a="1"/>
  <c r="L41" i="27" s="1"/>
  <c r="T67" i="27" a="1"/>
  <c r="T67" i="27" s="1"/>
  <c r="T28" i="27" a="1"/>
  <c r="T28" i="27" s="1"/>
  <c r="T51" i="27" a="1"/>
  <c r="T51" i="27" s="1"/>
  <c r="T58" i="27" a="1"/>
  <c r="T58" i="27" s="1"/>
  <c r="T41" i="27" a="1"/>
  <c r="T41" i="27" s="1"/>
  <c r="T56" i="27" a="1"/>
  <c r="T56" i="27" s="1"/>
  <c r="T19" i="27" a="1"/>
  <c r="T19" i="27" s="1"/>
  <c r="T48" i="27" a="1"/>
  <c r="T48" i="27" s="1"/>
  <c r="T39" i="27" a="1"/>
  <c r="T39" i="27" s="1"/>
  <c r="T40" i="27" a="1"/>
  <c r="T40" i="27" s="1"/>
  <c r="R229" i="8"/>
  <c r="L29" i="27" a="1"/>
  <c r="L29" i="27" s="1"/>
  <c r="L46" i="27" a="1"/>
  <c r="L46" i="27" s="1"/>
  <c r="L19" i="27" a="1"/>
  <c r="L19" i="27" s="1"/>
  <c r="L15" i="27" a="1"/>
  <c r="L15" i="27" s="1"/>
  <c r="L38" i="27" a="1"/>
  <c r="L38" i="27" s="1"/>
  <c r="L33" i="27" a="1"/>
  <c r="L33" i="27" s="1"/>
  <c r="L55" i="27" a="1"/>
  <c r="L55" i="27" s="1"/>
  <c r="L45" i="27" a="1"/>
  <c r="L45" i="27" s="1"/>
  <c r="L40" i="27" a="1"/>
  <c r="L40" i="27" s="1"/>
  <c r="L39" i="27" a="1"/>
  <c r="L39" i="27" s="1"/>
  <c r="L67" i="27" a="1"/>
  <c r="L67" i="27" s="1"/>
  <c r="T46" i="27" a="1"/>
  <c r="T46" i="27" s="1"/>
  <c r="T44" i="27" a="1"/>
  <c r="T44" i="27" s="1"/>
  <c r="T31" i="27" a="1"/>
  <c r="T31" i="27" s="1"/>
  <c r="T45" i="27" a="1"/>
  <c r="T45" i="27" s="1"/>
  <c r="T33" i="27" a="1"/>
  <c r="T33" i="27" s="1"/>
  <c r="T10" i="27" a="1"/>
  <c r="T10" i="27" s="1"/>
  <c r="T43" i="27" a="1"/>
  <c r="T43" i="27" s="1"/>
  <c r="L44" i="27" a="1"/>
  <c r="L44" i="27" s="1"/>
  <c r="T15" i="27" a="1"/>
  <c r="T15" i="27" s="1"/>
  <c r="T26" i="27" a="1"/>
  <c r="T26" i="27" s="1"/>
  <c r="T59" i="27" a="1"/>
  <c r="T59" i="27" s="1"/>
  <c r="T47" i="27" a="1"/>
  <c r="T47" i="27" s="1"/>
  <c r="T42" i="27" a="1"/>
  <c r="T42" i="27" s="1"/>
  <c r="T35" i="27" a="1"/>
  <c r="T35" i="27" s="1"/>
  <c r="T60" i="27" a="1"/>
  <c r="T60" i="27" s="1"/>
  <c r="T25" i="27" a="1"/>
  <c r="T25" i="27" s="1"/>
  <c r="R257" i="8"/>
  <c r="L57" i="27" a="1"/>
  <c r="L57" i="27" s="1"/>
  <c r="L25" i="27" a="1"/>
  <c r="L25" i="27" s="1"/>
  <c r="L3" i="27" a="1"/>
  <c r="L3" i="27" s="1"/>
  <c r="L22" i="27" a="1"/>
  <c r="L22" i="27" s="1"/>
  <c r="L43" i="27" a="1"/>
  <c r="L43" i="27" s="1"/>
  <c r="L23" i="27" a="1"/>
  <c r="L23" i="27" s="1"/>
  <c r="L14" i="27" a="1"/>
  <c r="L14" i="27" s="1"/>
  <c r="L28" i="27" a="1"/>
  <c r="L28" i="27" s="1"/>
  <c r="L36" i="27" a="1"/>
  <c r="L36" i="27" s="1"/>
  <c r="L8" i="27" a="1"/>
  <c r="L8" i="27" s="1"/>
  <c r="L48" i="27" a="1"/>
  <c r="L48" i="27" s="1"/>
  <c r="L59" i="27" a="1"/>
  <c r="L59" i="27" s="1"/>
  <c r="T50" i="27" a="1"/>
  <c r="T50" i="27" s="1"/>
  <c r="T64" i="27" a="1"/>
  <c r="T64" i="27" s="1"/>
  <c r="T7" i="27" a="1"/>
  <c r="T7" i="27" s="1"/>
  <c r="T66" i="27" a="1"/>
  <c r="T66" i="27" s="1"/>
  <c r="T14" i="27" a="1"/>
  <c r="T14" i="27" s="1"/>
  <c r="T8" i="27" a="1"/>
  <c r="T8" i="27" s="1"/>
  <c r="T18" i="27" a="1"/>
  <c r="T18" i="27" s="1"/>
  <c r="T12" i="27" a="1"/>
  <c r="T12" i="27" s="1"/>
  <c r="R205" i="8"/>
  <c r="L5" i="27" a="1"/>
  <c r="L5" i="27" s="1"/>
  <c r="L12" i="27" a="1"/>
  <c r="L12" i="27" s="1"/>
  <c r="L47" i="27" a="1"/>
  <c r="L47" i="27" s="1"/>
  <c r="L26" i="27" a="1"/>
  <c r="L26" i="27" s="1"/>
  <c r="L42" i="27" a="1"/>
  <c r="L42" i="27" s="1"/>
  <c r="T32" i="27" a="1"/>
  <c r="T32" i="27" s="1"/>
  <c r="T62" i="27" a="1"/>
  <c r="T62" i="27" s="1"/>
  <c r="T63" i="27" a="1"/>
  <c r="T63" i="27" s="1"/>
  <c r="T23" i="27" a="1"/>
  <c r="T23" i="27" s="1"/>
  <c r="T16" i="27" a="1"/>
  <c r="T16" i="27" s="1"/>
  <c r="T38" i="27" a="1"/>
  <c r="T38" i="27" s="1"/>
  <c r="T3" i="27" a="1"/>
  <c r="T3" i="27" s="1"/>
  <c r="T36" i="27" a="1"/>
  <c r="T36" i="27" s="1"/>
  <c r="T52" i="27" a="1"/>
  <c r="T52" i="27" s="1"/>
  <c r="T55" i="27" a="1"/>
  <c r="T55" i="27" s="1"/>
  <c r="R209" i="8"/>
  <c r="L9" i="27" a="1"/>
  <c r="L9" i="27" s="1"/>
  <c r="L7" i="27" a="1"/>
  <c r="L7" i="27" s="1"/>
  <c r="R174" i="8"/>
  <c r="R170" i="8"/>
  <c r="R182" i="8"/>
  <c r="R146" i="8"/>
  <c r="R156" i="8"/>
  <c r="R148" i="8"/>
  <c r="R185" i="8"/>
  <c r="R142" i="8"/>
  <c r="K3" i="27" a="1"/>
  <c r="K3" i="27" s="1"/>
  <c r="R139" i="8"/>
  <c r="K5" i="27" a="1"/>
  <c r="K5" i="27" s="1"/>
  <c r="K2" i="27" a="1"/>
  <c r="K2" i="27" s="1"/>
  <c r="S50" i="27" a="1"/>
  <c r="S50" i="27" s="1"/>
  <c r="S44" i="27" a="1"/>
  <c r="S44" i="27" s="1"/>
  <c r="S28" i="27" a="1"/>
  <c r="S28" i="27" s="1"/>
  <c r="S31" i="27" a="1"/>
  <c r="S31" i="27" s="1"/>
  <c r="S51" i="27" a="1"/>
  <c r="S51" i="27" s="1"/>
  <c r="S43" i="27" a="1"/>
  <c r="S43" i="27" s="1"/>
  <c r="S56" i="27" a="1"/>
  <c r="S56" i="27" s="1"/>
  <c r="S26" i="27" a="1"/>
  <c r="S26" i="27" s="1"/>
  <c r="S14" i="27" a="1"/>
  <c r="S14" i="27" s="1"/>
  <c r="S42" i="27" a="1"/>
  <c r="S42" i="27" s="1"/>
  <c r="S8" i="27" a="1"/>
  <c r="S8" i="27" s="1"/>
  <c r="S35" i="27" a="1"/>
  <c r="S35" i="27" s="1"/>
  <c r="S18" i="27" a="1"/>
  <c r="S18" i="27" s="1"/>
  <c r="S46" i="27" a="1"/>
  <c r="S46" i="27" s="1"/>
  <c r="S64" i="27" a="1"/>
  <c r="S64" i="27" s="1"/>
  <c r="S45" i="27" a="1"/>
  <c r="S45" i="27" s="1"/>
  <c r="S38" i="27" a="1"/>
  <c r="S38" i="27" s="1"/>
  <c r="S10" i="27" a="1"/>
  <c r="S10" i="27" s="1"/>
  <c r="S7" i="27" a="1"/>
  <c r="S7" i="27" s="1"/>
  <c r="S15" i="27" a="1"/>
  <c r="S15" i="27" s="1"/>
  <c r="S59" i="27" a="1"/>
  <c r="S59" i="27" s="1"/>
  <c r="S66" i="27" a="1"/>
  <c r="S66" i="27" s="1"/>
  <c r="S47" i="27" a="1"/>
  <c r="S47" i="27" s="1"/>
  <c r="S25" i="27" a="1"/>
  <c r="S25" i="27" s="1"/>
  <c r="S12" i="27" a="1"/>
  <c r="S12" i="27" s="1"/>
  <c r="R137" i="8"/>
  <c r="S67" i="27" a="1"/>
  <c r="S67" i="27" s="1"/>
  <c r="S22" i="27" a="1"/>
  <c r="S22" i="27" s="1"/>
  <c r="S63" i="27" a="1"/>
  <c r="S63" i="27" s="1"/>
  <c r="S41" i="27" a="1"/>
  <c r="S41" i="27" s="1"/>
  <c r="S19" i="27" a="1"/>
  <c r="S19" i="27" s="1"/>
  <c r="S3" i="27" a="1"/>
  <c r="S3" i="27" s="1"/>
  <c r="S48" i="27" a="1"/>
  <c r="S48" i="27" s="1"/>
  <c r="S39" i="27" a="1"/>
  <c r="S39" i="27" s="1"/>
  <c r="S52" i="27" a="1"/>
  <c r="S52" i="27" s="1"/>
  <c r="S40" i="27" a="1"/>
  <c r="S40" i="27" s="1"/>
  <c r="S55" i="27" a="1"/>
  <c r="S55" i="27" s="1"/>
  <c r="K59" i="27" a="1"/>
  <c r="K59" i="27" s="1"/>
  <c r="K14" i="27" a="1"/>
  <c r="K14" i="27" s="1"/>
  <c r="K12" i="27" a="1"/>
  <c r="K12" i="27" s="1"/>
  <c r="K8" i="27" a="1"/>
  <c r="K8" i="27" s="1"/>
  <c r="K36" i="27" a="1"/>
  <c r="K36" i="27" s="1"/>
  <c r="S32" i="27" a="1"/>
  <c r="S32" i="27" s="1"/>
  <c r="S62" i="27" a="1"/>
  <c r="S62" i="27" s="1"/>
  <c r="S23" i="27" a="1"/>
  <c r="S23" i="27" s="1"/>
  <c r="S16" i="27" a="1"/>
  <c r="S16" i="27" s="1"/>
  <c r="S58" i="27" a="1"/>
  <c r="S58" i="27" s="1"/>
  <c r="S33" i="27" a="1"/>
  <c r="S33" i="27" s="1"/>
  <c r="S36" i="27" a="1"/>
  <c r="S36" i="27" s="1"/>
  <c r="S60" i="27" a="1"/>
  <c r="S60" i="27" s="1"/>
  <c r="R143" i="8"/>
  <c r="K9" i="27" a="1"/>
  <c r="K9" i="27" s="1"/>
  <c r="K22" i="27" a="1"/>
  <c r="K22" i="27" s="1"/>
  <c r="K48" i="27" a="1"/>
  <c r="K48" i="27" s="1"/>
  <c r="R191" i="8"/>
  <c r="K57" i="27" a="1"/>
  <c r="K57" i="27" s="1"/>
  <c r="K40" i="27" a="1"/>
  <c r="K40" i="27" s="1"/>
  <c r="K51" i="27" a="1"/>
  <c r="K51" i="27" s="1"/>
  <c r="K16" i="27" a="1"/>
  <c r="K16" i="27" s="1"/>
  <c r="R2" i="27" a="1"/>
  <c r="R2" i="27" s="1"/>
  <c r="W202" i="8"/>
  <c r="R256" i="8"/>
  <c r="R225" i="8"/>
  <c r="R251" i="8"/>
  <c r="R222" i="8"/>
  <c r="R232" i="8"/>
  <c r="R247" i="8"/>
  <c r="R233" i="8"/>
  <c r="R266" i="8"/>
  <c r="R264" i="8"/>
  <c r="R214" i="8"/>
  <c r="R262" i="8"/>
  <c r="R228" i="8"/>
  <c r="R258" i="8"/>
  <c r="R236" i="8"/>
  <c r="R208" i="8"/>
  <c r="R231" i="8"/>
  <c r="R248" i="8"/>
  <c r="R241" i="8"/>
  <c r="R259" i="8"/>
  <c r="S202" i="8"/>
  <c r="R218" i="8"/>
  <c r="R203" i="8"/>
  <c r="R250" i="8"/>
  <c r="R246" i="8"/>
  <c r="R136" i="8"/>
  <c r="R219" i="8"/>
  <c r="R210" i="8"/>
  <c r="R244" i="8"/>
  <c r="R215" i="8"/>
  <c r="R212" i="8"/>
  <c r="R238" i="8"/>
  <c r="R243" i="8"/>
  <c r="R263" i="8"/>
  <c r="R223" i="8"/>
  <c r="R260" i="8"/>
  <c r="R255" i="8"/>
  <c r="R216" i="8"/>
  <c r="R245" i="8"/>
  <c r="R252" i="8"/>
  <c r="R240" i="8"/>
  <c r="R226" i="8"/>
  <c r="R242" i="8"/>
  <c r="R239" i="8"/>
  <c r="R207" i="8"/>
  <c r="R235" i="8"/>
  <c r="R267" i="8"/>
  <c r="V203" i="8"/>
  <c r="V207" i="8"/>
  <c r="V211" i="8"/>
  <c r="V215" i="8"/>
  <c r="V219" i="8"/>
  <c r="V223" i="8"/>
  <c r="V227" i="8"/>
  <c r="V231" i="8"/>
  <c r="V235" i="8"/>
  <c r="V239" i="8"/>
  <c r="V243" i="8"/>
  <c r="V247" i="8"/>
  <c r="V251" i="8"/>
  <c r="V255" i="8"/>
  <c r="V259" i="8"/>
  <c r="V263" i="8"/>
  <c r="V267" i="8"/>
  <c r="V206" i="8"/>
  <c r="V210" i="8"/>
  <c r="V214" i="8"/>
  <c r="V218" i="8"/>
  <c r="V222" i="8"/>
  <c r="V226" i="8"/>
  <c r="V230" i="8"/>
  <c r="V234" i="8"/>
  <c r="V238" i="8"/>
  <c r="V242" i="8"/>
  <c r="V246" i="8"/>
  <c r="V250" i="8"/>
  <c r="V254" i="8"/>
  <c r="V258" i="8"/>
  <c r="V262" i="8"/>
  <c r="V266" i="8"/>
  <c r="V205" i="8"/>
  <c r="V209" i="8"/>
  <c r="V213" i="8"/>
  <c r="V217" i="8"/>
  <c r="V221" i="8"/>
  <c r="V225" i="8"/>
  <c r="V229" i="8"/>
  <c r="V233" i="8"/>
  <c r="V237" i="8"/>
  <c r="V241" i="8"/>
  <c r="V245" i="8"/>
  <c r="V249" i="8"/>
  <c r="V253" i="8"/>
  <c r="V257" i="8"/>
  <c r="V261" i="8"/>
  <c r="V265" i="8"/>
  <c r="V204" i="8"/>
  <c r="V208" i="8"/>
  <c r="V212" i="8"/>
  <c r="V216" i="8"/>
  <c r="V220" i="8"/>
  <c r="V224" i="8"/>
  <c r="V228" i="8"/>
  <c r="V232" i="8"/>
  <c r="V236" i="8"/>
  <c r="V240" i="8"/>
  <c r="V244" i="8"/>
  <c r="V248" i="8"/>
  <c r="V252" i="8"/>
  <c r="V256" i="8"/>
  <c r="V260" i="8"/>
  <c r="V264" i="8"/>
  <c r="P64" i="27" l="1" a="1"/>
  <c r="P64" i="27" s="1"/>
  <c r="P48" i="27" a="1"/>
  <c r="P48" i="27" s="1"/>
  <c r="P32" i="27" a="1"/>
  <c r="P32" i="27" s="1"/>
  <c r="P16" i="27" a="1"/>
  <c r="P16" i="27" s="1"/>
  <c r="P65" i="27" a="1"/>
  <c r="P65" i="27" s="1"/>
  <c r="P49" i="27" a="1"/>
  <c r="P49" i="27" s="1"/>
  <c r="P33" i="27" a="1"/>
  <c r="P33" i="27" s="1"/>
  <c r="P17" i="27" a="1"/>
  <c r="P17" i="27" s="1"/>
  <c r="P66" i="27" a="1"/>
  <c r="P66" i="27" s="1"/>
  <c r="P50" i="27" a="1"/>
  <c r="P50" i="27" s="1"/>
  <c r="P34" i="27" a="1"/>
  <c r="P34" i="27" s="1"/>
  <c r="P18" i="27" a="1"/>
  <c r="P18" i="27" s="1"/>
  <c r="P67" i="27" a="1"/>
  <c r="P67" i="27" s="1"/>
  <c r="P51" i="27" a="1"/>
  <c r="P51" i="27" s="1"/>
  <c r="P35" i="27" a="1"/>
  <c r="P35" i="27" s="1"/>
  <c r="P19" i="27" a="1"/>
  <c r="P19" i="27" s="1"/>
  <c r="P3" i="27" a="1"/>
  <c r="P3" i="27" s="1"/>
  <c r="P60" i="27" a="1"/>
  <c r="P60" i="27" s="1"/>
  <c r="P44" i="27" a="1"/>
  <c r="P44" i="27" s="1"/>
  <c r="P28" i="27" a="1"/>
  <c r="P28" i="27" s="1"/>
  <c r="P12" i="27" a="1"/>
  <c r="P12" i="27" s="1"/>
  <c r="P61" i="27" a="1"/>
  <c r="P61" i="27" s="1"/>
  <c r="P45" i="27" a="1"/>
  <c r="P45" i="27" s="1"/>
  <c r="P29" i="27" a="1"/>
  <c r="P29" i="27" s="1"/>
  <c r="P13" i="27" a="1"/>
  <c r="P13" i="27" s="1"/>
  <c r="P62" i="27" a="1"/>
  <c r="P62" i="27" s="1"/>
  <c r="P46" i="27" a="1"/>
  <c r="P46" i="27" s="1"/>
  <c r="P30" i="27" a="1"/>
  <c r="P30" i="27" s="1"/>
  <c r="P14" i="27" a="1"/>
  <c r="P14" i="27" s="1"/>
  <c r="P63" i="27" a="1"/>
  <c r="P63" i="27" s="1"/>
  <c r="P47" i="27" a="1"/>
  <c r="P47" i="27" s="1"/>
  <c r="P31" i="27" a="1"/>
  <c r="P31" i="27" s="1"/>
  <c r="P15" i="27" a="1"/>
  <c r="P15" i="27" s="1"/>
  <c r="P56" i="27" a="1"/>
  <c r="P56" i="27" s="1"/>
  <c r="P40" i="27" a="1"/>
  <c r="P40" i="27" s="1"/>
  <c r="P24" i="27" a="1"/>
  <c r="P24" i="27" s="1"/>
  <c r="P8" i="27" a="1"/>
  <c r="P8" i="27" s="1"/>
  <c r="P57" i="27" a="1"/>
  <c r="P57" i="27" s="1"/>
  <c r="P41" i="27" a="1"/>
  <c r="P41" i="27" s="1"/>
  <c r="P25" i="27" a="1"/>
  <c r="P25" i="27" s="1"/>
  <c r="P9" i="27" a="1"/>
  <c r="P9" i="27" s="1"/>
  <c r="P58" i="27" a="1"/>
  <c r="P58" i="27" s="1"/>
  <c r="P42" i="27" a="1"/>
  <c r="P42" i="27" s="1"/>
  <c r="P26" i="27" a="1"/>
  <c r="P26" i="27" s="1"/>
  <c r="P10" i="27" a="1"/>
  <c r="P10" i="27" s="1"/>
  <c r="P59" i="27" a="1"/>
  <c r="P59" i="27" s="1"/>
  <c r="P43" i="27" a="1"/>
  <c r="P43" i="27" s="1"/>
  <c r="P27" i="27" a="1"/>
  <c r="P27" i="27" s="1"/>
  <c r="P11" i="27" a="1"/>
  <c r="P11" i="27" s="1"/>
  <c r="P52" i="27" a="1"/>
  <c r="P52" i="27" s="1"/>
  <c r="P36" i="27" a="1"/>
  <c r="P36" i="27" s="1"/>
  <c r="P20" i="27" a="1"/>
  <c r="P20" i="27" s="1"/>
  <c r="P4" i="27" a="1"/>
  <c r="P4" i="27" s="1"/>
  <c r="P53" i="27" a="1"/>
  <c r="P53" i="27" s="1"/>
  <c r="P37" i="27" a="1"/>
  <c r="P37" i="27" s="1"/>
  <c r="P21" i="27" a="1"/>
  <c r="P21" i="27" s="1"/>
  <c r="P5" i="27" a="1"/>
  <c r="P5" i="27" s="1"/>
  <c r="P54" i="27" a="1"/>
  <c r="P54" i="27" s="1"/>
  <c r="P38" i="27" a="1"/>
  <c r="P38" i="27" s="1"/>
  <c r="P22" i="27" a="1"/>
  <c r="P22" i="27" s="1"/>
  <c r="P6" i="27" a="1"/>
  <c r="P6" i="27" s="1"/>
  <c r="P55" i="27" a="1"/>
  <c r="P55" i="27" s="1"/>
  <c r="P39" i="27" a="1"/>
  <c r="P39" i="27" s="1"/>
  <c r="P23" i="27" a="1"/>
  <c r="P23" i="27" s="1"/>
  <c r="P7" i="27" a="1"/>
  <c r="P7" i="27" s="1"/>
  <c r="L2" i="27" a="1"/>
  <c r="L2" i="27" s="1"/>
  <c r="T2" i="27" a="1"/>
  <c r="T2" i="27" s="1"/>
  <c r="S2" i="27" a="1"/>
  <c r="S2" i="27" s="1"/>
  <c r="R202" i="8"/>
  <c r="X33" i="11" l="1"/>
  <c r="X60" i="11"/>
  <c r="X5" i="11"/>
  <c r="X30" i="11"/>
  <c r="X51" i="11"/>
  <c r="X25" i="11"/>
  <c r="X46" i="11"/>
  <c r="X62" i="11"/>
  <c r="X2" i="11"/>
  <c r="X27" i="11"/>
  <c r="X59" i="11"/>
  <c r="X35" i="11"/>
  <c r="X43" i="11"/>
  <c r="X34" i="11"/>
  <c r="X40" i="11"/>
  <c r="X37" i="11"/>
  <c r="X21" i="11"/>
  <c r="X64" i="11"/>
  <c r="X17" i="11"/>
  <c r="X67" i="11"/>
  <c r="X7" i="11"/>
  <c r="X8" i="11"/>
  <c r="X42" i="11"/>
  <c r="X6" i="11"/>
  <c r="X38" i="11"/>
  <c r="X24" i="11"/>
  <c r="X66" i="11"/>
  <c r="X32" i="11"/>
  <c r="X23" i="11"/>
  <c r="X41" i="11"/>
  <c r="X53" i="11"/>
  <c r="X29" i="11"/>
  <c r="X13" i="11"/>
  <c r="X61" i="11"/>
  <c r="X15" i="11"/>
  <c r="X18" i="11"/>
  <c r="X49" i="11"/>
  <c r="X44" i="11"/>
  <c r="O112" i="8"/>
  <c r="X63" i="11"/>
  <c r="X36" i="11"/>
  <c r="X55" i="11"/>
  <c r="X47" i="11"/>
  <c r="X20" i="11"/>
  <c r="X39" i="11"/>
  <c r="X12" i="11"/>
  <c r="X4" i="11"/>
  <c r="X19" i="11"/>
  <c r="X26" i="11"/>
  <c r="X58" i="11"/>
  <c r="X56" i="11"/>
  <c r="X48" i="11"/>
  <c r="X54" i="11"/>
  <c r="X11" i="11"/>
  <c r="X14" i="11"/>
  <c r="X52" i="11"/>
  <c r="X31" i="11"/>
  <c r="X9" i="11"/>
  <c r="X22" i="11"/>
  <c r="X50" i="11"/>
  <c r="X10" i="11"/>
  <c r="X45" i="11"/>
  <c r="W57" i="11"/>
  <c r="X16" i="11"/>
  <c r="X28" i="11"/>
  <c r="X57" i="11"/>
  <c r="X3" i="11"/>
  <c r="W62" i="11"/>
  <c r="W7" i="11"/>
  <c r="W5" i="11"/>
  <c r="X65" i="11"/>
  <c r="W15" i="11"/>
  <c r="W59" i="11"/>
  <c r="W35" i="11"/>
  <c r="W17" i="11"/>
  <c r="W14" i="11"/>
  <c r="W37" i="11"/>
  <c r="W6" i="11"/>
  <c r="W3" i="11"/>
  <c r="W34" i="11"/>
  <c r="W36" i="11"/>
  <c r="W18" i="11"/>
  <c r="W50" i="11"/>
  <c r="W25" i="11"/>
  <c r="W44" i="11"/>
  <c r="W33" i="11"/>
  <c r="W40" i="11"/>
  <c r="W49" i="11"/>
  <c r="W41" i="11"/>
  <c r="W64" i="11"/>
  <c r="W63" i="11"/>
  <c r="W28" i="11"/>
  <c r="W66" i="11"/>
  <c r="W19" i="11"/>
  <c r="W29" i="11"/>
  <c r="W30" i="11"/>
  <c r="W56" i="11"/>
  <c r="W46" i="11"/>
  <c r="W27" i="11"/>
  <c r="W48" i="11"/>
  <c r="W51" i="11"/>
  <c r="W52" i="11"/>
  <c r="W12" i="11"/>
  <c r="W8" i="11"/>
  <c r="W54" i="11"/>
  <c r="W65" i="11"/>
  <c r="W67" i="11"/>
  <c r="W23" i="11"/>
  <c r="W61" i="11"/>
  <c r="W24" i="11"/>
  <c r="W10" i="11"/>
  <c r="W11" i="11"/>
  <c r="W42" i="11"/>
  <c r="W13" i="11"/>
  <c r="W16" i="11"/>
  <c r="W20" i="11"/>
  <c r="W31" i="11"/>
  <c r="W45" i="11"/>
  <c r="W47" i="11"/>
  <c r="W60" i="11"/>
  <c r="W39" i="11"/>
  <c r="W22" i="11"/>
  <c r="W43" i="11"/>
  <c r="W53" i="11"/>
  <c r="W32" i="11"/>
  <c r="W55" i="11"/>
  <c r="W21" i="11"/>
  <c r="W26" i="11"/>
  <c r="W58" i="11"/>
  <c r="W38" i="11"/>
  <c r="W9" i="11"/>
  <c r="W2" i="11"/>
  <c r="I22" i="39" l="1" a="1"/>
  <c r="I22" i="39" s="1"/>
  <c r="I18" i="39" a="1"/>
  <c r="I18" i="39" s="1"/>
  <c r="I38" i="39" a="1"/>
  <c r="I38" i="39" s="1"/>
  <c r="I34" i="39" a="1"/>
  <c r="I34" i="39" s="1"/>
  <c r="I30" i="39" a="1"/>
  <c r="I30" i="39" s="1"/>
  <c r="I50" i="39" a="1"/>
  <c r="I50" i="39" s="1"/>
  <c r="I46" i="39" a="1"/>
  <c r="I46" i="39" s="1"/>
  <c r="I42" i="39" a="1"/>
  <c r="I42" i="39" s="1"/>
  <c r="I62" i="39" a="1"/>
  <c r="I62" i="39" s="1"/>
  <c r="I58" i="39" a="1"/>
  <c r="I58" i="39" s="1"/>
  <c r="I54" i="39" a="1"/>
  <c r="I54" i="39" s="1"/>
  <c r="I87" i="39" a="1"/>
  <c r="I87" i="39" s="1"/>
  <c r="I83" i="39" a="1"/>
  <c r="I83" i="39" s="1"/>
  <c r="I77" i="39" a="1"/>
  <c r="I77" i="39" s="1"/>
  <c r="I73" i="39" a="1"/>
  <c r="I73" i="39" s="1"/>
  <c r="I69" i="39" a="1"/>
  <c r="I69" i="39" s="1"/>
  <c r="I11" i="39" a="1"/>
  <c r="I11" i="39" s="1"/>
  <c r="I7" i="39" a="1"/>
  <c r="I7" i="39" s="1"/>
  <c r="I3" i="39" a="1"/>
  <c r="I3" i="39" s="1"/>
  <c r="A88" i="39" a="1"/>
  <c r="A88" i="39" s="1"/>
  <c r="A84" i="39" a="1"/>
  <c r="A84" i="39" s="1"/>
  <c r="A80" i="39" a="1"/>
  <c r="A80" i="39" s="1"/>
  <c r="A74" i="39" a="1"/>
  <c r="A74" i="39" s="1"/>
  <c r="A70" i="39" a="1"/>
  <c r="A70" i="39" s="1"/>
  <c r="A64" i="39" a="1"/>
  <c r="A64" i="39" s="1"/>
  <c r="A60" i="39" a="1"/>
  <c r="A60" i="39" s="1"/>
  <c r="A56" i="39" a="1"/>
  <c r="A56" i="39" s="1"/>
  <c r="A50" i="39" a="1"/>
  <c r="A50" i="39" s="1"/>
  <c r="A46" i="39" a="1"/>
  <c r="A46" i="39" s="1"/>
  <c r="A42" i="39" a="1"/>
  <c r="A42" i="39" s="1"/>
  <c r="A36" i="39" a="1"/>
  <c r="A36" i="39" s="1"/>
  <c r="A32" i="39" a="1"/>
  <c r="A32" i="39" s="1"/>
  <c r="A28" i="39" a="1"/>
  <c r="A28" i="39" s="1"/>
  <c r="A22" i="39" a="1"/>
  <c r="A22" i="39" s="1"/>
  <c r="A18" i="39" a="1"/>
  <c r="A18" i="39" s="1"/>
  <c r="A12" i="39" a="1"/>
  <c r="A12" i="39" s="1"/>
  <c r="A8" i="39" a="1"/>
  <c r="A8" i="39" s="1"/>
  <c r="A4" i="39" a="1"/>
  <c r="A4" i="39" s="1"/>
  <c r="A89" i="38" a="1"/>
  <c r="A89" i="38" s="1"/>
  <c r="A85" i="38" a="1"/>
  <c r="A85" i="38" s="1"/>
  <c r="A81" i="38" a="1"/>
  <c r="A81" i="38" s="1"/>
  <c r="A75" i="38" a="1"/>
  <c r="A75" i="38" s="1"/>
  <c r="A71" i="38" a="1"/>
  <c r="A71" i="38" s="1"/>
  <c r="A67" i="38" a="1"/>
  <c r="A67" i="38" s="1"/>
  <c r="A61" i="38" a="1"/>
  <c r="A61" i="38" s="1"/>
  <c r="A57" i="38" a="1"/>
  <c r="A57" i="38" s="1"/>
  <c r="A51" i="38" a="1"/>
  <c r="A51" i="38" s="1"/>
  <c r="A47" i="38" a="1"/>
  <c r="A47" i="38" s="1"/>
  <c r="A43" i="38" a="1"/>
  <c r="A43" i="38" s="1"/>
  <c r="A37" i="38" a="1"/>
  <c r="A37" i="38" s="1"/>
  <c r="A33" i="38" a="1"/>
  <c r="A33" i="38" s="1"/>
  <c r="A29" i="38" a="1"/>
  <c r="A29" i="38" s="1"/>
  <c r="A23" i="38" a="1"/>
  <c r="A23" i="38" s="1"/>
  <c r="A19" i="38" a="1"/>
  <c r="A19" i="38" s="1"/>
  <c r="A15" i="38" a="1"/>
  <c r="A15" i="38" s="1"/>
  <c r="A9" i="38" a="1"/>
  <c r="A9" i="38" s="1"/>
  <c r="A5" i="38" a="1"/>
  <c r="A5" i="38" s="1"/>
  <c r="I25" i="39" a="1"/>
  <c r="I25" i="39" s="1"/>
  <c r="I21" i="39" a="1"/>
  <c r="I21" i="39" s="1"/>
  <c r="I17" i="39" a="1"/>
  <c r="I17" i="39" s="1"/>
  <c r="I37" i="39" a="1"/>
  <c r="I37" i="39" s="1"/>
  <c r="I33" i="39" a="1"/>
  <c r="I33" i="39" s="1"/>
  <c r="I29" i="39" a="1"/>
  <c r="I29" i="39" s="1"/>
  <c r="I49" i="39" a="1"/>
  <c r="I49" i="39" s="1"/>
  <c r="I45" i="39" a="1"/>
  <c r="I45" i="39" s="1"/>
  <c r="I41" i="39" a="1"/>
  <c r="I41" i="39" s="1"/>
  <c r="I61" i="39" a="1"/>
  <c r="I61" i="39" s="1"/>
  <c r="I57" i="39" a="1"/>
  <c r="I57" i="39" s="1"/>
  <c r="I90" i="39" a="1"/>
  <c r="I90" i="39" s="1"/>
  <c r="I86" i="39" a="1"/>
  <c r="I86" i="39" s="1"/>
  <c r="I82" i="39" a="1"/>
  <c r="I82" i="39" s="1"/>
  <c r="I76" i="39" a="1"/>
  <c r="I76" i="39" s="1"/>
  <c r="I72" i="39" a="1"/>
  <c r="I72" i="39" s="1"/>
  <c r="I68" i="39" a="1"/>
  <c r="I68" i="39" s="1"/>
  <c r="I10" i="39" a="1"/>
  <c r="I10" i="39" s="1"/>
  <c r="I6" i="39" a="1"/>
  <c r="I6" i="39" s="1"/>
  <c r="I2" i="39" a="1"/>
  <c r="I2" i="39" s="1"/>
  <c r="A87" i="39" a="1"/>
  <c r="A87" i="39" s="1"/>
  <c r="A83" i="39" a="1"/>
  <c r="A83" i="39" s="1"/>
  <c r="A77" i="39" a="1"/>
  <c r="A77" i="39" s="1"/>
  <c r="A73" i="39" a="1"/>
  <c r="A73" i="39" s="1"/>
  <c r="A69" i="39" a="1"/>
  <c r="A69" i="39" s="1"/>
  <c r="A63" i="39" a="1"/>
  <c r="A63" i="39" s="1"/>
  <c r="A59" i="39" a="1"/>
  <c r="A59" i="39" s="1"/>
  <c r="A55" i="39" a="1"/>
  <c r="A55" i="39" s="1"/>
  <c r="A49" i="39" a="1"/>
  <c r="A49" i="39" s="1"/>
  <c r="A45" i="39" a="1"/>
  <c r="A45" i="39" s="1"/>
  <c r="A41" i="39" a="1"/>
  <c r="A41" i="39" s="1"/>
  <c r="A35" i="39" a="1"/>
  <c r="A35" i="39" s="1"/>
  <c r="A31" i="39" a="1"/>
  <c r="A31" i="39" s="1"/>
  <c r="A25" i="39" a="1"/>
  <c r="A25" i="39" s="1"/>
  <c r="A21" i="39" a="1"/>
  <c r="A21" i="39" s="1"/>
  <c r="A17" i="39" a="1"/>
  <c r="A17" i="39" s="1"/>
  <c r="A11" i="39" a="1"/>
  <c r="A11" i="39" s="1"/>
  <c r="A7" i="39" a="1"/>
  <c r="A7" i="39" s="1"/>
  <c r="A3" i="39" a="1"/>
  <c r="A3" i="39" s="1"/>
  <c r="A88" i="38" a="1"/>
  <c r="A88" i="38" s="1"/>
  <c r="A84" i="38" a="1"/>
  <c r="A84" i="38" s="1"/>
  <c r="A80" i="38" a="1"/>
  <c r="A80" i="38" s="1"/>
  <c r="A74" i="38" a="1"/>
  <c r="A74" i="38" s="1"/>
  <c r="A70" i="38" a="1"/>
  <c r="A70" i="38" s="1"/>
  <c r="A64" i="38" a="1"/>
  <c r="A64" i="38" s="1"/>
  <c r="A60" i="38" a="1"/>
  <c r="A60" i="38" s="1"/>
  <c r="A56" i="38" a="1"/>
  <c r="A56" i="38" s="1"/>
  <c r="A50" i="38" a="1"/>
  <c r="A50" i="38" s="1"/>
  <c r="A46" i="38" a="1"/>
  <c r="A46" i="38" s="1"/>
  <c r="A42" i="38" a="1"/>
  <c r="A42" i="38" s="1"/>
  <c r="A36" i="38" a="1"/>
  <c r="A36" i="38" s="1"/>
  <c r="A32" i="38" a="1"/>
  <c r="A32" i="38" s="1"/>
  <c r="A28" i="38" a="1"/>
  <c r="A28" i="38" s="1"/>
  <c r="A22" i="38" a="1"/>
  <c r="A22" i="38" s="1"/>
  <c r="A18" i="38" a="1"/>
  <c r="A18" i="38" s="1"/>
  <c r="A12" i="38" a="1"/>
  <c r="A12" i="38" s="1"/>
  <c r="A8" i="38" a="1"/>
  <c r="A8" i="38" s="1"/>
  <c r="A4" i="38" a="1"/>
  <c r="A4" i="38" s="1"/>
  <c r="A88" i="37" a="1"/>
  <c r="A88" i="37" s="1"/>
  <c r="A84" i="37" a="1"/>
  <c r="A84" i="37" s="1"/>
  <c r="A80" i="37" a="1"/>
  <c r="A80" i="37" s="1"/>
  <c r="A76" i="37" a="1"/>
  <c r="A76" i="37" s="1"/>
  <c r="A72" i="37" a="1"/>
  <c r="A72" i="37" s="1"/>
  <c r="A68" i="37" a="1"/>
  <c r="A68" i="37" s="1"/>
  <c r="A62" i="37" a="1"/>
  <c r="A62" i="37" s="1"/>
  <c r="A58" i="37" a="1"/>
  <c r="A58" i="37" s="1"/>
  <c r="A54" i="37" a="1"/>
  <c r="A54" i="37" s="1"/>
  <c r="A48" i="37" a="1"/>
  <c r="A48" i="37" s="1"/>
  <c r="A44" i="37" a="1"/>
  <c r="A44" i="37" s="1"/>
  <c r="A38" i="37" a="1"/>
  <c r="A38" i="37" s="1"/>
  <c r="A34" i="37" a="1"/>
  <c r="A34" i="37" s="1"/>
  <c r="A30" i="37" a="1"/>
  <c r="A30" i="37" s="1"/>
  <c r="A24" i="37" a="1"/>
  <c r="A24" i="37" s="1"/>
  <c r="A20" i="37" a="1"/>
  <c r="A20" i="37" s="1"/>
  <c r="A16" i="37" a="1"/>
  <c r="A16" i="37" s="1"/>
  <c r="A10" i="37" a="1"/>
  <c r="A10" i="37" s="1"/>
  <c r="A6" i="37" a="1"/>
  <c r="A6" i="37" s="1"/>
  <c r="A2" i="37" a="1"/>
  <c r="A2" i="37" s="1"/>
  <c r="I24" i="39" a="1"/>
  <c r="I24" i="39" s="1"/>
  <c r="I20" i="39" a="1"/>
  <c r="I20" i="39" s="1"/>
  <c r="I16" i="39" a="1"/>
  <c r="I16" i="39" s="1"/>
  <c r="I36" i="39" a="1"/>
  <c r="I36" i="39" s="1"/>
  <c r="I32" i="39" a="1"/>
  <c r="I32" i="39" s="1"/>
  <c r="I28" i="39" a="1"/>
  <c r="I28" i="39" s="1"/>
  <c r="I48" i="39" a="1"/>
  <c r="I48" i="39" s="1"/>
  <c r="I44" i="39" a="1"/>
  <c r="I44" i="39" s="1"/>
  <c r="I64" i="39" a="1"/>
  <c r="I64" i="39" s="1"/>
  <c r="I60" i="39" a="1"/>
  <c r="I60" i="39" s="1"/>
  <c r="I56" i="39" a="1"/>
  <c r="I56" i="39" s="1"/>
  <c r="I89" i="39" a="1"/>
  <c r="I89" i="39" s="1"/>
  <c r="I85" i="39" a="1"/>
  <c r="I85" i="39" s="1"/>
  <c r="I81" i="39" a="1"/>
  <c r="I81" i="39" s="1"/>
  <c r="I75" i="39" a="1"/>
  <c r="I75" i="39" s="1"/>
  <c r="I71" i="39" a="1"/>
  <c r="I71" i="39" s="1"/>
  <c r="I67" i="39" a="1"/>
  <c r="I67" i="39" s="1"/>
  <c r="I9" i="39" a="1"/>
  <c r="I9" i="39" s="1"/>
  <c r="I5" i="39" a="1"/>
  <c r="I5" i="39" s="1"/>
  <c r="A90" i="39" a="1"/>
  <c r="A90" i="39" s="1"/>
  <c r="A86" i="39" a="1"/>
  <c r="A86" i="39" s="1"/>
  <c r="A82" i="39" a="1"/>
  <c r="A82" i="39" s="1"/>
  <c r="A76" i="39" a="1"/>
  <c r="A76" i="39" s="1"/>
  <c r="A72" i="39" a="1"/>
  <c r="A72" i="39" s="1"/>
  <c r="A68" i="39" a="1"/>
  <c r="A68" i="39" s="1"/>
  <c r="A62" i="39" a="1"/>
  <c r="A62" i="39" s="1"/>
  <c r="A58" i="39" a="1"/>
  <c r="A58" i="39" s="1"/>
  <c r="A54" i="39" a="1"/>
  <c r="A54" i="39" s="1"/>
  <c r="A48" i="39" a="1"/>
  <c r="A48" i="39" s="1"/>
  <c r="A44" i="39" a="1"/>
  <c r="A44" i="39" s="1"/>
  <c r="A38" i="39" a="1"/>
  <c r="A38" i="39" s="1"/>
  <c r="A34" i="39" a="1"/>
  <c r="A34" i="39" s="1"/>
  <c r="A30" i="39" a="1"/>
  <c r="A30" i="39" s="1"/>
  <c r="A24" i="39" a="1"/>
  <c r="A24" i="39" s="1"/>
  <c r="A20" i="39" a="1"/>
  <c r="A20" i="39" s="1"/>
  <c r="A16" i="39" a="1"/>
  <c r="A16" i="39" s="1"/>
  <c r="A10" i="39" a="1"/>
  <c r="A10" i="39" s="1"/>
  <c r="A6" i="39" a="1"/>
  <c r="A6" i="39" s="1"/>
  <c r="A2" i="39" a="1"/>
  <c r="A2" i="39" s="1"/>
  <c r="A87" i="38" a="1"/>
  <c r="A87" i="38" s="1"/>
  <c r="A83" i="38" a="1"/>
  <c r="A83" i="38" s="1"/>
  <c r="A77" i="38" a="1"/>
  <c r="A77" i="38" s="1"/>
  <c r="A73" i="38" a="1"/>
  <c r="A73" i="38" s="1"/>
  <c r="A69" i="38" a="1"/>
  <c r="A69" i="38" s="1"/>
  <c r="A63" i="38" a="1"/>
  <c r="A63" i="38" s="1"/>
  <c r="A59" i="38" a="1"/>
  <c r="A59" i="38" s="1"/>
  <c r="A55" i="38" a="1"/>
  <c r="A55" i="38" s="1"/>
  <c r="A49" i="38" a="1"/>
  <c r="A49" i="38" s="1"/>
  <c r="A45" i="38" a="1"/>
  <c r="A45" i="38" s="1"/>
  <c r="A41" i="38" a="1"/>
  <c r="A41" i="38" s="1"/>
  <c r="A35" i="38" a="1"/>
  <c r="A35" i="38" s="1"/>
  <c r="A31" i="38" a="1"/>
  <c r="A31" i="38" s="1"/>
  <c r="A25" i="38" a="1"/>
  <c r="A25" i="38" s="1"/>
  <c r="A21" i="38" a="1"/>
  <c r="A21" i="38" s="1"/>
  <c r="A17" i="38" a="1"/>
  <c r="A17" i="38" s="1"/>
  <c r="A11" i="38" a="1"/>
  <c r="A11" i="38" s="1"/>
  <c r="A7" i="38" a="1"/>
  <c r="A7" i="38" s="1"/>
  <c r="A3" i="38" a="1"/>
  <c r="A3" i="38" s="1"/>
  <c r="A87" i="37" a="1"/>
  <c r="A87" i="37" s="1"/>
  <c r="A83" i="37" a="1"/>
  <c r="A83" i="37" s="1"/>
  <c r="A75" i="37" a="1"/>
  <c r="A75" i="37" s="1"/>
  <c r="A71" i="37" a="1"/>
  <c r="A71" i="37" s="1"/>
  <c r="A67" i="37" a="1"/>
  <c r="A67" i="37" s="1"/>
  <c r="A61" i="37" a="1"/>
  <c r="A61" i="37" s="1"/>
  <c r="A57" i="37" a="1"/>
  <c r="A57" i="37" s="1"/>
  <c r="A51" i="37" a="1"/>
  <c r="A51" i="37" s="1"/>
  <c r="A47" i="37" a="1"/>
  <c r="A47" i="37" s="1"/>
  <c r="A43" i="37" a="1"/>
  <c r="A43" i="37" s="1"/>
  <c r="I35" i="39" a="1"/>
  <c r="I35" i="39" s="1"/>
  <c r="I43" i="39" a="1"/>
  <c r="I43" i="39" s="1"/>
  <c r="I88" i="39" a="1"/>
  <c r="I88" i="39" s="1"/>
  <c r="I70" i="39" a="1"/>
  <c r="I70" i="39" s="1"/>
  <c r="A89" i="39" a="1"/>
  <c r="A89" i="39" s="1"/>
  <c r="A71" i="39" a="1"/>
  <c r="A71" i="39" s="1"/>
  <c r="A51" i="39" a="1"/>
  <c r="A51" i="39" s="1"/>
  <c r="A33" i="39" a="1"/>
  <c r="A33" i="39" s="1"/>
  <c r="A15" i="39" a="1"/>
  <c r="A15" i="39" s="1"/>
  <c r="A86" i="38" a="1"/>
  <c r="A86" i="38" s="1"/>
  <c r="A68" i="38" a="1"/>
  <c r="A68" i="38" s="1"/>
  <c r="A48" i="38" a="1"/>
  <c r="A48" i="38" s="1"/>
  <c r="A30" i="38" a="1"/>
  <c r="A30" i="38" s="1"/>
  <c r="A10" i="38" a="1"/>
  <c r="A10" i="38" s="1"/>
  <c r="A86" i="37" a="1"/>
  <c r="A86" i="37" s="1"/>
  <c r="A73" i="37" a="1"/>
  <c r="A73" i="37" s="1"/>
  <c r="A63" i="37" a="1"/>
  <c r="A63" i="37" s="1"/>
  <c r="A55" i="37" a="1"/>
  <c r="A55" i="37" s="1"/>
  <c r="A45" i="37" a="1"/>
  <c r="A45" i="37" s="1"/>
  <c r="A36" i="37" a="1"/>
  <c r="A36" i="37" s="1"/>
  <c r="A31" i="37" a="1"/>
  <c r="A31" i="37" s="1"/>
  <c r="A23" i="37" a="1"/>
  <c r="A23" i="37" s="1"/>
  <c r="A18" i="37" a="1"/>
  <c r="A18" i="37" s="1"/>
  <c r="A11" i="37" a="1"/>
  <c r="A11" i="37" s="1"/>
  <c r="A5" i="37" a="1"/>
  <c r="A5" i="37" s="1"/>
  <c r="A87" i="36" a="1"/>
  <c r="A87" i="36" s="1"/>
  <c r="A83" i="36" a="1"/>
  <c r="A83" i="36" s="1"/>
  <c r="A75" i="36" a="1"/>
  <c r="A75" i="36" s="1"/>
  <c r="A71" i="36" a="1"/>
  <c r="A71" i="36" s="1"/>
  <c r="A67" i="36" a="1"/>
  <c r="A67" i="36" s="1"/>
  <c r="A61" i="36" a="1"/>
  <c r="A61" i="36" s="1"/>
  <c r="A57" i="36" a="1"/>
  <c r="A57" i="36" s="1"/>
  <c r="A51" i="36" a="1"/>
  <c r="A51" i="36" s="1"/>
  <c r="D51" i="36" s="1" a="1"/>
  <c r="D51" i="36" s="1"/>
  <c r="A47" i="36" a="1"/>
  <c r="A47" i="36" s="1"/>
  <c r="A43" i="36" a="1"/>
  <c r="A43" i="36" s="1"/>
  <c r="A37" i="36" a="1"/>
  <c r="A37" i="36" s="1"/>
  <c r="D37" i="36" s="1" a="1"/>
  <c r="D37" i="36" s="1"/>
  <c r="A33" i="36" a="1"/>
  <c r="A33" i="36" s="1"/>
  <c r="A29" i="36" a="1"/>
  <c r="A29" i="36" s="1"/>
  <c r="A23" i="36" a="1"/>
  <c r="A23" i="36" s="1"/>
  <c r="A19" i="36" a="1"/>
  <c r="A19" i="36" s="1"/>
  <c r="A15" i="36" a="1"/>
  <c r="A15" i="36" s="1"/>
  <c r="A9" i="36" a="1"/>
  <c r="A9" i="36" s="1"/>
  <c r="A5" i="36" a="1"/>
  <c r="A5" i="36" s="1"/>
  <c r="A88" i="30" a="1"/>
  <c r="A88" i="30" s="1"/>
  <c r="A84" i="30" a="1"/>
  <c r="A84" i="30" s="1"/>
  <c r="A80" i="30" a="1"/>
  <c r="A80" i="30" s="1"/>
  <c r="A28" i="30" a="1"/>
  <c r="A28" i="30" s="1"/>
  <c r="I23" i="39" a="1"/>
  <c r="I23" i="39" s="1"/>
  <c r="I31" i="39" a="1"/>
  <c r="I31" i="39" s="1"/>
  <c r="I63" i="39" a="1"/>
  <c r="I63" i="39" s="1"/>
  <c r="I84" i="39" a="1"/>
  <c r="I84" i="39" s="1"/>
  <c r="I12" i="39" a="1"/>
  <c r="I12" i="39" s="1"/>
  <c r="A85" i="39" a="1"/>
  <c r="A85" i="39" s="1"/>
  <c r="A67" i="39" a="1"/>
  <c r="A67" i="39" s="1"/>
  <c r="A47" i="39" a="1"/>
  <c r="A47" i="39" s="1"/>
  <c r="A29" i="39" a="1"/>
  <c r="A29" i="39" s="1"/>
  <c r="A9" i="39" a="1"/>
  <c r="A9" i="39" s="1"/>
  <c r="A82" i="38" a="1"/>
  <c r="A82" i="38" s="1"/>
  <c r="A62" i="38" a="1"/>
  <c r="A62" i="38" s="1"/>
  <c r="A44" i="38" a="1"/>
  <c r="A44" i="38" s="1"/>
  <c r="A24" i="38" a="1"/>
  <c r="A24" i="38" s="1"/>
  <c r="A6" i="38" a="1"/>
  <c r="A6" i="38" s="1"/>
  <c r="A85" i="37" a="1"/>
  <c r="A85" i="37" s="1"/>
  <c r="A70" i="37" a="1"/>
  <c r="A70" i="37" s="1"/>
  <c r="A60" i="37" a="1"/>
  <c r="A60" i="37" s="1"/>
  <c r="A50" i="37" a="1"/>
  <c r="A50" i="37" s="1"/>
  <c r="A42" i="37" a="1"/>
  <c r="A42" i="37" s="1"/>
  <c r="A35" i="37" a="1"/>
  <c r="A35" i="37" s="1"/>
  <c r="A29" i="37" a="1"/>
  <c r="A29" i="37" s="1"/>
  <c r="A22" i="37" a="1"/>
  <c r="A22" i="37" s="1"/>
  <c r="A17" i="37" a="1"/>
  <c r="A17" i="37" s="1"/>
  <c r="A9" i="37" a="1"/>
  <c r="A9" i="37" s="1"/>
  <c r="A4" i="37" a="1"/>
  <c r="A4" i="37" s="1"/>
  <c r="A90" i="36" a="1"/>
  <c r="A90" i="36" s="1"/>
  <c r="A86" i="36" a="1"/>
  <c r="A86" i="36" s="1"/>
  <c r="A82" i="36" a="1"/>
  <c r="A82" i="36" s="1"/>
  <c r="A74" i="36" a="1"/>
  <c r="A74" i="36" s="1"/>
  <c r="A70" i="36" a="1"/>
  <c r="A70" i="36" s="1"/>
  <c r="A64" i="36" a="1"/>
  <c r="A64" i="36" s="1"/>
  <c r="D64" i="36" s="1" a="1"/>
  <c r="D64" i="36" s="1"/>
  <c r="A60" i="36" a="1"/>
  <c r="A60" i="36" s="1"/>
  <c r="A56" i="36" a="1"/>
  <c r="A56" i="36" s="1"/>
  <c r="A50" i="36" a="1"/>
  <c r="A50" i="36" s="1"/>
  <c r="D50" i="36" s="1" a="1"/>
  <c r="D50" i="36" s="1"/>
  <c r="A46" i="36" a="1"/>
  <c r="A46" i="36" s="1"/>
  <c r="A42" i="36" a="1"/>
  <c r="A42" i="36" s="1"/>
  <c r="A36" i="36" a="1"/>
  <c r="A36" i="36" s="1"/>
  <c r="A32" i="36" a="1"/>
  <c r="A32" i="36" s="1"/>
  <c r="A28" i="36" a="1"/>
  <c r="A28" i="36" s="1"/>
  <c r="A22" i="36" a="1"/>
  <c r="A22" i="36" s="1"/>
  <c r="A18" i="36" a="1"/>
  <c r="A18" i="36" s="1"/>
  <c r="A12" i="36" a="1"/>
  <c r="A12" i="36" s="1"/>
  <c r="D12" i="36" s="1" a="1"/>
  <c r="D12" i="36" s="1"/>
  <c r="A8" i="36" a="1"/>
  <c r="A8" i="36" s="1"/>
  <c r="A4" i="36" a="1"/>
  <c r="A4" i="36" s="1"/>
  <c r="A87" i="30" a="1"/>
  <c r="A87" i="30" s="1"/>
  <c r="A83" i="30" a="1"/>
  <c r="A83" i="30" s="1"/>
  <c r="A67" i="30" a="1"/>
  <c r="A67" i="30" s="1"/>
  <c r="A15" i="30" a="1"/>
  <c r="A15" i="30" s="1"/>
  <c r="A25" i="36" a="1"/>
  <c r="A25" i="36" s="1"/>
  <c r="D25" i="36" s="1"/>
  <c r="A21" i="36" a="1"/>
  <c r="A21" i="36" s="1"/>
  <c r="A17" i="36" a="1"/>
  <c r="A17" i="36" s="1"/>
  <c r="A11" i="36" a="1"/>
  <c r="A11" i="36" s="1"/>
  <c r="D11" i="36" s="1" a="1"/>
  <c r="D11" i="36" s="1"/>
  <c r="A7" i="36" a="1"/>
  <c r="A7" i="36" s="1"/>
  <c r="A3" i="36" a="1"/>
  <c r="A3" i="36" s="1"/>
  <c r="I19" i="39" a="1"/>
  <c r="I19" i="39" s="1"/>
  <c r="I51" i="39" a="1"/>
  <c r="I51" i="39" s="1"/>
  <c r="I59" i="39" a="1"/>
  <c r="I59" i="39" s="1"/>
  <c r="I80" i="39" a="1"/>
  <c r="I80" i="39" s="1"/>
  <c r="I8" i="39" a="1"/>
  <c r="I8" i="39" s="1"/>
  <c r="A81" i="39" a="1"/>
  <c r="A81" i="39" s="1"/>
  <c r="A61" i="39" a="1"/>
  <c r="A61" i="39" s="1"/>
  <c r="A43" i="39" a="1"/>
  <c r="A43" i="39" s="1"/>
  <c r="A23" i="39" a="1"/>
  <c r="A23" i="39" s="1"/>
  <c r="A5" i="39" a="1"/>
  <c r="A5" i="39" s="1"/>
  <c r="A76" i="38" a="1"/>
  <c r="A76" i="38" s="1"/>
  <c r="A58" i="38" a="1"/>
  <c r="A58" i="38" s="1"/>
  <c r="A38" i="38" a="1"/>
  <c r="A38" i="38" s="1"/>
  <c r="A20" i="38" a="1"/>
  <c r="A20" i="38" s="1"/>
  <c r="A2" i="38" a="1"/>
  <c r="A2" i="38" s="1"/>
  <c r="A90" i="37" a="1"/>
  <c r="A90" i="37" s="1"/>
  <c r="A82" i="37" a="1"/>
  <c r="A82" i="37" s="1"/>
  <c r="A77" i="37" a="1"/>
  <c r="A77" i="37" s="1"/>
  <c r="A69" i="37" a="1"/>
  <c r="A69" i="37" s="1"/>
  <c r="A59" i="37" a="1"/>
  <c r="A59" i="37" s="1"/>
  <c r="A49" i="37" a="1"/>
  <c r="A49" i="37" s="1"/>
  <c r="A41" i="37" a="1"/>
  <c r="A41" i="37" s="1"/>
  <c r="A33" i="37" a="1"/>
  <c r="A33" i="37" s="1"/>
  <c r="A28" i="37" a="1"/>
  <c r="A28" i="37" s="1"/>
  <c r="A21" i="37" a="1"/>
  <c r="A21" i="37" s="1"/>
  <c r="A15" i="37" a="1"/>
  <c r="A15" i="37" s="1"/>
  <c r="A8" i="37" a="1"/>
  <c r="A8" i="37" s="1"/>
  <c r="A3" i="37" a="1"/>
  <c r="A3" i="37" s="1"/>
  <c r="A89" i="36" a="1"/>
  <c r="A89" i="36" s="1"/>
  <c r="A85" i="36" a="1"/>
  <c r="A85" i="36" s="1"/>
  <c r="A81" i="36" a="1"/>
  <c r="A81" i="36" s="1"/>
  <c r="A77" i="36" a="1"/>
  <c r="A77" i="36" s="1"/>
  <c r="D77" i="36" s="1" a="1"/>
  <c r="D77" i="36" s="1"/>
  <c r="A73" i="36" a="1"/>
  <c r="A73" i="36" s="1"/>
  <c r="A69" i="36" a="1"/>
  <c r="A69" i="36" s="1"/>
  <c r="A63" i="36" a="1"/>
  <c r="A63" i="36" s="1"/>
  <c r="D63" i="36" s="1" a="1"/>
  <c r="D63" i="36" s="1"/>
  <c r="A59" i="36" a="1"/>
  <c r="A59" i="36" s="1"/>
  <c r="A55" i="36" a="1"/>
  <c r="A55" i="36" s="1"/>
  <c r="A49" i="36" a="1"/>
  <c r="A49" i="36" s="1"/>
  <c r="A45" i="36" a="1"/>
  <c r="A45" i="36" s="1"/>
  <c r="A41" i="36" a="1"/>
  <c r="A41" i="36" s="1"/>
  <c r="A35" i="36" a="1"/>
  <c r="A35" i="36" s="1"/>
  <c r="A31" i="36" a="1"/>
  <c r="A31" i="36" s="1"/>
  <c r="I74" i="39" a="1"/>
  <c r="I74" i="39" s="1"/>
  <c r="A37" i="39" a="1"/>
  <c r="A37" i="39" s="1"/>
  <c r="A54" i="38" a="1"/>
  <c r="A54" i="38" s="1"/>
  <c r="A56" i="37" a="1"/>
  <c r="A56" i="37" s="1"/>
  <c r="A25" i="37" a="1"/>
  <c r="A25" i="37" s="1"/>
  <c r="A80" i="36" a="1"/>
  <c r="A80" i="36" s="1"/>
  <c r="A72" i="36" a="1"/>
  <c r="A72" i="36" s="1"/>
  <c r="A54" i="36" a="1"/>
  <c r="A54" i="36" s="1"/>
  <c r="A34" i="36" a="1"/>
  <c r="A34" i="36" s="1"/>
  <c r="A16" i="36" a="1"/>
  <c r="A16" i="36" s="1"/>
  <c r="A81" i="30" a="1"/>
  <c r="A81" i="30" s="1"/>
  <c r="I47" i="39" a="1"/>
  <c r="I47" i="39" s="1"/>
  <c r="A90" i="38" a="1"/>
  <c r="A90" i="38" s="1"/>
  <c r="A74" i="37" a="1"/>
  <c r="A74" i="37" s="1"/>
  <c r="A37" i="37" a="1"/>
  <c r="A37" i="37" s="1"/>
  <c r="A62" i="36" a="1"/>
  <c r="A62" i="36" s="1"/>
  <c r="A24" i="36" a="1"/>
  <c r="A24" i="36" s="1"/>
  <c r="D24" i="36" s="1" a="1"/>
  <c r="D24" i="36" s="1"/>
  <c r="A41" i="30" a="1"/>
  <c r="A41" i="30" s="1"/>
  <c r="I55" i="39" a="1"/>
  <c r="I55" i="39" s="1"/>
  <c r="A72" i="38" a="1"/>
  <c r="A72" i="38" s="1"/>
  <c r="A81" i="37" a="1"/>
  <c r="A81" i="37" s="1"/>
  <c r="A32" i="37" a="1"/>
  <c r="A32" i="37" s="1"/>
  <c r="A76" i="36" a="1"/>
  <c r="A76" i="36" s="1"/>
  <c r="D76" i="36" s="1" a="1"/>
  <c r="D76" i="36" s="1"/>
  <c r="A58" i="36" a="1"/>
  <c r="A58" i="36" s="1"/>
  <c r="A20" i="36" a="1"/>
  <c r="A20" i="36" s="1"/>
  <c r="A90" i="30" a="1"/>
  <c r="A90" i="30" s="1"/>
  <c r="A82" i="30" a="1"/>
  <c r="A82" i="30" s="1"/>
  <c r="I15" i="39" a="1"/>
  <c r="I15" i="39" s="1"/>
  <c r="I4" i="39" a="1"/>
  <c r="I4" i="39" s="1"/>
  <c r="A19" i="39" a="1"/>
  <c r="A19" i="39" s="1"/>
  <c r="A34" i="38" a="1"/>
  <c r="A34" i="38" s="1"/>
  <c r="A46" i="37" a="1"/>
  <c r="A46" i="37" s="1"/>
  <c r="A19" i="37" a="1"/>
  <c r="A19" i="37" s="1"/>
  <c r="A68" i="36" a="1"/>
  <c r="A68" i="36" s="1"/>
  <c r="A48" i="36" a="1"/>
  <c r="A48" i="36" s="1"/>
  <c r="A30" i="36" a="1"/>
  <c r="A30" i="36" s="1"/>
  <c r="A10" i="36" a="1"/>
  <c r="A10" i="36" s="1"/>
  <c r="A86" i="30" a="1"/>
  <c r="A86" i="30" s="1"/>
  <c r="A54" i="30" a="1"/>
  <c r="A54" i="30" s="1"/>
  <c r="A75" i="39" a="1"/>
  <c r="A75" i="39" s="1"/>
  <c r="A16" i="38" a="1"/>
  <c r="A16" i="38" s="1"/>
  <c r="A89" i="37" a="1"/>
  <c r="A89" i="37" s="1"/>
  <c r="A12" i="37" a="1"/>
  <c r="A12" i="37" s="1"/>
  <c r="A88" i="36" a="1"/>
  <c r="A88" i="36" s="1"/>
  <c r="A44" i="36" a="1"/>
  <c r="A44" i="36" s="1"/>
  <c r="A6" i="36" a="1"/>
  <c r="A6" i="36" s="1"/>
  <c r="A85" i="30" a="1"/>
  <c r="A85" i="30" s="1"/>
  <c r="A57" i="39" a="1"/>
  <c r="A57" i="39" s="1"/>
  <c r="A64" i="37" a="1"/>
  <c r="A64" i="37" s="1"/>
  <c r="A7" i="37" a="1"/>
  <c r="A7" i="37" s="1"/>
  <c r="A84" i="36" a="1"/>
  <c r="A84" i="36" s="1"/>
  <c r="A38" i="36" a="1"/>
  <c r="A38" i="36" s="1"/>
  <c r="D38" i="36" s="1" a="1"/>
  <c r="D38" i="36" s="1"/>
  <c r="A2" i="36" a="1"/>
  <c r="A2" i="36" s="1"/>
  <c r="A2" i="30" a="1"/>
  <c r="A2" i="30" s="1"/>
  <c r="A89" i="30" a="1"/>
  <c r="A89" i="30" s="1"/>
  <c r="A22" i="30" a="1"/>
  <c r="A22" i="30" s="1"/>
  <c r="A34" i="30" a="1"/>
  <c r="A34" i="30" s="1"/>
  <c r="A68" i="30" a="1"/>
  <c r="A68" i="30" s="1"/>
  <c r="A31" i="30" a="1"/>
  <c r="A31" i="30" s="1"/>
  <c r="A69" i="30" a="1"/>
  <c r="A69" i="30" s="1"/>
  <c r="A74" i="30" a="1"/>
  <c r="A74" i="30" s="1"/>
  <c r="A19" i="30" a="1"/>
  <c r="A19" i="30" s="1"/>
  <c r="A57" i="30" a="1"/>
  <c r="A57" i="30" s="1"/>
  <c r="A46" i="30" a="1"/>
  <c r="A46" i="30" s="1"/>
  <c r="A44" i="30" a="1"/>
  <c r="A44" i="30" s="1"/>
  <c r="A72" i="30" a="1"/>
  <c r="A72" i="30" s="1"/>
  <c r="A35" i="30" a="1"/>
  <c r="A35" i="30" s="1"/>
  <c r="A73" i="30" a="1"/>
  <c r="A73" i="30" s="1"/>
  <c r="A18" i="30" a="1"/>
  <c r="A18" i="30" s="1"/>
  <c r="A33" i="30" a="1"/>
  <c r="A33" i="30" s="1"/>
  <c r="A61" i="30" a="1"/>
  <c r="A61" i="30" s="1"/>
  <c r="A55" i="30" a="1"/>
  <c r="A55" i="30" s="1"/>
  <c r="A42" i="30" a="1"/>
  <c r="A42" i="30" s="1"/>
  <c r="A16" i="30" a="1"/>
  <c r="A16" i="30" s="1"/>
  <c r="A20" i="30" a="1"/>
  <c r="A20" i="30" s="1"/>
  <c r="A48" i="30" a="1"/>
  <c r="A48" i="30" s="1"/>
  <c r="A17" i="30" a="1"/>
  <c r="A17" i="30" s="1"/>
  <c r="A45" i="30" a="1"/>
  <c r="A45" i="30" s="1"/>
  <c r="A60" i="30" a="1"/>
  <c r="A60" i="30" s="1"/>
  <c r="A32" i="30" a="1"/>
  <c r="A32" i="30" s="1"/>
  <c r="A43" i="30" a="1"/>
  <c r="A43" i="30" s="1"/>
  <c r="A71" i="30" a="1"/>
  <c r="A71" i="30" s="1"/>
  <c r="A75" i="30" a="1"/>
  <c r="A75" i="30" s="1"/>
  <c r="A30" i="30" a="1"/>
  <c r="A30" i="30" s="1"/>
  <c r="A58" i="30" a="1"/>
  <c r="A58" i="30" s="1"/>
  <c r="A21" i="30" a="1"/>
  <c r="A21" i="30" s="1"/>
  <c r="A59" i="30" a="1"/>
  <c r="A59" i="30" s="1"/>
  <c r="A70" i="30" a="1"/>
  <c r="A70" i="30" s="1"/>
  <c r="A56" i="30" a="1"/>
  <c r="A56" i="30" s="1"/>
  <c r="A47" i="30" a="1"/>
  <c r="A47" i="30" s="1"/>
  <c r="A29" i="30" a="1"/>
  <c r="A29" i="30" s="1"/>
  <c r="A4" i="30" a="1"/>
  <c r="A4" i="30" s="1"/>
  <c r="A24" i="30" a="1"/>
  <c r="A24" i="30" s="1"/>
  <c r="A8" i="30" a="1"/>
  <c r="A8" i="30" s="1"/>
  <c r="A37" i="30" a="1"/>
  <c r="A37" i="30" s="1"/>
  <c r="A63" i="30" a="1"/>
  <c r="A63" i="30" s="1"/>
  <c r="A25" i="30" a="1"/>
  <c r="A25" i="30" s="1"/>
  <c r="A38" i="30" a="1"/>
  <c r="A38" i="30" s="1"/>
  <c r="A77" i="30" a="1"/>
  <c r="A77" i="30" s="1"/>
  <c r="A6" i="30" a="1"/>
  <c r="A6" i="30" s="1"/>
  <c r="A51" i="30" a="1"/>
  <c r="A51" i="30" s="1"/>
  <c r="A3" i="30" a="1"/>
  <c r="A3" i="30" s="1"/>
  <c r="A5" i="30" a="1"/>
  <c r="A5" i="30" s="1"/>
  <c r="A36" i="30" a="1"/>
  <c r="A36" i="30" s="1"/>
  <c r="A64" i="30" a="1"/>
  <c r="A64" i="30" s="1"/>
  <c r="A7" i="30" a="1"/>
  <c r="A7" i="30" s="1"/>
  <c r="A49" i="30" a="1"/>
  <c r="A49" i="30" s="1"/>
  <c r="A9" i="30" a="1"/>
  <c r="A9" i="30" s="1"/>
  <c r="A23" i="30" a="1"/>
  <c r="A23" i="30" s="1"/>
  <c r="A50" i="30" a="1"/>
  <c r="A50" i="30" s="1"/>
  <c r="A76" i="30" a="1"/>
  <c r="A76" i="30" s="1"/>
  <c r="A62" i="30" a="1"/>
  <c r="A62" i="30" s="1"/>
  <c r="A12" i="30" a="1"/>
  <c r="A12" i="30" s="1"/>
  <c r="A11" i="30" a="1"/>
  <c r="A11" i="30" s="1"/>
  <c r="A10" i="30" a="1"/>
  <c r="A10" i="30" s="1"/>
  <c r="O41" i="8"/>
  <c r="O155" i="8"/>
  <c r="O181" i="8"/>
  <c r="O4" i="8"/>
  <c r="O192" i="8"/>
  <c r="O247" i="8"/>
  <c r="O109" i="8"/>
  <c r="B28" i="8"/>
  <c r="B26" i="27" s="1"/>
  <c r="N160" i="8"/>
  <c r="N28" i="8"/>
  <c r="N94" i="8"/>
  <c r="N226" i="8"/>
  <c r="N34" i="8"/>
  <c r="B34" i="8"/>
  <c r="B32" i="27" s="1"/>
  <c r="N232" i="8"/>
  <c r="N166" i="8"/>
  <c r="N100" i="8"/>
  <c r="N111" i="8"/>
  <c r="N45" i="8"/>
  <c r="N177" i="8"/>
  <c r="N243" i="8"/>
  <c r="B45" i="8"/>
  <c r="B43" i="27" s="1"/>
  <c r="B24" i="8"/>
  <c r="B22" i="27" s="1"/>
  <c r="N156" i="8"/>
  <c r="N222" i="8"/>
  <c r="N90" i="8"/>
  <c r="N24" i="8"/>
  <c r="B49" i="8"/>
  <c r="B47" i="27" s="1"/>
  <c r="N115" i="8"/>
  <c r="N247" i="8"/>
  <c r="N49" i="8"/>
  <c r="N181" i="8"/>
  <c r="B22" i="8"/>
  <c r="B20" i="27" s="1"/>
  <c r="N22" i="8"/>
  <c r="N220" i="8"/>
  <c r="N88" i="8"/>
  <c r="N154" i="8"/>
  <c r="N213" i="8"/>
  <c r="N81" i="8"/>
  <c r="B15" i="8"/>
  <c r="B13" i="27" s="1"/>
  <c r="N15" i="8"/>
  <c r="N147" i="8"/>
  <c r="B12" i="8"/>
  <c r="B10" i="27" s="1"/>
  <c r="N78" i="8"/>
  <c r="N144" i="8"/>
  <c r="N12" i="8"/>
  <c r="N210" i="8"/>
  <c r="B26" i="8"/>
  <c r="B24" i="27" s="1"/>
  <c r="N92" i="8"/>
  <c r="N158" i="8"/>
  <c r="N224" i="8"/>
  <c r="N26" i="8"/>
  <c r="B63" i="8"/>
  <c r="B61" i="27" s="1"/>
  <c r="N261" i="8"/>
  <c r="N195" i="8"/>
  <c r="N63" i="8"/>
  <c r="N129" i="8"/>
  <c r="N142" i="8"/>
  <c r="B10" i="8"/>
  <c r="B8" i="27" s="1"/>
  <c r="N208" i="8"/>
  <c r="N10" i="8"/>
  <c r="N76" i="8"/>
  <c r="N114" i="8"/>
  <c r="N246" i="8"/>
  <c r="B48" i="8"/>
  <c r="B46" i="27" s="1"/>
  <c r="N48" i="8"/>
  <c r="N180" i="8"/>
  <c r="B60" i="8"/>
  <c r="B58" i="27" s="1"/>
  <c r="N60" i="8"/>
  <c r="N258" i="8"/>
  <c r="N126" i="8"/>
  <c r="N192" i="8"/>
  <c r="B55" i="8"/>
  <c r="B53" i="27" s="1"/>
  <c r="N55" i="8"/>
  <c r="N253" i="8"/>
  <c r="N187" i="8"/>
  <c r="N121" i="8"/>
  <c r="N173" i="8"/>
  <c r="B41" i="8"/>
  <c r="B39" i="27" s="1"/>
  <c r="N239" i="8"/>
  <c r="N41" i="8"/>
  <c r="N107" i="8"/>
  <c r="N47" i="8"/>
  <c r="B47" i="8"/>
  <c r="B45" i="27" s="1"/>
  <c r="N245" i="8"/>
  <c r="N113" i="8"/>
  <c r="N179" i="8"/>
  <c r="N136" i="8"/>
  <c r="N84" i="8"/>
  <c r="N18" i="8"/>
  <c r="N150" i="8"/>
  <c r="N216" i="8"/>
  <c r="B18" i="8"/>
  <c r="B16" i="27" s="1"/>
  <c r="N4" i="8"/>
  <c r="N69" i="8"/>
  <c r="N267" i="8"/>
  <c r="B69" i="8"/>
  <c r="B67" i="27" s="1"/>
  <c r="N135" i="8"/>
  <c r="N201" i="8"/>
  <c r="B54" i="8"/>
  <c r="B52" i="27" s="1"/>
  <c r="N54" i="8"/>
  <c r="N186" i="8"/>
  <c r="N120" i="8"/>
  <c r="N252" i="8"/>
  <c r="N50" i="8"/>
  <c r="B50" i="8"/>
  <c r="B48" i="27" s="1"/>
  <c r="N248" i="8"/>
  <c r="N182" i="8"/>
  <c r="N116" i="8"/>
  <c r="N23" i="8"/>
  <c r="N221" i="8"/>
  <c r="B23" i="8"/>
  <c r="B21" i="27" s="1"/>
  <c r="N89" i="8"/>
  <c r="N155" i="8"/>
  <c r="B62" i="8"/>
  <c r="B60" i="27" s="1"/>
  <c r="N62" i="8"/>
  <c r="N194" i="8"/>
  <c r="N128" i="8"/>
  <c r="N260" i="8"/>
  <c r="B44" i="8"/>
  <c r="B42" i="27" s="1"/>
  <c r="N110" i="8"/>
  <c r="N176" i="8"/>
  <c r="N242" i="8"/>
  <c r="N44" i="8"/>
  <c r="B25" i="8"/>
  <c r="B23" i="27" s="1"/>
  <c r="N25" i="8"/>
  <c r="N157" i="8"/>
  <c r="N223" i="8"/>
  <c r="N91" i="8"/>
  <c r="N219" i="8"/>
  <c r="N87" i="8"/>
  <c r="B21" i="8"/>
  <c r="B19" i="27" s="1"/>
  <c r="N153" i="8"/>
  <c r="N21" i="8"/>
  <c r="B4" i="8"/>
  <c r="N70" i="8"/>
  <c r="N202" i="8"/>
  <c r="N77" i="8"/>
  <c r="B11" i="8"/>
  <c r="B9" i="27" s="1"/>
  <c r="N143" i="8"/>
  <c r="N11" i="8"/>
  <c r="N209" i="8"/>
  <c r="N40" i="8"/>
  <c r="B40" i="8"/>
  <c r="B38" i="27" s="1"/>
  <c r="N172" i="8"/>
  <c r="N238" i="8"/>
  <c r="N106" i="8"/>
  <c r="N123" i="8"/>
  <c r="B57" i="8"/>
  <c r="B55" i="27" s="1"/>
  <c r="N255" i="8"/>
  <c r="N189" i="8"/>
  <c r="N57" i="8"/>
  <c r="B33" i="8"/>
  <c r="B31" i="27" s="1"/>
  <c r="N33" i="8"/>
  <c r="N165" i="8"/>
  <c r="N99" i="8"/>
  <c r="N231" i="8"/>
  <c r="B13" i="8"/>
  <c r="B11" i="27" s="1"/>
  <c r="N211" i="8"/>
  <c r="N145" i="8"/>
  <c r="N13" i="8"/>
  <c r="N79" i="8"/>
  <c r="N67" i="8"/>
  <c r="N199" i="8"/>
  <c r="B67" i="8"/>
  <c r="B65" i="27" s="1"/>
  <c r="N265" i="8"/>
  <c r="N133" i="8"/>
  <c r="N122" i="8"/>
  <c r="B56" i="8"/>
  <c r="B54" i="27" s="1"/>
  <c r="N188" i="8"/>
  <c r="N254" i="8"/>
  <c r="N56" i="8"/>
  <c r="B58" i="8"/>
  <c r="B56" i="27" s="1"/>
  <c r="N124" i="8"/>
  <c r="N58" i="8"/>
  <c r="N256" i="8"/>
  <c r="N190" i="8"/>
  <c r="N164" i="8"/>
  <c r="N98" i="8"/>
  <c r="B32" i="8"/>
  <c r="B30" i="27" s="1"/>
  <c r="N230" i="8"/>
  <c r="N32" i="8"/>
  <c r="B31" i="8"/>
  <c r="B29" i="27" s="1"/>
  <c r="N163" i="8"/>
  <c r="N229" i="8"/>
  <c r="N31" i="8"/>
  <c r="N97" i="8"/>
  <c r="B30" i="8"/>
  <c r="B28" i="27" s="1"/>
  <c r="N96" i="8"/>
  <c r="N162" i="8"/>
  <c r="N30" i="8"/>
  <c r="N228" i="8"/>
  <c r="N65" i="8"/>
  <c r="B65" i="8"/>
  <c r="B63" i="27" s="1"/>
  <c r="N197" i="8"/>
  <c r="N263" i="8"/>
  <c r="N131" i="8"/>
  <c r="N264" i="8"/>
  <c r="N66" i="8"/>
  <c r="B66" i="8"/>
  <c r="B64" i="27" s="1"/>
  <c r="N198" i="8"/>
  <c r="N132" i="8"/>
  <c r="B51" i="8"/>
  <c r="B49" i="27" s="1"/>
  <c r="N183" i="8"/>
  <c r="N117" i="8"/>
  <c r="N249" i="8"/>
  <c r="N51" i="8"/>
  <c r="N159" i="8"/>
  <c r="N225" i="8"/>
  <c r="B27" i="8"/>
  <c r="B25" i="27" s="1"/>
  <c r="N93" i="8"/>
  <c r="N27" i="8"/>
  <c r="B38" i="8"/>
  <c r="B36" i="27" s="1"/>
  <c r="N104" i="8"/>
  <c r="N236" i="8"/>
  <c r="N38" i="8"/>
  <c r="N170" i="8"/>
  <c r="B36" i="8"/>
  <c r="B34" i="27" s="1"/>
  <c r="N168" i="8"/>
  <c r="N36" i="8"/>
  <c r="N102" i="8"/>
  <c r="N234" i="8"/>
  <c r="O67" i="8"/>
  <c r="O199" i="8"/>
  <c r="C67" i="8"/>
  <c r="O133" i="8"/>
  <c r="O265" i="8"/>
  <c r="N7" i="8"/>
  <c r="N205" i="8"/>
  <c r="B7" i="8"/>
  <c r="B5" i="27" s="1"/>
  <c r="N139" i="8"/>
  <c r="N73" i="8"/>
  <c r="N262" i="8"/>
  <c r="N64" i="8"/>
  <c r="N196" i="8"/>
  <c r="B64" i="8"/>
  <c r="B62" i="27" s="1"/>
  <c r="N130" i="8"/>
  <c r="B43" i="8"/>
  <c r="B41" i="27" s="1"/>
  <c r="N175" i="8"/>
  <c r="N109" i="8"/>
  <c r="N241" i="8"/>
  <c r="N43" i="8"/>
  <c r="N5" i="8"/>
  <c r="N71" i="8"/>
  <c r="N203" i="8"/>
  <c r="B5" i="8"/>
  <c r="B3" i="27" s="1"/>
  <c r="N137" i="8"/>
  <c r="N14" i="8"/>
  <c r="B14" i="8"/>
  <c r="B12" i="27" s="1"/>
  <c r="N80" i="8"/>
  <c r="N212" i="8"/>
  <c r="N146" i="8"/>
  <c r="N185" i="8"/>
  <c r="B53" i="8"/>
  <c r="B51" i="27" s="1"/>
  <c r="N53" i="8"/>
  <c r="N119" i="8"/>
  <c r="N251" i="8"/>
  <c r="N161" i="8"/>
  <c r="N29" i="8"/>
  <c r="B29" i="8"/>
  <c r="B27" i="27" s="1"/>
  <c r="N95" i="8"/>
  <c r="N227" i="8"/>
  <c r="B68" i="8"/>
  <c r="B66" i="27" s="1"/>
  <c r="N200" i="8"/>
  <c r="N134" i="8"/>
  <c r="N68" i="8"/>
  <c r="N266" i="8"/>
  <c r="N72" i="8"/>
  <c r="B6" i="8"/>
  <c r="B4" i="27" s="1"/>
  <c r="N138" i="8"/>
  <c r="N6" i="8"/>
  <c r="N204" i="8"/>
  <c r="N174" i="8"/>
  <c r="B42" i="8"/>
  <c r="B40" i="27" s="1"/>
  <c r="N240" i="8"/>
  <c r="N42" i="8"/>
  <c r="N108" i="8"/>
  <c r="N233" i="8"/>
  <c r="N167" i="8"/>
  <c r="B35" i="8"/>
  <c r="B33" i="27" s="1"/>
  <c r="N35" i="8"/>
  <c r="N101" i="8"/>
  <c r="N184" i="8"/>
  <c r="N250" i="8"/>
  <c r="N52" i="8"/>
  <c r="N118" i="8"/>
  <c r="B52" i="8"/>
  <c r="B50" i="27" s="1"/>
  <c r="N140" i="8"/>
  <c r="N206" i="8"/>
  <c r="B8" i="8"/>
  <c r="B6" i="27" s="1"/>
  <c r="N74" i="8"/>
  <c r="N8" i="8"/>
  <c r="N82" i="8"/>
  <c r="B16" i="8"/>
  <c r="B14" i="27" s="1"/>
  <c r="N148" i="8"/>
  <c r="N16" i="8"/>
  <c r="N214" i="8"/>
  <c r="B37" i="8"/>
  <c r="B35" i="27" s="1"/>
  <c r="N103" i="8"/>
  <c r="N235" i="8"/>
  <c r="N169" i="8"/>
  <c r="N37" i="8"/>
  <c r="B61" i="8"/>
  <c r="B59" i="27" s="1"/>
  <c r="N127" i="8"/>
  <c r="N259" i="8"/>
  <c r="N193" i="8"/>
  <c r="N61" i="8"/>
  <c r="N75" i="8"/>
  <c r="B9" i="8"/>
  <c r="B7" i="27" s="1"/>
  <c r="N141" i="8"/>
  <c r="N207" i="8"/>
  <c r="N9" i="8"/>
  <c r="B46" i="8"/>
  <c r="B44" i="27" s="1"/>
  <c r="N244" i="8"/>
  <c r="N178" i="8"/>
  <c r="N46" i="8"/>
  <c r="N112" i="8"/>
  <c r="N218" i="8"/>
  <c r="B20" i="8"/>
  <c r="B18" i="27" s="1"/>
  <c r="N152" i="8"/>
  <c r="N20" i="8"/>
  <c r="N86" i="8"/>
  <c r="N39" i="8"/>
  <c r="B39" i="8"/>
  <c r="B37" i="27" s="1"/>
  <c r="N105" i="8"/>
  <c r="N237" i="8"/>
  <c r="N171" i="8"/>
  <c r="B19" i="8"/>
  <c r="B17" i="27" s="1"/>
  <c r="N85" i="8"/>
  <c r="N19" i="8"/>
  <c r="N217" i="8"/>
  <c r="N151" i="8"/>
  <c r="N149" i="8"/>
  <c r="N215" i="8"/>
  <c r="B17" i="8"/>
  <c r="B15" i="27" s="1"/>
  <c r="N83" i="8"/>
  <c r="N17" i="8"/>
  <c r="C59" i="8"/>
  <c r="O257" i="8"/>
  <c r="O125" i="8"/>
  <c r="O191" i="8"/>
  <c r="O59" i="8"/>
  <c r="C30" i="8"/>
  <c r="O30" i="8"/>
  <c r="O96" i="8"/>
  <c r="O228" i="8"/>
  <c r="O162" i="8"/>
  <c r="O179" i="8"/>
  <c r="C47" i="8"/>
  <c r="O245" i="8"/>
  <c r="O47" i="8"/>
  <c r="O113" i="8"/>
  <c r="O71" i="8"/>
  <c r="C5" i="8"/>
  <c r="O203" i="8"/>
  <c r="O137" i="8"/>
  <c r="O5" i="8"/>
  <c r="C18" i="8"/>
  <c r="O150" i="8"/>
  <c r="O216" i="8"/>
  <c r="O84" i="8"/>
  <c r="O18" i="8"/>
  <c r="B59" i="8"/>
  <c r="B57" i="27" s="1"/>
  <c r="N125" i="8"/>
  <c r="N257" i="8"/>
  <c r="N191" i="8"/>
  <c r="N59" i="8"/>
  <c r="O118" i="8"/>
  <c r="C52" i="8"/>
  <c r="O250" i="8"/>
  <c r="O184" i="8"/>
  <c r="O52" i="8"/>
  <c r="C24" i="8"/>
  <c r="O24" i="8"/>
  <c r="O156" i="8"/>
  <c r="O90" i="8"/>
  <c r="O222" i="8"/>
  <c r="C12" i="8"/>
  <c r="O78" i="8"/>
  <c r="O210" i="8"/>
  <c r="O12" i="8"/>
  <c r="O144" i="8"/>
  <c r="C54" i="8"/>
  <c r="O120" i="8"/>
  <c r="O186" i="8"/>
  <c r="O252" i="8"/>
  <c r="O54" i="8"/>
  <c r="O82" i="8"/>
  <c r="C16" i="8"/>
  <c r="O214" i="8"/>
  <c r="O16" i="8"/>
  <c r="O148" i="8"/>
  <c r="C11" i="8"/>
  <c r="O11" i="8"/>
  <c r="O143" i="8"/>
  <c r="O77" i="8"/>
  <c r="O209" i="8"/>
  <c r="O145" i="8"/>
  <c r="C13" i="8"/>
  <c r="O79" i="8"/>
  <c r="O13" i="8"/>
  <c r="C56" i="8"/>
  <c r="O254" i="8"/>
  <c r="O56" i="8"/>
  <c r="O122" i="8"/>
  <c r="O188" i="8"/>
  <c r="C50" i="8"/>
  <c r="O50" i="8"/>
  <c r="O182" i="8"/>
  <c r="O116" i="8"/>
  <c r="O248" i="8"/>
  <c r="O94" i="8"/>
  <c r="O28" i="8"/>
  <c r="C28" i="8"/>
  <c r="O226" i="8"/>
  <c r="O160" i="8"/>
  <c r="C51" i="8"/>
  <c r="O117" i="8"/>
  <c r="O183" i="8"/>
  <c r="O249" i="8"/>
  <c r="O51" i="8"/>
  <c r="O17" i="8"/>
  <c r="O215" i="8"/>
  <c r="O149" i="8"/>
  <c r="C17" i="8"/>
  <c r="O83" i="8"/>
  <c r="O157" i="8"/>
  <c r="O223" i="8"/>
  <c r="O25" i="8"/>
  <c r="C25" i="8"/>
  <c r="O91" i="8"/>
  <c r="C31" i="8"/>
  <c r="O229" i="8"/>
  <c r="O31" i="8"/>
  <c r="O163" i="8"/>
  <c r="O97" i="8"/>
  <c r="C40" i="8"/>
  <c r="O106" i="8"/>
  <c r="O238" i="8"/>
  <c r="O172" i="8"/>
  <c r="O40" i="8"/>
  <c r="C60" i="8"/>
  <c r="O126" i="8"/>
  <c r="O60" i="8"/>
  <c r="O258" i="8"/>
  <c r="O21" i="8"/>
  <c r="O219" i="8"/>
  <c r="C21" i="8"/>
  <c r="O87" i="8"/>
  <c r="O153" i="8"/>
  <c r="O123" i="8"/>
  <c r="C57" i="8"/>
  <c r="O255" i="8"/>
  <c r="O189" i="8"/>
  <c r="O57" i="8"/>
  <c r="O197" i="8"/>
  <c r="C65" i="8"/>
  <c r="O65" i="8"/>
  <c r="O263" i="8"/>
  <c r="O131" i="8"/>
  <c r="O187" i="8"/>
  <c r="C55" i="8"/>
  <c r="O121" i="8"/>
  <c r="O55" i="8"/>
  <c r="O253" i="8"/>
  <c r="O134" i="8"/>
  <c r="C68" i="8"/>
  <c r="O200" i="8"/>
  <c r="O266" i="8"/>
  <c r="O68" i="8"/>
  <c r="C33" i="8"/>
  <c r="O165" i="8"/>
  <c r="O33" i="8"/>
  <c r="O231" i="8"/>
  <c r="O99" i="8"/>
  <c r="O58" i="8"/>
  <c r="O124" i="8"/>
  <c r="C58" i="8"/>
  <c r="O190" i="8"/>
  <c r="O256" i="8"/>
  <c r="C6" i="8"/>
  <c r="O72" i="8"/>
  <c r="O138" i="8"/>
  <c r="O204" i="8"/>
  <c r="O6" i="8"/>
  <c r="O14" i="8"/>
  <c r="C14" i="8"/>
  <c r="O146" i="8"/>
  <c r="O80" i="8"/>
  <c r="O212" i="8"/>
  <c r="C22" i="8"/>
  <c r="O22" i="8"/>
  <c r="O154" i="8"/>
  <c r="O220" i="8"/>
  <c r="O88" i="8"/>
  <c r="C44" i="8"/>
  <c r="O110" i="8"/>
  <c r="O44" i="8"/>
  <c r="O176" i="8"/>
  <c r="O242" i="8"/>
  <c r="O69" i="8"/>
  <c r="C69" i="8"/>
  <c r="O201" i="8"/>
  <c r="O135" i="8"/>
  <c r="O267" i="8"/>
  <c r="O211" i="8"/>
  <c r="C45" i="8"/>
  <c r="O243" i="8"/>
  <c r="O111" i="8"/>
  <c r="O45" i="8"/>
  <c r="O177" i="8"/>
  <c r="C64" i="8"/>
  <c r="O130" i="8"/>
  <c r="O196" i="8"/>
  <c r="O64" i="8"/>
  <c r="O262" i="8"/>
  <c r="C32" i="8"/>
  <c r="O98" i="8"/>
  <c r="O230" i="8"/>
  <c r="O164" i="8"/>
  <c r="O32" i="8"/>
  <c r="O128" i="8"/>
  <c r="C62" i="8"/>
  <c r="O62" i="8"/>
  <c r="O194" i="8"/>
  <c r="O260" i="8"/>
  <c r="C41" i="8"/>
  <c r="O239" i="8"/>
  <c r="O49" i="8"/>
  <c r="C49" i="8"/>
  <c r="O244" i="8"/>
  <c r="C46" i="8"/>
  <c r="O178" i="8"/>
  <c r="O86" i="8"/>
  <c r="O152" i="8"/>
  <c r="O20" i="8"/>
  <c r="O218" i="8"/>
  <c r="C20" i="8"/>
  <c r="O261" i="8"/>
  <c r="O63" i="8"/>
  <c r="O129" i="8"/>
  <c r="C63" i="8"/>
  <c r="O195" i="8"/>
  <c r="C34" i="8"/>
  <c r="O166" i="8"/>
  <c r="O100" i="8"/>
  <c r="O34" i="8"/>
  <c r="O232" i="8"/>
  <c r="C26" i="8"/>
  <c r="O158" i="8"/>
  <c r="O224" i="8"/>
  <c r="O26" i="8"/>
  <c r="O92" i="8"/>
  <c r="C10" i="8"/>
  <c r="O208" i="8"/>
  <c r="O10" i="8"/>
  <c r="O142" i="8"/>
  <c r="O76" i="8"/>
  <c r="O19" i="8"/>
  <c r="C19" i="8"/>
  <c r="O217" i="8"/>
  <c r="O151" i="8"/>
  <c r="O85" i="8"/>
  <c r="O46" i="8"/>
  <c r="O23" i="8"/>
  <c r="C23" i="8"/>
  <c r="O89" i="8"/>
  <c r="O221" i="8"/>
  <c r="C39" i="8"/>
  <c r="O105" i="8"/>
  <c r="O171" i="8"/>
  <c r="O39" i="8"/>
  <c r="O237" i="8"/>
  <c r="C37" i="8"/>
  <c r="O37" i="8"/>
  <c r="O103" i="8"/>
  <c r="O235" i="8"/>
  <c r="O169" i="8"/>
  <c r="C29" i="8"/>
  <c r="O29" i="8"/>
  <c r="O95" i="8"/>
  <c r="O161" i="8"/>
  <c r="O227" i="8"/>
  <c r="C48" i="8"/>
  <c r="O246" i="8"/>
  <c r="O180" i="8"/>
  <c r="O48" i="8"/>
  <c r="O114" i="8"/>
  <c r="O115" i="8"/>
  <c r="O174" i="8"/>
  <c r="O108" i="8"/>
  <c r="C42" i="8"/>
  <c r="O240" i="8"/>
  <c r="O42" i="8"/>
  <c r="C61" i="8"/>
  <c r="O61" i="8"/>
  <c r="O193" i="8"/>
  <c r="O259" i="8"/>
  <c r="O127" i="8"/>
  <c r="O136" i="8"/>
  <c r="C4" i="8"/>
  <c r="O70" i="8"/>
  <c r="O202" i="8"/>
  <c r="O225" i="8"/>
  <c r="C27" i="8"/>
  <c r="O93" i="8"/>
  <c r="O159" i="8"/>
  <c r="O27" i="8"/>
  <c r="C35" i="8"/>
  <c r="O233" i="8"/>
  <c r="O167" i="8"/>
  <c r="O35" i="8"/>
  <c r="O101" i="8"/>
  <c r="O107" i="8"/>
  <c r="O236" i="8"/>
  <c r="O170" i="8"/>
  <c r="C38" i="8"/>
  <c r="O104" i="8"/>
  <c r="O38" i="8"/>
  <c r="C15" i="8"/>
  <c r="O15" i="8"/>
  <c r="O81" i="8"/>
  <c r="O213" i="8"/>
  <c r="O147" i="8"/>
  <c r="O241" i="8"/>
  <c r="C43" i="8"/>
  <c r="O43" i="8"/>
  <c r="O175" i="8"/>
  <c r="C8" i="8"/>
  <c r="O8" i="8"/>
  <c r="O206" i="8"/>
  <c r="O74" i="8"/>
  <c r="C9" i="8"/>
  <c r="O75" i="8"/>
  <c r="O141" i="8"/>
  <c r="O9" i="8"/>
  <c r="O207" i="8"/>
  <c r="O264" i="8"/>
  <c r="O198" i="8"/>
  <c r="C66" i="8"/>
  <c r="O66" i="8"/>
  <c r="O132" i="8"/>
  <c r="O140" i="8"/>
  <c r="O168" i="8"/>
  <c r="O36" i="8"/>
  <c r="C36" i="8"/>
  <c r="O102" i="8"/>
  <c r="O234" i="8"/>
  <c r="C53" i="8"/>
  <c r="O251" i="8"/>
  <c r="O185" i="8"/>
  <c r="O53" i="8"/>
  <c r="O119" i="8"/>
  <c r="O139" i="8"/>
  <c r="O7" i="8"/>
  <c r="C7" i="8"/>
  <c r="O73" i="8"/>
  <c r="O205" i="8"/>
  <c r="O173" i="8"/>
  <c r="I14" i="29" l="1"/>
  <c r="S15" i="29"/>
  <c r="I15" i="29"/>
  <c r="H12" i="30" a="1"/>
  <c r="H12" i="30" s="1"/>
  <c r="G12" i="30" a="1"/>
  <c r="G12" i="30" s="1"/>
  <c r="E12" i="30" a="1"/>
  <c r="E12" i="30" s="1"/>
  <c r="F12" i="30" a="1"/>
  <c r="F12" i="30" s="1"/>
  <c r="H23" i="30" a="1"/>
  <c r="H23" i="30" s="1"/>
  <c r="F23" i="30" a="1"/>
  <c r="F23" i="30" s="1"/>
  <c r="E23" i="30" a="1"/>
  <c r="E23" i="30" s="1"/>
  <c r="G23" i="30" a="1"/>
  <c r="G23" i="30" s="1"/>
  <c r="H64" i="30" a="1"/>
  <c r="H64" i="30" s="1"/>
  <c r="F64" i="30" a="1"/>
  <c r="F64" i="30" s="1"/>
  <c r="E64" i="30" a="1"/>
  <c r="E64" i="30" s="1"/>
  <c r="G64" i="30" a="1"/>
  <c r="G64" i="30" s="1"/>
  <c r="H51" i="30" a="1"/>
  <c r="H51" i="30" s="1"/>
  <c r="G51" i="30" a="1"/>
  <c r="G51" i="30" s="1"/>
  <c r="E51" i="30" a="1"/>
  <c r="E51" i="30" s="1"/>
  <c r="F51" i="30" a="1"/>
  <c r="F51" i="30" s="1"/>
  <c r="H25" i="30" a="1"/>
  <c r="H25" i="30" s="1"/>
  <c r="G25" i="30" a="1"/>
  <c r="G25" i="30" s="1"/>
  <c r="F25" i="30" a="1"/>
  <c r="F25" i="30" s="1"/>
  <c r="E25" i="30" a="1"/>
  <c r="E25" i="30" s="1"/>
  <c r="H24" i="30" a="1"/>
  <c r="H24" i="30" s="1"/>
  <c r="G24" i="30" a="1"/>
  <c r="G24" i="30" s="1"/>
  <c r="E24" i="30" a="1"/>
  <c r="E24" i="30" s="1"/>
  <c r="F24" i="30" a="1"/>
  <c r="F24" i="30" s="1"/>
  <c r="H56" i="30" a="1"/>
  <c r="H56" i="30" s="1"/>
  <c r="E56" i="30" a="1"/>
  <c r="E56" i="30" s="1"/>
  <c r="F56" i="30" a="1"/>
  <c r="F56" i="30" s="1"/>
  <c r="G56" i="30" a="1"/>
  <c r="G56" i="30" s="1"/>
  <c r="H58" i="30" a="1"/>
  <c r="H58" i="30" s="1"/>
  <c r="G58" i="30" a="1"/>
  <c r="G58" i="30" s="1"/>
  <c r="F58" i="30" a="1"/>
  <c r="F58" i="30" s="1"/>
  <c r="E58" i="30" a="1"/>
  <c r="E58" i="30" s="1"/>
  <c r="H43" i="30" a="1"/>
  <c r="H43" i="30" s="1"/>
  <c r="G43" i="30" a="1"/>
  <c r="G43" i="30" s="1"/>
  <c r="F43" i="30" a="1"/>
  <c r="F43" i="30" s="1"/>
  <c r="E43" i="30" a="1"/>
  <c r="E43" i="30" s="1"/>
  <c r="H17" i="30" a="1"/>
  <c r="H17" i="30" s="1"/>
  <c r="G17" i="30" a="1"/>
  <c r="G17" i="30" s="1"/>
  <c r="F17" i="30" a="1"/>
  <c r="F17" i="30" s="1"/>
  <c r="E17" i="30" a="1"/>
  <c r="E17" i="30" s="1"/>
  <c r="H42" i="30" a="1"/>
  <c r="H42" i="30" s="1"/>
  <c r="E42" i="30" a="1"/>
  <c r="E42" i="30" s="1"/>
  <c r="F42" i="30" a="1"/>
  <c r="F42" i="30" s="1"/>
  <c r="G42" i="30" a="1"/>
  <c r="G42" i="30" s="1"/>
  <c r="H18" i="30" a="1"/>
  <c r="H18" i="30" s="1"/>
  <c r="E18" i="30" a="1"/>
  <c r="E18" i="30" s="1"/>
  <c r="F18" i="30" a="1"/>
  <c r="F18" i="30" s="1"/>
  <c r="G18" i="30" a="1"/>
  <c r="G18" i="30" s="1"/>
  <c r="H44" i="30" a="1"/>
  <c r="H44" i="30" s="1"/>
  <c r="E44" i="30" a="1"/>
  <c r="E44" i="30" s="1"/>
  <c r="G44" i="30" a="1"/>
  <c r="G44" i="30" s="1"/>
  <c r="F44" i="30" a="1"/>
  <c r="F44" i="30" s="1"/>
  <c r="H74" i="30" a="1"/>
  <c r="H74" i="30" s="1"/>
  <c r="E74" i="30" a="1"/>
  <c r="E74" i="30" s="1"/>
  <c r="G74" i="30" a="1"/>
  <c r="G74" i="30" s="1"/>
  <c r="F74" i="30" a="1"/>
  <c r="F74" i="30" s="1"/>
  <c r="H34" i="30" a="1"/>
  <c r="H34" i="30" s="1"/>
  <c r="G34" i="30" a="1"/>
  <c r="G34" i="30" s="1"/>
  <c r="E34" i="30" a="1"/>
  <c r="E34" i="30" s="1"/>
  <c r="F34" i="30" a="1"/>
  <c r="F34" i="30" s="1"/>
  <c r="D2" i="36" a="1"/>
  <c r="D2" i="36" s="1"/>
  <c r="F2" i="36" a="1"/>
  <c r="F2" i="36" s="1"/>
  <c r="E2" i="36" a="1"/>
  <c r="E2" i="36" s="1"/>
  <c r="G2" i="36" a="1"/>
  <c r="G2" i="36" s="1"/>
  <c r="F64" i="37" a="1"/>
  <c r="F64" i="37" s="1"/>
  <c r="E64" i="37" a="1"/>
  <c r="E64" i="37" s="1"/>
  <c r="G64" i="37" a="1"/>
  <c r="G64" i="37" s="1"/>
  <c r="D64" i="37" a="1"/>
  <c r="D64" i="37" s="1"/>
  <c r="D44" i="36" a="1"/>
  <c r="D44" i="36" s="1"/>
  <c r="G44" i="36" a="1"/>
  <c r="G44" i="36" s="1"/>
  <c r="E44" i="36" a="1"/>
  <c r="E44" i="36" s="1"/>
  <c r="F44" i="36" a="1"/>
  <c r="F44" i="36" s="1"/>
  <c r="F16" i="38" a="1"/>
  <c r="F16" i="38" s="1"/>
  <c r="G16" i="38" a="1"/>
  <c r="G16" i="38" s="1"/>
  <c r="E16" i="38" a="1"/>
  <c r="E16" i="38" s="1"/>
  <c r="D16" i="38" a="1"/>
  <c r="D16" i="38" s="1"/>
  <c r="D10" i="36" a="1"/>
  <c r="D10" i="36" s="1"/>
  <c r="F10" i="36" a="1"/>
  <c r="F10" i="36" s="1"/>
  <c r="E10" i="36" a="1"/>
  <c r="E10" i="36" s="1"/>
  <c r="G10" i="36" a="1"/>
  <c r="G10" i="36" s="1"/>
  <c r="F19" i="37" a="1"/>
  <c r="F19" i="37" s="1"/>
  <c r="E19" i="37" a="1"/>
  <c r="E19" i="37" s="1"/>
  <c r="G19" i="37" a="1"/>
  <c r="G19" i="37" s="1"/>
  <c r="D19" i="37" a="1"/>
  <c r="D19" i="37" s="1"/>
  <c r="D20" i="36" a="1"/>
  <c r="D20" i="36" s="1"/>
  <c r="G20" i="36" a="1"/>
  <c r="G20" i="36" s="1"/>
  <c r="E20" i="36" a="1"/>
  <c r="E20" i="36" s="1"/>
  <c r="F20" i="36" a="1"/>
  <c r="F20" i="36" s="1"/>
  <c r="E81" i="37" a="1"/>
  <c r="E81" i="37" s="1"/>
  <c r="G81" i="37" a="1"/>
  <c r="G81" i="37" s="1"/>
  <c r="F81" i="37" a="1"/>
  <c r="F81" i="37" s="1"/>
  <c r="D81" i="37" a="1"/>
  <c r="D81" i="37" s="1"/>
  <c r="G24" i="36" a="1"/>
  <c r="G24" i="36" s="1"/>
  <c r="E24" i="36" a="1"/>
  <c r="E24" i="36" s="1"/>
  <c r="F24" i="36" a="1"/>
  <c r="F24" i="36" s="1"/>
  <c r="G90" i="38" a="1"/>
  <c r="G90" i="38" s="1"/>
  <c r="D90" i="38" a="1"/>
  <c r="D90" i="38" s="1"/>
  <c r="F90" i="38" a="1"/>
  <c r="F90" i="38" s="1"/>
  <c r="E90" i="38" a="1"/>
  <c r="E90" i="38" s="1"/>
  <c r="D34" i="36" a="1"/>
  <c r="D34" i="36" s="1"/>
  <c r="G34" i="36" a="1"/>
  <c r="G34" i="36" s="1"/>
  <c r="E34" i="36" a="1"/>
  <c r="E34" i="36" s="1"/>
  <c r="F34" i="36" a="1"/>
  <c r="F34" i="36" s="1"/>
  <c r="G25" i="37" a="1"/>
  <c r="G25" i="37" s="1"/>
  <c r="F25" i="37" a="1"/>
  <c r="F25" i="37" s="1"/>
  <c r="D25" i="37" a="1"/>
  <c r="D25" i="37" s="1"/>
  <c r="E25" i="37" a="1"/>
  <c r="E25" i="37" s="1"/>
  <c r="D45" i="36" a="1"/>
  <c r="D45" i="36" s="1"/>
  <c r="G45" i="36" a="1"/>
  <c r="G45" i="36" s="1"/>
  <c r="F45" i="36" a="1"/>
  <c r="F45" i="36" s="1"/>
  <c r="E45" i="36" a="1"/>
  <c r="E45" i="36" s="1"/>
  <c r="G63" i="36" a="1"/>
  <c r="G63" i="36" s="1"/>
  <c r="F63" i="36" a="1"/>
  <c r="F63" i="36" s="1"/>
  <c r="E63" i="36" a="1"/>
  <c r="E63" i="36" s="1"/>
  <c r="D81" i="36" a="1"/>
  <c r="D81" i="36" s="1"/>
  <c r="G81" i="36" a="1"/>
  <c r="G81" i="36" s="1"/>
  <c r="F81" i="36" a="1"/>
  <c r="F81" i="36" s="1"/>
  <c r="E81" i="36" a="1"/>
  <c r="E81" i="36" s="1"/>
  <c r="E8" i="37" a="1"/>
  <c r="E8" i="37" s="1"/>
  <c r="G8" i="37" a="1"/>
  <c r="G8" i="37" s="1"/>
  <c r="F8" i="37" a="1"/>
  <c r="F8" i="37" s="1"/>
  <c r="D8" i="37" a="1"/>
  <c r="D8" i="37" s="1"/>
  <c r="E33" i="37" a="1"/>
  <c r="E33" i="37" s="1"/>
  <c r="F33" i="37" a="1"/>
  <c r="F33" i="37" s="1"/>
  <c r="G33" i="37" a="1"/>
  <c r="G33" i="37" s="1"/>
  <c r="D33" i="37" a="1"/>
  <c r="D33" i="37" s="1"/>
  <c r="G69" i="37" a="1"/>
  <c r="G69" i="37" s="1"/>
  <c r="F69" i="37" a="1"/>
  <c r="F69" i="37" s="1"/>
  <c r="E69" i="37" a="1"/>
  <c r="E69" i="37" s="1"/>
  <c r="D69" i="37" a="1"/>
  <c r="D69" i="37" s="1"/>
  <c r="F2" i="38" a="1"/>
  <c r="F2" i="38" s="1"/>
  <c r="E2" i="38" a="1"/>
  <c r="E2" i="38" s="1"/>
  <c r="D2" i="38" a="1"/>
  <c r="D2" i="38" s="1"/>
  <c r="G2" i="38" a="1"/>
  <c r="G2" i="38" s="1"/>
  <c r="F76" i="38" a="1"/>
  <c r="F76" i="38" s="1"/>
  <c r="D76" i="38" a="1"/>
  <c r="D76" i="38" s="1"/>
  <c r="G76" i="38" a="1"/>
  <c r="G76" i="38" s="1"/>
  <c r="E76" i="38" a="1"/>
  <c r="E76" i="38" s="1"/>
  <c r="G61" i="39" a="1"/>
  <c r="G61" i="39" s="1"/>
  <c r="F61" i="39" a="1"/>
  <c r="F61" i="39" s="1"/>
  <c r="L61" i="39" a="1"/>
  <c r="L61" i="39" s="1"/>
  <c r="O61" i="39" a="1"/>
  <c r="O61" i="39" s="1"/>
  <c r="M61" i="39" a="1"/>
  <c r="M61" i="39" s="1"/>
  <c r="N61" i="39" a="1"/>
  <c r="N61" i="39" s="1"/>
  <c r="E61" i="39" a="1"/>
  <c r="E61" i="39" s="1"/>
  <c r="D61" i="39" a="1"/>
  <c r="D61" i="39" s="1"/>
  <c r="D7" i="36" a="1"/>
  <c r="D7" i="36" s="1"/>
  <c r="G7" i="36" a="1"/>
  <c r="G7" i="36" s="1"/>
  <c r="F7" i="36" a="1"/>
  <c r="F7" i="36" s="1"/>
  <c r="E7" i="36" a="1"/>
  <c r="E7" i="36" s="1"/>
  <c r="G25" i="36" a="1"/>
  <c r="G25" i="36" s="1"/>
  <c r="F25" i="36" a="1"/>
  <c r="F25" i="36" s="1"/>
  <c r="E25" i="36" a="1"/>
  <c r="E25" i="36" s="1"/>
  <c r="H87" i="30" a="1"/>
  <c r="H87" i="30" s="1"/>
  <c r="E87" i="30" a="1"/>
  <c r="E87" i="30" s="1"/>
  <c r="G87" i="30" a="1"/>
  <c r="G87" i="30" s="1"/>
  <c r="F87" i="30" a="1"/>
  <c r="F87" i="30" s="1"/>
  <c r="D18" i="36" a="1"/>
  <c r="D18" i="36" s="1"/>
  <c r="F18" i="36" a="1"/>
  <c r="F18" i="36" s="1"/>
  <c r="G18" i="36" a="1"/>
  <c r="G18" i="36" s="1"/>
  <c r="E18" i="36" a="1"/>
  <c r="E18" i="36" s="1"/>
  <c r="D36" i="36" a="1"/>
  <c r="D36" i="36" s="1"/>
  <c r="G36" i="36" a="1"/>
  <c r="G36" i="36" s="1"/>
  <c r="E36" i="36" a="1"/>
  <c r="E36" i="36" s="1"/>
  <c r="F36" i="36" a="1"/>
  <c r="F36" i="36" s="1"/>
  <c r="D56" i="36" a="1"/>
  <c r="D56" i="36" s="1"/>
  <c r="F56" i="36" a="1"/>
  <c r="F56" i="36" s="1"/>
  <c r="G56" i="36" a="1"/>
  <c r="G56" i="36" s="1"/>
  <c r="E56" i="36" a="1"/>
  <c r="E56" i="36" s="1"/>
  <c r="D74" i="36" a="1"/>
  <c r="D74" i="36" s="1"/>
  <c r="E74" i="36" a="1"/>
  <c r="E74" i="36" s="1"/>
  <c r="G74" i="36" a="1"/>
  <c r="G74" i="36" s="1"/>
  <c r="F74" i="36" a="1"/>
  <c r="F74" i="36" s="1"/>
  <c r="G4" i="37" a="1"/>
  <c r="G4" i="37" s="1"/>
  <c r="F4" i="37" a="1"/>
  <c r="F4" i="37" s="1"/>
  <c r="E4" i="37" a="1"/>
  <c r="E4" i="37" s="1"/>
  <c r="D4" i="37" a="1"/>
  <c r="D4" i="37" s="1"/>
  <c r="G29" i="37" a="1"/>
  <c r="G29" i="37" s="1"/>
  <c r="E29" i="37" a="1"/>
  <c r="E29" i="37" s="1"/>
  <c r="F29" i="37" a="1"/>
  <c r="F29" i="37" s="1"/>
  <c r="D29" i="37" a="1"/>
  <c r="D29" i="37" s="1"/>
  <c r="F60" i="37" a="1"/>
  <c r="F60" i="37" s="1"/>
  <c r="E60" i="37" a="1"/>
  <c r="E60" i="37" s="1"/>
  <c r="G60" i="37" a="1"/>
  <c r="G60" i="37" s="1"/>
  <c r="D60" i="37" a="1"/>
  <c r="D60" i="37" s="1"/>
  <c r="G24" i="38" a="1"/>
  <c r="G24" i="38" s="1"/>
  <c r="F24" i="38" a="1"/>
  <c r="F24" i="38" s="1"/>
  <c r="D24" i="38" a="1"/>
  <c r="D24" i="38" s="1"/>
  <c r="E24" i="38" a="1"/>
  <c r="E24" i="38" s="1"/>
  <c r="G9" i="39" a="1"/>
  <c r="G9" i="39" s="1"/>
  <c r="F9" i="39" a="1"/>
  <c r="F9" i="39" s="1"/>
  <c r="N9" i="39" a="1"/>
  <c r="N9" i="39" s="1"/>
  <c r="E9" i="39" a="1"/>
  <c r="E9" i="39" s="1"/>
  <c r="O9" i="39" a="1"/>
  <c r="O9" i="39" s="1"/>
  <c r="L9" i="39" a="1"/>
  <c r="L9" i="39" s="1"/>
  <c r="M9" i="39" a="1"/>
  <c r="M9" i="39" s="1"/>
  <c r="D9" i="39" a="1"/>
  <c r="D9" i="39" s="1"/>
  <c r="G85" i="39" a="1"/>
  <c r="G85" i="39" s="1"/>
  <c r="F85" i="39" a="1"/>
  <c r="F85" i="39" s="1"/>
  <c r="N85" i="39" a="1"/>
  <c r="N85" i="39" s="1"/>
  <c r="E85" i="39" a="1"/>
  <c r="E85" i="39" s="1"/>
  <c r="O85" i="39" a="1"/>
  <c r="O85" i="39" s="1"/>
  <c r="L85" i="39" a="1"/>
  <c r="L85" i="39" s="1"/>
  <c r="D85" i="39" a="1"/>
  <c r="D85" i="39" s="1"/>
  <c r="M85" i="39" a="1"/>
  <c r="M85" i="39" s="1"/>
  <c r="H84" i="30" a="1"/>
  <c r="H84" i="30" s="1"/>
  <c r="F84" i="30" a="1"/>
  <c r="F84" i="30" s="1"/>
  <c r="G84" i="30" a="1"/>
  <c r="G84" i="30" s="1"/>
  <c r="E84" i="30" a="1"/>
  <c r="E84" i="30" s="1"/>
  <c r="D15" i="36" a="1"/>
  <c r="D15" i="36" s="1"/>
  <c r="E15" i="36" a="1"/>
  <c r="E15" i="36" s="1"/>
  <c r="G15" i="36" a="1"/>
  <c r="G15" i="36" s="1"/>
  <c r="F15" i="36" a="1"/>
  <c r="F15" i="36" s="1"/>
  <c r="D33" i="36" a="1"/>
  <c r="D33" i="36" s="1"/>
  <c r="E33" i="36" a="1"/>
  <c r="E33" i="36" s="1"/>
  <c r="G33" i="36" a="1"/>
  <c r="G33" i="36" s="1"/>
  <c r="F33" i="36" a="1"/>
  <c r="F33" i="36" s="1"/>
  <c r="F51" i="36" a="1"/>
  <c r="F51" i="36" s="1"/>
  <c r="E51" i="36" a="1"/>
  <c r="E51" i="36" s="1"/>
  <c r="G51" i="36" a="1"/>
  <c r="G51" i="36" s="1"/>
  <c r="D71" i="36" a="1"/>
  <c r="D71" i="36" s="1"/>
  <c r="F71" i="36" a="1"/>
  <c r="F71" i="36" s="1"/>
  <c r="E71" i="36" a="1"/>
  <c r="E71" i="36" s="1"/>
  <c r="G71" i="36" a="1"/>
  <c r="G71" i="36" s="1"/>
  <c r="G5" i="37" a="1"/>
  <c r="G5" i="37" s="1"/>
  <c r="F5" i="37" a="1"/>
  <c r="F5" i="37" s="1"/>
  <c r="E5" i="37" a="1"/>
  <c r="E5" i="37" s="1"/>
  <c r="D5" i="37" a="1"/>
  <c r="D5" i="37" s="1"/>
  <c r="G31" i="37" a="1"/>
  <c r="G31" i="37" s="1"/>
  <c r="F31" i="37" a="1"/>
  <c r="F31" i="37" s="1"/>
  <c r="E31" i="37" a="1"/>
  <c r="E31" i="37" s="1"/>
  <c r="D31" i="37" a="1"/>
  <c r="D31" i="37" s="1"/>
  <c r="E63" i="37" a="1"/>
  <c r="E63" i="37" s="1"/>
  <c r="D63" i="37" a="1"/>
  <c r="D63" i="37" s="1"/>
  <c r="G63" i="37" a="1"/>
  <c r="G63" i="37" s="1"/>
  <c r="F63" i="37" a="1"/>
  <c r="F63" i="37" s="1"/>
  <c r="E30" i="38" a="1"/>
  <c r="E30" i="38" s="1"/>
  <c r="F30" i="38" a="1"/>
  <c r="F30" i="38" s="1"/>
  <c r="G30" i="38" a="1"/>
  <c r="G30" i="38" s="1"/>
  <c r="D30" i="38" a="1"/>
  <c r="D30" i="38" s="1"/>
  <c r="E15" i="39" a="1"/>
  <c r="E15" i="39" s="1"/>
  <c r="O15" i="39" a="1"/>
  <c r="O15" i="39" s="1"/>
  <c r="F15" i="39" a="1"/>
  <c r="F15" i="39" s="1"/>
  <c r="L15" i="39" a="1"/>
  <c r="L15" i="39" s="1"/>
  <c r="G15" i="39" a="1"/>
  <c r="G15" i="39" s="1"/>
  <c r="N15" i="39" a="1"/>
  <c r="N15" i="39" s="1"/>
  <c r="M15" i="39" a="1"/>
  <c r="M15" i="39" s="1"/>
  <c r="D15" i="39" a="1"/>
  <c r="D15" i="39" s="1"/>
  <c r="E89" i="39" a="1"/>
  <c r="E89" i="39" s="1"/>
  <c r="O89" i="39" a="1"/>
  <c r="O89" i="39" s="1"/>
  <c r="F89" i="39" a="1"/>
  <c r="F89" i="39" s="1"/>
  <c r="L89" i="39" a="1"/>
  <c r="L89" i="39" s="1"/>
  <c r="G89" i="39" a="1"/>
  <c r="G89" i="39" s="1"/>
  <c r="N89" i="39" a="1"/>
  <c r="N89" i="39" s="1"/>
  <c r="M89" i="39" a="1"/>
  <c r="M89" i="39" s="1"/>
  <c r="D89" i="39" a="1"/>
  <c r="D89" i="39" s="1"/>
  <c r="E57" i="37" a="1"/>
  <c r="E57" i="37" s="1"/>
  <c r="G57" i="37" a="1"/>
  <c r="G57" i="37" s="1"/>
  <c r="F57" i="37" a="1"/>
  <c r="F57" i="37" s="1"/>
  <c r="D57" i="37" a="1"/>
  <c r="D57" i="37" s="1"/>
  <c r="F75" i="37" a="1"/>
  <c r="F75" i="37" s="1"/>
  <c r="G75" i="37" a="1"/>
  <c r="G75" i="37" s="1"/>
  <c r="E75" i="37" a="1"/>
  <c r="E75" i="37" s="1"/>
  <c r="D75" i="37" a="1"/>
  <c r="D75" i="37" s="1"/>
  <c r="G7" i="38" a="1"/>
  <c r="G7" i="38" s="1"/>
  <c r="E7" i="38" a="1"/>
  <c r="E7" i="38" s="1"/>
  <c r="F7" i="38" a="1"/>
  <c r="F7" i="38" s="1"/>
  <c r="D7" i="38" a="1"/>
  <c r="D7" i="38" s="1"/>
  <c r="G25" i="38" a="1"/>
  <c r="G25" i="38" s="1"/>
  <c r="E25" i="38" a="1"/>
  <c r="E25" i="38" s="1"/>
  <c r="F25" i="38" a="1"/>
  <c r="F25" i="38" s="1"/>
  <c r="D25" i="38" a="1"/>
  <c r="D25" i="38" s="1"/>
  <c r="G45" i="38" a="1"/>
  <c r="G45" i="38" s="1"/>
  <c r="F45" i="38" a="1"/>
  <c r="F45" i="38" s="1"/>
  <c r="E45" i="38" a="1"/>
  <c r="E45" i="38" s="1"/>
  <c r="D45" i="38" a="1"/>
  <c r="D45" i="38" s="1"/>
  <c r="G63" i="38" a="1"/>
  <c r="G63" i="38" s="1"/>
  <c r="F63" i="38" a="1"/>
  <c r="F63" i="38" s="1"/>
  <c r="E63" i="38" a="1"/>
  <c r="E63" i="38" s="1"/>
  <c r="D63" i="38" a="1"/>
  <c r="D63" i="38" s="1"/>
  <c r="G83" i="38" a="1"/>
  <c r="G83" i="38" s="1"/>
  <c r="F83" i="38" a="1"/>
  <c r="F83" i="38" s="1"/>
  <c r="E83" i="38" a="1"/>
  <c r="E83" i="38" s="1"/>
  <c r="D83" i="38" a="1"/>
  <c r="D83" i="38" s="1"/>
  <c r="G10" i="39" a="1"/>
  <c r="G10" i="39" s="1"/>
  <c r="N10" i="39" a="1"/>
  <c r="N10" i="39" s="1"/>
  <c r="O10" i="39" a="1"/>
  <c r="O10" i="39" s="1"/>
  <c r="E10" i="39" a="1"/>
  <c r="E10" i="39" s="1"/>
  <c r="M10" i="39" a="1"/>
  <c r="M10" i="39" s="1"/>
  <c r="L10" i="39" a="1"/>
  <c r="L10" i="39" s="1"/>
  <c r="D10" i="39" a="1"/>
  <c r="D10" i="39" s="1"/>
  <c r="F10" i="39" a="1"/>
  <c r="F10" i="39" s="1"/>
  <c r="G30" i="39" a="1"/>
  <c r="G30" i="39" s="1"/>
  <c r="N30" i="39" a="1"/>
  <c r="N30" i="39" s="1"/>
  <c r="O30" i="39" a="1"/>
  <c r="O30" i="39" s="1"/>
  <c r="E30" i="39" a="1"/>
  <c r="E30" i="39" s="1"/>
  <c r="M30" i="39" a="1"/>
  <c r="M30" i="39" s="1"/>
  <c r="L30" i="39" a="1"/>
  <c r="L30" i="39" s="1"/>
  <c r="F30" i="39" a="1"/>
  <c r="F30" i="39" s="1"/>
  <c r="D30" i="39" a="1"/>
  <c r="D30" i="39" s="1"/>
  <c r="G48" i="39" a="1"/>
  <c r="G48" i="39" s="1"/>
  <c r="E48" i="39" a="1"/>
  <c r="E48" i="39" s="1"/>
  <c r="N48" i="39" a="1"/>
  <c r="N48" i="39" s="1"/>
  <c r="O48" i="39" a="1"/>
  <c r="O48" i="39" s="1"/>
  <c r="M48" i="39" a="1"/>
  <c r="M48" i="39" s="1"/>
  <c r="L48" i="39" a="1"/>
  <c r="L48" i="39" s="1"/>
  <c r="F48" i="39" a="1"/>
  <c r="F48" i="39" s="1"/>
  <c r="D48" i="39" a="1"/>
  <c r="D48" i="39" s="1"/>
  <c r="G68" i="39" a="1"/>
  <c r="G68" i="39" s="1"/>
  <c r="E68" i="39" a="1"/>
  <c r="E68" i="39" s="1"/>
  <c r="N68" i="39" a="1"/>
  <c r="N68" i="39" s="1"/>
  <c r="O68" i="39" a="1"/>
  <c r="O68" i="39" s="1"/>
  <c r="D68" i="39" a="1"/>
  <c r="D68" i="39" s="1"/>
  <c r="M68" i="39" a="1"/>
  <c r="M68" i="39" s="1"/>
  <c r="F68" i="39" a="1"/>
  <c r="F68" i="39" s="1"/>
  <c r="L68" i="39" a="1"/>
  <c r="L68" i="39" s="1"/>
  <c r="G86" i="39" a="1"/>
  <c r="G86" i="39" s="1"/>
  <c r="E86" i="39" a="1"/>
  <c r="E86" i="39" s="1"/>
  <c r="N86" i="39" a="1"/>
  <c r="N86" i="39" s="1"/>
  <c r="O86" i="39" a="1"/>
  <c r="O86" i="39" s="1"/>
  <c r="F86" i="39" a="1"/>
  <c r="F86" i="39" s="1"/>
  <c r="D86" i="39" a="1"/>
  <c r="D86" i="39" s="1"/>
  <c r="M86" i="39" a="1"/>
  <c r="M86" i="39" s="1"/>
  <c r="L86" i="39" a="1"/>
  <c r="L86" i="39" s="1"/>
  <c r="F16" i="37" a="1"/>
  <c r="F16" i="37" s="1"/>
  <c r="E16" i="37" a="1"/>
  <c r="E16" i="37" s="1"/>
  <c r="G16" i="37" a="1"/>
  <c r="G16" i="37" s="1"/>
  <c r="D16" i="37" a="1"/>
  <c r="D16" i="37" s="1"/>
  <c r="F34" i="37" a="1"/>
  <c r="F34" i="37" s="1"/>
  <c r="E34" i="37" a="1"/>
  <c r="E34" i="37" s="1"/>
  <c r="G34" i="37" a="1"/>
  <c r="G34" i="37" s="1"/>
  <c r="D34" i="37" a="1"/>
  <c r="D34" i="37" s="1"/>
  <c r="F54" i="37" a="1"/>
  <c r="F54" i="37" s="1"/>
  <c r="G54" i="37" a="1"/>
  <c r="G54" i="37" s="1"/>
  <c r="E54" i="37" a="1"/>
  <c r="E54" i="37" s="1"/>
  <c r="D54" i="37" a="1"/>
  <c r="D54" i="37" s="1"/>
  <c r="E72" i="37" a="1"/>
  <c r="E72" i="37" s="1"/>
  <c r="F72" i="37" a="1"/>
  <c r="F72" i="37" s="1"/>
  <c r="G72" i="37" a="1"/>
  <c r="G72" i="37" s="1"/>
  <c r="D72" i="37" a="1"/>
  <c r="D72" i="37" s="1"/>
  <c r="E88" i="37" a="1"/>
  <c r="E88" i="37" s="1"/>
  <c r="G88" i="37" a="1"/>
  <c r="G88" i="37" s="1"/>
  <c r="F88" i="37" a="1"/>
  <c r="F88" i="37" s="1"/>
  <c r="D88" i="37" a="1"/>
  <c r="D88" i="37" s="1"/>
  <c r="E18" i="38" a="1"/>
  <c r="E18" i="38" s="1"/>
  <c r="G18" i="38" a="1"/>
  <c r="G18" i="38" s="1"/>
  <c r="F18" i="38" a="1"/>
  <c r="F18" i="38" s="1"/>
  <c r="D18" i="38" a="1"/>
  <c r="D18" i="38" s="1"/>
  <c r="E36" i="38" a="1"/>
  <c r="E36" i="38" s="1"/>
  <c r="F36" i="38" a="1"/>
  <c r="F36" i="38" s="1"/>
  <c r="G36" i="38" a="1"/>
  <c r="G36" i="38" s="1"/>
  <c r="D36" i="38" a="1"/>
  <c r="D36" i="38" s="1"/>
  <c r="E56" i="38" a="1"/>
  <c r="E56" i="38" s="1"/>
  <c r="G56" i="38" a="1"/>
  <c r="G56" i="38" s="1"/>
  <c r="F56" i="38" a="1"/>
  <c r="F56" i="38" s="1"/>
  <c r="D56" i="38" a="1"/>
  <c r="D56" i="38" s="1"/>
  <c r="F74" i="38" a="1"/>
  <c r="F74" i="38" s="1"/>
  <c r="E74" i="38" a="1"/>
  <c r="E74" i="38" s="1"/>
  <c r="G74" i="38" a="1"/>
  <c r="G74" i="38" s="1"/>
  <c r="D74" i="38" a="1"/>
  <c r="D74" i="38" s="1"/>
  <c r="O3" i="39" a="1"/>
  <c r="O3" i="39" s="1"/>
  <c r="G3" i="39" a="1"/>
  <c r="G3" i="39" s="1"/>
  <c r="N3" i="39" a="1"/>
  <c r="N3" i="39" s="1"/>
  <c r="E3" i="39" a="1"/>
  <c r="E3" i="39" s="1"/>
  <c r="M3" i="39" a="1"/>
  <c r="M3" i="39" s="1"/>
  <c r="D3" i="39" a="1"/>
  <c r="D3" i="39" s="1"/>
  <c r="F3" i="39" a="1"/>
  <c r="F3" i="39" s="1"/>
  <c r="L3" i="39" a="1"/>
  <c r="L3" i="39" s="1"/>
  <c r="G21" i="39" a="1"/>
  <c r="G21" i="39" s="1"/>
  <c r="N21" i="39" a="1"/>
  <c r="N21" i="39" s="1"/>
  <c r="O21" i="39" a="1"/>
  <c r="O21" i="39" s="1"/>
  <c r="F21" i="39" a="1"/>
  <c r="F21" i="39" s="1"/>
  <c r="E21" i="39" a="1"/>
  <c r="E21" i="39" s="1"/>
  <c r="D21" i="39" a="1"/>
  <c r="D21" i="39" s="1"/>
  <c r="M21" i="39" a="1"/>
  <c r="M21" i="39" s="1"/>
  <c r="L21" i="39" a="1"/>
  <c r="L21" i="39" s="1"/>
  <c r="G41" i="39" a="1"/>
  <c r="G41" i="39" s="1"/>
  <c r="O41" i="39" a="1"/>
  <c r="O41" i="39" s="1"/>
  <c r="N41" i="39" a="1"/>
  <c r="N41" i="39" s="1"/>
  <c r="E41" i="39" a="1"/>
  <c r="E41" i="39" s="1"/>
  <c r="M41" i="39" a="1"/>
  <c r="M41" i="39" s="1"/>
  <c r="D41" i="39" a="1"/>
  <c r="D41" i="39" s="1"/>
  <c r="F41" i="39" a="1"/>
  <c r="F41" i="39" s="1"/>
  <c r="L41" i="39" a="1"/>
  <c r="L41" i="39" s="1"/>
  <c r="O59" i="39" a="1"/>
  <c r="O59" i="39" s="1"/>
  <c r="G59" i="39" a="1"/>
  <c r="G59" i="39" s="1"/>
  <c r="N59" i="39" a="1"/>
  <c r="N59" i="39" s="1"/>
  <c r="F59" i="39" a="1"/>
  <c r="F59" i="39" s="1"/>
  <c r="E59" i="39" a="1"/>
  <c r="E59" i="39" s="1"/>
  <c r="D59" i="39" a="1"/>
  <c r="D59" i="39" s="1"/>
  <c r="M59" i="39" a="1"/>
  <c r="M59" i="39" s="1"/>
  <c r="L59" i="39" a="1"/>
  <c r="L59" i="39" s="1"/>
  <c r="O77" i="39" a="1"/>
  <c r="O77" i="39" s="1"/>
  <c r="G77" i="39" a="1"/>
  <c r="G77" i="39" s="1"/>
  <c r="N77" i="39" a="1"/>
  <c r="N77" i="39" s="1"/>
  <c r="E77" i="39" a="1"/>
  <c r="E77" i="39" s="1"/>
  <c r="F77" i="39" a="1"/>
  <c r="F77" i="39" s="1"/>
  <c r="M77" i="39" a="1"/>
  <c r="M77" i="39" s="1"/>
  <c r="D77" i="39" a="1"/>
  <c r="D77" i="39" s="1"/>
  <c r="L77" i="39" a="1"/>
  <c r="L77" i="39" s="1"/>
  <c r="F9" i="38" a="1"/>
  <c r="F9" i="38" s="1"/>
  <c r="E9" i="38" a="1"/>
  <c r="E9" i="38" s="1"/>
  <c r="G9" i="38" a="1"/>
  <c r="G9" i="38" s="1"/>
  <c r="D9" i="38" a="1"/>
  <c r="D9" i="38" s="1"/>
  <c r="F29" i="38" a="1"/>
  <c r="F29" i="38" s="1"/>
  <c r="G29" i="38" a="1"/>
  <c r="G29" i="38" s="1"/>
  <c r="E29" i="38" a="1"/>
  <c r="E29" i="38" s="1"/>
  <c r="D29" i="38" a="1"/>
  <c r="D29" i="38" s="1"/>
  <c r="F47" i="38" a="1"/>
  <c r="F47" i="38" s="1"/>
  <c r="G47" i="38" a="1"/>
  <c r="G47" i="38" s="1"/>
  <c r="E47" i="38" a="1"/>
  <c r="E47" i="38" s="1"/>
  <c r="D47" i="38" a="1"/>
  <c r="D47" i="38" s="1"/>
  <c r="G67" i="38" a="1"/>
  <c r="G67" i="38" s="1"/>
  <c r="F67" i="38" a="1"/>
  <c r="F67" i="38" s="1"/>
  <c r="E67" i="38" a="1"/>
  <c r="E67" i="38" s="1"/>
  <c r="D67" i="38" a="1"/>
  <c r="D67" i="38" s="1"/>
  <c r="F85" i="38" a="1"/>
  <c r="F85" i="38" s="1"/>
  <c r="G85" i="38" a="1"/>
  <c r="G85" i="38" s="1"/>
  <c r="D85" i="38" a="1"/>
  <c r="D85" i="38" s="1"/>
  <c r="E85" i="38" a="1"/>
  <c r="E85" i="38" s="1"/>
  <c r="G12" i="39" a="1"/>
  <c r="G12" i="39" s="1"/>
  <c r="O12" i="39" a="1"/>
  <c r="O12" i="39" s="1"/>
  <c r="N12" i="39" a="1"/>
  <c r="N12" i="39" s="1"/>
  <c r="F12" i="39" a="1"/>
  <c r="F12" i="39" s="1"/>
  <c r="L12" i="39" a="1"/>
  <c r="L12" i="39" s="1"/>
  <c r="E12" i="39" a="1"/>
  <c r="E12" i="39" s="1"/>
  <c r="D12" i="39" a="1"/>
  <c r="D12" i="39" s="1"/>
  <c r="M12" i="39" a="1"/>
  <c r="M12" i="39" s="1"/>
  <c r="O32" i="39" a="1"/>
  <c r="O32" i="39" s="1"/>
  <c r="N32" i="39" a="1"/>
  <c r="N32" i="39" s="1"/>
  <c r="F32" i="39" a="1"/>
  <c r="F32" i="39" s="1"/>
  <c r="G32" i="39" a="1"/>
  <c r="G32" i="39" s="1"/>
  <c r="L32" i="39" a="1"/>
  <c r="L32" i="39" s="1"/>
  <c r="D32" i="39" a="1"/>
  <c r="D32" i="39" s="1"/>
  <c r="M32" i="39" a="1"/>
  <c r="M32" i="39" s="1"/>
  <c r="E32" i="39" a="1"/>
  <c r="E32" i="39" s="1"/>
  <c r="G50" i="39" a="1"/>
  <c r="G50" i="39" s="1"/>
  <c r="O50" i="39" a="1"/>
  <c r="O50" i="39" s="1"/>
  <c r="N50" i="39" a="1"/>
  <c r="N50" i="39" s="1"/>
  <c r="F50" i="39" a="1"/>
  <c r="F50" i="39" s="1"/>
  <c r="L50" i="39" a="1"/>
  <c r="L50" i="39" s="1"/>
  <c r="D50" i="39" a="1"/>
  <c r="D50" i="39" s="1"/>
  <c r="E50" i="39" a="1"/>
  <c r="E50" i="39" s="1"/>
  <c r="M50" i="39" a="1"/>
  <c r="M50" i="39" s="1"/>
  <c r="O70" i="39" a="1"/>
  <c r="O70" i="39" s="1"/>
  <c r="N70" i="39" a="1"/>
  <c r="N70" i="39" s="1"/>
  <c r="F70" i="39" a="1"/>
  <c r="F70" i="39" s="1"/>
  <c r="L70" i="39" a="1"/>
  <c r="L70" i="39" s="1"/>
  <c r="M70" i="39" a="1"/>
  <c r="M70" i="39" s="1"/>
  <c r="E70" i="39" a="1"/>
  <c r="E70" i="39" s="1"/>
  <c r="D70" i="39" a="1"/>
  <c r="D70" i="39" s="1"/>
  <c r="G70" i="39" a="1"/>
  <c r="G70" i="39" s="1"/>
  <c r="O88" i="39" a="1"/>
  <c r="O88" i="39" s="1"/>
  <c r="N88" i="39" a="1"/>
  <c r="N88" i="39" s="1"/>
  <c r="F88" i="39" a="1"/>
  <c r="F88" i="39" s="1"/>
  <c r="L88" i="39" a="1"/>
  <c r="L88" i="39" s="1"/>
  <c r="G88" i="39" a="1"/>
  <c r="G88" i="39" s="1"/>
  <c r="M88" i="39" a="1"/>
  <c r="M88" i="39" s="1"/>
  <c r="E88" i="39" a="1"/>
  <c r="E88" i="39" s="1"/>
  <c r="D88" i="39" a="1"/>
  <c r="D88" i="39" s="1"/>
  <c r="E14" i="29"/>
  <c r="O14" i="29"/>
  <c r="E15" i="29"/>
  <c r="O15" i="29"/>
  <c r="H62" i="30" a="1"/>
  <c r="H62" i="30" s="1"/>
  <c r="E62" i="30" a="1"/>
  <c r="E62" i="30" s="1"/>
  <c r="G62" i="30" a="1"/>
  <c r="G62" i="30" s="1"/>
  <c r="F62" i="30" a="1"/>
  <c r="F62" i="30" s="1"/>
  <c r="H9" i="30" a="1"/>
  <c r="H9" i="30" s="1"/>
  <c r="F9" i="30" a="1"/>
  <c r="F9" i="30" s="1"/>
  <c r="E9" i="30" a="1"/>
  <c r="E9" i="30" s="1"/>
  <c r="G9" i="30" a="1"/>
  <c r="G9" i="30" s="1"/>
  <c r="H36" i="30" a="1"/>
  <c r="H36" i="30" s="1"/>
  <c r="E36" i="30" a="1"/>
  <c r="E36" i="30" s="1"/>
  <c r="G36" i="30" a="1"/>
  <c r="G36" i="30" s="1"/>
  <c r="F36" i="30" a="1"/>
  <c r="F36" i="30" s="1"/>
  <c r="H6" i="30" a="1"/>
  <c r="H6" i="30" s="1"/>
  <c r="E6" i="30" a="1"/>
  <c r="E6" i="30" s="1"/>
  <c r="G6" i="30" a="1"/>
  <c r="G6" i="30" s="1"/>
  <c r="F6" i="30" a="1"/>
  <c r="F6" i="30" s="1"/>
  <c r="H63" i="30" a="1"/>
  <c r="H63" i="30" s="1"/>
  <c r="F63" i="30" a="1"/>
  <c r="F63" i="30" s="1"/>
  <c r="G63" i="30" a="1"/>
  <c r="G63" i="30" s="1"/>
  <c r="E63" i="30" a="1"/>
  <c r="E63" i="30" s="1"/>
  <c r="H4" i="30" a="1"/>
  <c r="H4" i="30" s="1"/>
  <c r="E4" i="30" a="1"/>
  <c r="E4" i="30" s="1"/>
  <c r="F4" i="30" a="1"/>
  <c r="F4" i="30" s="1"/>
  <c r="G4" i="30" a="1"/>
  <c r="G4" i="30" s="1"/>
  <c r="H70" i="30" a="1"/>
  <c r="H70" i="30" s="1"/>
  <c r="G70" i="30" a="1"/>
  <c r="G70" i="30" s="1"/>
  <c r="E70" i="30" a="1"/>
  <c r="E70" i="30" s="1"/>
  <c r="F70" i="30" a="1"/>
  <c r="F70" i="30" s="1"/>
  <c r="H30" i="30" a="1"/>
  <c r="H30" i="30" s="1"/>
  <c r="F30" i="30" a="1"/>
  <c r="F30" i="30" s="1"/>
  <c r="G30" i="30" a="1"/>
  <c r="G30" i="30" s="1"/>
  <c r="E30" i="30" a="1"/>
  <c r="E30" i="30" s="1"/>
  <c r="H32" i="30" a="1"/>
  <c r="H32" i="30" s="1"/>
  <c r="G32" i="30" a="1"/>
  <c r="G32" i="30" s="1"/>
  <c r="E32" i="30" a="1"/>
  <c r="E32" i="30" s="1"/>
  <c r="F32" i="30" a="1"/>
  <c r="F32" i="30" s="1"/>
  <c r="H48" i="30" a="1"/>
  <c r="H48" i="30" s="1"/>
  <c r="F48" i="30" a="1"/>
  <c r="F48" i="30" s="1"/>
  <c r="G48" i="30" a="1"/>
  <c r="G48" i="30" s="1"/>
  <c r="E48" i="30" a="1"/>
  <c r="E48" i="30" s="1"/>
  <c r="H55" i="30" a="1"/>
  <c r="H55" i="30" s="1"/>
  <c r="F55" i="30" a="1"/>
  <c r="F55" i="30" s="1"/>
  <c r="E55" i="30" a="1"/>
  <c r="E55" i="30" s="1"/>
  <c r="G55" i="30" a="1"/>
  <c r="G55" i="30" s="1"/>
  <c r="H73" i="30" a="1"/>
  <c r="H73" i="30" s="1"/>
  <c r="F73" i="30" a="1"/>
  <c r="F73" i="30" s="1"/>
  <c r="E73" i="30" a="1"/>
  <c r="E73" i="30" s="1"/>
  <c r="G73" i="30" a="1"/>
  <c r="G73" i="30" s="1"/>
  <c r="H46" i="30" a="1"/>
  <c r="H46" i="30" s="1"/>
  <c r="F46" i="30" a="1"/>
  <c r="F46" i="30" s="1"/>
  <c r="G46" i="30" a="1"/>
  <c r="G46" i="30" s="1"/>
  <c r="E46" i="30" a="1"/>
  <c r="E46" i="30" s="1"/>
  <c r="H69" i="30" a="1"/>
  <c r="H69" i="30" s="1"/>
  <c r="G69" i="30" a="1"/>
  <c r="G69" i="30" s="1"/>
  <c r="E69" i="30" a="1"/>
  <c r="E69" i="30" s="1"/>
  <c r="F69" i="30" a="1"/>
  <c r="F69" i="30" s="1"/>
  <c r="H22" i="30" a="1"/>
  <c r="H22" i="30" s="1"/>
  <c r="E22" i="30" a="1"/>
  <c r="E22" i="30" s="1"/>
  <c r="F22" i="30" a="1"/>
  <c r="F22" i="30" s="1"/>
  <c r="G22" i="30" a="1"/>
  <c r="G22" i="30" s="1"/>
  <c r="G38" i="36" a="1"/>
  <c r="G38" i="36" s="1"/>
  <c r="F38" i="36" a="1"/>
  <c r="F38" i="36" s="1"/>
  <c r="E38" i="36" a="1"/>
  <c r="E38" i="36" s="1"/>
  <c r="O57" i="39" a="1"/>
  <c r="O57" i="39" s="1"/>
  <c r="F57" i="39" a="1"/>
  <c r="F57" i="39" s="1"/>
  <c r="N57" i="39" a="1"/>
  <c r="N57" i="39" s="1"/>
  <c r="G57" i="39" a="1"/>
  <c r="G57" i="39" s="1"/>
  <c r="E57" i="39" a="1"/>
  <c r="E57" i="39" s="1"/>
  <c r="M57" i="39" a="1"/>
  <c r="M57" i="39" s="1"/>
  <c r="L57" i="39" a="1"/>
  <c r="L57" i="39" s="1"/>
  <c r="D57" i="39" a="1"/>
  <c r="D57" i="39" s="1"/>
  <c r="D88" i="36" a="1"/>
  <c r="D88" i="36" s="1"/>
  <c r="G88" i="36" a="1"/>
  <c r="G88" i="36" s="1"/>
  <c r="E88" i="36" a="1"/>
  <c r="E88" i="36" s="1"/>
  <c r="F88" i="36" a="1"/>
  <c r="F88" i="36" s="1"/>
  <c r="O75" i="39" a="1"/>
  <c r="O75" i="39" s="1"/>
  <c r="F75" i="39" a="1"/>
  <c r="F75" i="39" s="1"/>
  <c r="N75" i="39" a="1"/>
  <c r="N75" i="39" s="1"/>
  <c r="G75" i="39" a="1"/>
  <c r="G75" i="39" s="1"/>
  <c r="M75" i="39" a="1"/>
  <c r="M75" i="39" s="1"/>
  <c r="L75" i="39" a="1"/>
  <c r="L75" i="39" s="1"/>
  <c r="D75" i="39" a="1"/>
  <c r="D75" i="39" s="1"/>
  <c r="E75" i="39" a="1"/>
  <c r="E75" i="39" s="1"/>
  <c r="D30" i="36" a="1"/>
  <c r="D30" i="36" s="1"/>
  <c r="G30" i="36" a="1"/>
  <c r="G30" i="36" s="1"/>
  <c r="F30" i="36" a="1"/>
  <c r="F30" i="36" s="1"/>
  <c r="E30" i="36" a="1"/>
  <c r="E30" i="36" s="1"/>
  <c r="G46" i="37" a="1"/>
  <c r="G46" i="37" s="1"/>
  <c r="F46" i="37" a="1"/>
  <c r="F46" i="37" s="1"/>
  <c r="E46" i="37" a="1"/>
  <c r="E46" i="37" s="1"/>
  <c r="D46" i="37" a="1"/>
  <c r="D46" i="37" s="1"/>
  <c r="D58" i="36" a="1"/>
  <c r="D58" i="36" s="1"/>
  <c r="G58" i="36" a="1"/>
  <c r="G58" i="36" s="1"/>
  <c r="E58" i="36" a="1"/>
  <c r="E58" i="36" s="1"/>
  <c r="F58" i="36" a="1"/>
  <c r="F58" i="36" s="1"/>
  <c r="F72" i="38" a="1"/>
  <c r="F72" i="38" s="1"/>
  <c r="E72" i="38" a="1"/>
  <c r="E72" i="38" s="1"/>
  <c r="G72" i="38" a="1"/>
  <c r="G72" i="38" s="1"/>
  <c r="D72" i="38" a="1"/>
  <c r="D72" i="38" s="1"/>
  <c r="D62" i="36" a="1"/>
  <c r="D62" i="36" s="1"/>
  <c r="F62" i="36" a="1"/>
  <c r="F62" i="36" s="1"/>
  <c r="E62" i="36" a="1"/>
  <c r="E62" i="36" s="1"/>
  <c r="G62" i="36" a="1"/>
  <c r="G62" i="36" s="1"/>
  <c r="D54" i="36" a="1"/>
  <c r="D54" i="36" s="1"/>
  <c r="E54" i="36" a="1"/>
  <c r="E54" i="36" s="1"/>
  <c r="G54" i="36" a="1"/>
  <c r="G54" i="36" s="1"/>
  <c r="F54" i="36" a="1"/>
  <c r="F54" i="36" s="1"/>
  <c r="F56" i="37" a="1"/>
  <c r="F56" i="37" s="1"/>
  <c r="G56" i="37" a="1"/>
  <c r="G56" i="37" s="1"/>
  <c r="E56" i="37" a="1"/>
  <c r="E56" i="37" s="1"/>
  <c r="D56" i="37" a="1"/>
  <c r="D56" i="37" s="1"/>
  <c r="D31" i="36" a="1"/>
  <c r="D31" i="36" s="1"/>
  <c r="E31" i="36" a="1"/>
  <c r="E31" i="36" s="1"/>
  <c r="G31" i="36" a="1"/>
  <c r="G31" i="36" s="1"/>
  <c r="F31" i="36" a="1"/>
  <c r="F31" i="36" s="1"/>
  <c r="D49" i="36" a="1"/>
  <c r="D49" i="36" s="1"/>
  <c r="F49" i="36" a="1"/>
  <c r="F49" i="36" s="1"/>
  <c r="E49" i="36" a="1"/>
  <c r="E49" i="36" s="1"/>
  <c r="G49" i="36" a="1"/>
  <c r="G49" i="36" s="1"/>
  <c r="D69" i="36" a="1"/>
  <c r="D69" i="36" s="1"/>
  <c r="G69" i="36" a="1"/>
  <c r="G69" i="36" s="1"/>
  <c r="E69" i="36" a="1"/>
  <c r="E69" i="36" s="1"/>
  <c r="F69" i="36" a="1"/>
  <c r="F69" i="36" s="1"/>
  <c r="D85" i="36" a="1"/>
  <c r="D85" i="36" s="1"/>
  <c r="F85" i="36" a="1"/>
  <c r="F85" i="36" s="1"/>
  <c r="E85" i="36" a="1"/>
  <c r="E85" i="36" s="1"/>
  <c r="G85" i="36" a="1"/>
  <c r="G85" i="36" s="1"/>
  <c r="F15" i="37" a="1"/>
  <c r="F15" i="37" s="1"/>
  <c r="E15" i="37" a="1"/>
  <c r="E15" i="37" s="1"/>
  <c r="G15" i="37" a="1"/>
  <c r="G15" i="37" s="1"/>
  <c r="D15" i="37" a="1"/>
  <c r="D15" i="37" s="1"/>
  <c r="F41" i="37" a="1"/>
  <c r="F41" i="37" s="1"/>
  <c r="G41" i="37" a="1"/>
  <c r="G41" i="37" s="1"/>
  <c r="E41" i="37" a="1"/>
  <c r="E41" i="37" s="1"/>
  <c r="D41" i="37" a="1"/>
  <c r="D41" i="37" s="1"/>
  <c r="F77" i="37" a="1"/>
  <c r="F77" i="37" s="1"/>
  <c r="G77" i="37" a="1"/>
  <c r="G77" i="37" s="1"/>
  <c r="E77" i="37" a="1"/>
  <c r="E77" i="37" s="1"/>
  <c r="D77" i="37" a="1"/>
  <c r="D77" i="37" s="1"/>
  <c r="E20" i="38" a="1"/>
  <c r="E20" i="38" s="1"/>
  <c r="F20" i="38" a="1"/>
  <c r="F20" i="38" s="1"/>
  <c r="G20" i="38" a="1"/>
  <c r="G20" i="38" s="1"/>
  <c r="D20" i="38" a="1"/>
  <c r="D20" i="38" s="1"/>
  <c r="G5" i="39" a="1"/>
  <c r="G5" i="39" s="1"/>
  <c r="F5" i="39" a="1"/>
  <c r="F5" i="39" s="1"/>
  <c r="O5" i="39" a="1"/>
  <c r="O5" i="39" s="1"/>
  <c r="L5" i="39" a="1"/>
  <c r="L5" i="39" s="1"/>
  <c r="E5" i="39" a="1"/>
  <c r="E5" i="39" s="1"/>
  <c r="N5" i="39" a="1"/>
  <c r="N5" i="39" s="1"/>
  <c r="M5" i="39" a="1"/>
  <c r="M5" i="39" s="1"/>
  <c r="D5" i="39" a="1"/>
  <c r="D5" i="39" s="1"/>
  <c r="G81" i="39" a="1"/>
  <c r="G81" i="39" s="1"/>
  <c r="F81" i="39" a="1"/>
  <c r="F81" i="39" s="1"/>
  <c r="O81" i="39" a="1"/>
  <c r="O81" i="39" s="1"/>
  <c r="L81" i="39" a="1"/>
  <c r="L81" i="39" s="1"/>
  <c r="E81" i="39" a="1"/>
  <c r="E81" i="39" s="1"/>
  <c r="D81" i="39" a="1"/>
  <c r="D81" i="39" s="1"/>
  <c r="N81" i="39" a="1"/>
  <c r="N81" i="39" s="1"/>
  <c r="M81" i="39" a="1"/>
  <c r="M81" i="39" s="1"/>
  <c r="F11" i="36" a="1"/>
  <c r="F11" i="36" s="1"/>
  <c r="G11" i="36" a="1"/>
  <c r="G11" i="36" s="1"/>
  <c r="E11" i="36" a="1"/>
  <c r="E11" i="36" s="1"/>
  <c r="H15" i="30" a="1"/>
  <c r="H15" i="30" s="1"/>
  <c r="F15" i="30" a="1"/>
  <c r="F15" i="30" s="1"/>
  <c r="E15" i="30" a="1"/>
  <c r="E15" i="30" s="1"/>
  <c r="G15" i="30" a="1"/>
  <c r="G15" i="30" s="1"/>
  <c r="D4" i="36" a="1"/>
  <c r="D4" i="36" s="1"/>
  <c r="F4" i="36" a="1"/>
  <c r="F4" i="36" s="1"/>
  <c r="E4" i="36" a="1"/>
  <c r="E4" i="36" s="1"/>
  <c r="G4" i="36" a="1"/>
  <c r="G4" i="36" s="1"/>
  <c r="D22" i="36" a="1"/>
  <c r="D22" i="36" s="1"/>
  <c r="F22" i="36" a="1"/>
  <c r="F22" i="36" s="1"/>
  <c r="E22" i="36" a="1"/>
  <c r="E22" i="36" s="1"/>
  <c r="G22" i="36" a="1"/>
  <c r="G22" i="36" s="1"/>
  <c r="D42" i="36" a="1"/>
  <c r="D42" i="36" s="1"/>
  <c r="F42" i="36" a="1"/>
  <c r="F42" i="36" s="1"/>
  <c r="G42" i="36" a="1"/>
  <c r="G42" i="36" s="1"/>
  <c r="E42" i="36" a="1"/>
  <c r="E42" i="36" s="1"/>
  <c r="D60" i="36" a="1"/>
  <c r="D60" i="36" s="1"/>
  <c r="G60" i="36" a="1"/>
  <c r="G60" i="36" s="1"/>
  <c r="F60" i="36" a="1"/>
  <c r="F60" i="36" s="1"/>
  <c r="E60" i="36" a="1"/>
  <c r="E60" i="36" s="1"/>
  <c r="D82" i="36" a="1"/>
  <c r="D82" i="36" s="1"/>
  <c r="F82" i="36" a="1"/>
  <c r="F82" i="36" s="1"/>
  <c r="E82" i="36" a="1"/>
  <c r="E82" i="36" s="1"/>
  <c r="G82" i="36" a="1"/>
  <c r="G82" i="36" s="1"/>
  <c r="G9" i="37" a="1"/>
  <c r="G9" i="37" s="1"/>
  <c r="F9" i="37" a="1"/>
  <c r="F9" i="37" s="1"/>
  <c r="E9" i="37" a="1"/>
  <c r="E9" i="37" s="1"/>
  <c r="D9" i="37" a="1"/>
  <c r="D9" i="37" s="1"/>
  <c r="E35" i="37" a="1"/>
  <c r="E35" i="37" s="1"/>
  <c r="F35" i="37" a="1"/>
  <c r="F35" i="37" s="1"/>
  <c r="G35" i="37" a="1"/>
  <c r="G35" i="37" s="1"/>
  <c r="D35" i="37" a="1"/>
  <c r="D35" i="37" s="1"/>
  <c r="E70" i="37" a="1"/>
  <c r="E70" i="37" s="1"/>
  <c r="F70" i="37" a="1"/>
  <c r="F70" i="37" s="1"/>
  <c r="G70" i="37" a="1"/>
  <c r="G70" i="37" s="1"/>
  <c r="D70" i="37" a="1"/>
  <c r="D70" i="37" s="1"/>
  <c r="G44" i="38" a="1"/>
  <c r="G44" i="38" s="1"/>
  <c r="F44" i="38" a="1"/>
  <c r="F44" i="38" s="1"/>
  <c r="E44" i="38" a="1"/>
  <c r="E44" i="38" s="1"/>
  <c r="D44" i="38" a="1"/>
  <c r="D44" i="38" s="1"/>
  <c r="G29" i="39" a="1"/>
  <c r="G29" i="39" s="1"/>
  <c r="F29" i="39" a="1"/>
  <c r="F29" i="39" s="1"/>
  <c r="N29" i="39" a="1"/>
  <c r="N29" i="39" s="1"/>
  <c r="E29" i="39" a="1"/>
  <c r="E29" i="39" s="1"/>
  <c r="O29" i="39" a="1"/>
  <c r="O29" i="39" s="1"/>
  <c r="L29" i="39" a="1"/>
  <c r="L29" i="39" s="1"/>
  <c r="M29" i="39" a="1"/>
  <c r="M29" i="39" s="1"/>
  <c r="D29" i="39" a="1"/>
  <c r="D29" i="39" s="1"/>
  <c r="H88" i="30" a="1"/>
  <c r="H88" i="30" s="1"/>
  <c r="G88" i="30" a="1"/>
  <c r="G88" i="30" s="1"/>
  <c r="E88" i="30" a="1"/>
  <c r="E88" i="30" s="1"/>
  <c r="F88" i="30" a="1"/>
  <c r="F88" i="30" s="1"/>
  <c r="D19" i="36" a="1"/>
  <c r="D19" i="36" s="1"/>
  <c r="E19" i="36" a="1"/>
  <c r="E19" i="36" s="1"/>
  <c r="G19" i="36" a="1"/>
  <c r="G19" i="36" s="1"/>
  <c r="F19" i="36" a="1"/>
  <c r="F19" i="36" s="1"/>
  <c r="E37" i="36" a="1"/>
  <c r="E37" i="36" s="1"/>
  <c r="G37" i="36" a="1"/>
  <c r="G37" i="36" s="1"/>
  <c r="F37" i="36" a="1"/>
  <c r="F37" i="36" s="1"/>
  <c r="D57" i="36" a="1"/>
  <c r="D57" i="36" s="1"/>
  <c r="E57" i="36" a="1"/>
  <c r="E57" i="36" s="1"/>
  <c r="G57" i="36" a="1"/>
  <c r="G57" i="36" s="1"/>
  <c r="F57" i="36" a="1"/>
  <c r="F57" i="36" s="1"/>
  <c r="D75" i="36" a="1"/>
  <c r="D75" i="36" s="1"/>
  <c r="G75" i="36" a="1"/>
  <c r="G75" i="36" s="1"/>
  <c r="F75" i="36" a="1"/>
  <c r="F75" i="36" s="1"/>
  <c r="E75" i="36" a="1"/>
  <c r="E75" i="36" s="1"/>
  <c r="G11" i="37" a="1"/>
  <c r="G11" i="37" s="1"/>
  <c r="D11" i="37" a="1"/>
  <c r="D11" i="37" s="1"/>
  <c r="E11" i="37" a="1"/>
  <c r="E11" i="37" s="1"/>
  <c r="F11" i="37" a="1"/>
  <c r="F11" i="37" s="1"/>
  <c r="G36" i="37" a="1"/>
  <c r="G36" i="37" s="1"/>
  <c r="E36" i="37" a="1"/>
  <c r="E36" i="37" s="1"/>
  <c r="F36" i="37" a="1"/>
  <c r="F36" i="37" s="1"/>
  <c r="D36" i="37" a="1"/>
  <c r="D36" i="37" s="1"/>
  <c r="F73" i="37" a="1"/>
  <c r="F73" i="37" s="1"/>
  <c r="E73" i="37" a="1"/>
  <c r="E73" i="37" s="1"/>
  <c r="G73" i="37" a="1"/>
  <c r="G73" i="37" s="1"/>
  <c r="D73" i="37" a="1"/>
  <c r="D73" i="37" s="1"/>
  <c r="F48" i="38" a="1"/>
  <c r="F48" i="38" s="1"/>
  <c r="E48" i="38" a="1"/>
  <c r="E48" i="38" s="1"/>
  <c r="G48" i="38" a="1"/>
  <c r="G48" i="38" s="1"/>
  <c r="D48" i="38" a="1"/>
  <c r="D48" i="38" s="1"/>
  <c r="E33" i="39" a="1"/>
  <c r="E33" i="39" s="1"/>
  <c r="O33" i="39" a="1"/>
  <c r="O33" i="39" s="1"/>
  <c r="F33" i="39" a="1"/>
  <c r="F33" i="39" s="1"/>
  <c r="G33" i="39" a="1"/>
  <c r="G33" i="39" s="1"/>
  <c r="L33" i="39" a="1"/>
  <c r="L33" i="39" s="1"/>
  <c r="N33" i="39" a="1"/>
  <c r="N33" i="39" s="1"/>
  <c r="M33" i="39" a="1"/>
  <c r="M33" i="39" s="1"/>
  <c r="D33" i="39" a="1"/>
  <c r="D33" i="39" s="1"/>
  <c r="G43" i="37" a="1"/>
  <c r="G43" i="37" s="1"/>
  <c r="F43" i="37" a="1"/>
  <c r="F43" i="37" s="1"/>
  <c r="E43" i="37" a="1"/>
  <c r="E43" i="37" s="1"/>
  <c r="D43" i="37" a="1"/>
  <c r="D43" i="37" s="1"/>
  <c r="G61" i="37" a="1"/>
  <c r="G61" i="37" s="1"/>
  <c r="F61" i="37" a="1"/>
  <c r="F61" i="37" s="1"/>
  <c r="E61" i="37" a="1"/>
  <c r="E61" i="37" s="1"/>
  <c r="D61" i="37" a="1"/>
  <c r="D61" i="37" s="1"/>
  <c r="E83" i="37" a="1"/>
  <c r="E83" i="37" s="1"/>
  <c r="G83" i="37" a="1"/>
  <c r="G83" i="37" s="1"/>
  <c r="F83" i="37" a="1"/>
  <c r="F83" i="37" s="1"/>
  <c r="D83" i="37" a="1"/>
  <c r="D83" i="37" s="1"/>
  <c r="G11" i="38" a="1"/>
  <c r="G11" i="38" s="1"/>
  <c r="F11" i="38" a="1"/>
  <c r="F11" i="38" s="1"/>
  <c r="E11" i="38" a="1"/>
  <c r="E11" i="38" s="1"/>
  <c r="D11" i="38" a="1"/>
  <c r="D11" i="38" s="1"/>
  <c r="E31" i="38" a="1"/>
  <c r="E31" i="38" s="1"/>
  <c r="F31" i="38" a="1"/>
  <c r="F31" i="38" s="1"/>
  <c r="G31" i="38" a="1"/>
  <c r="G31" i="38" s="1"/>
  <c r="D31" i="38" a="1"/>
  <c r="D31" i="38" s="1"/>
  <c r="G49" i="38" a="1"/>
  <c r="G49" i="38" s="1"/>
  <c r="F49" i="38" a="1"/>
  <c r="F49" i="38" s="1"/>
  <c r="D49" i="38" a="1"/>
  <c r="D49" i="38" s="1"/>
  <c r="E49" i="38" a="1"/>
  <c r="E49" i="38" s="1"/>
  <c r="E69" i="38" a="1"/>
  <c r="E69" i="38" s="1"/>
  <c r="G69" i="38" a="1"/>
  <c r="G69" i="38" s="1"/>
  <c r="F69" i="38" a="1"/>
  <c r="F69" i="38" s="1"/>
  <c r="D69" i="38" a="1"/>
  <c r="D69" i="38" s="1"/>
  <c r="E87" i="38" a="1"/>
  <c r="E87" i="38" s="1"/>
  <c r="G87" i="38" a="1"/>
  <c r="G87" i="38" s="1"/>
  <c r="F87" i="38" a="1"/>
  <c r="F87" i="38" s="1"/>
  <c r="D87" i="38" a="1"/>
  <c r="D87" i="38" s="1"/>
  <c r="F16" i="39" a="1"/>
  <c r="F16" i="39" s="1"/>
  <c r="O16" i="39" a="1"/>
  <c r="O16" i="39" s="1"/>
  <c r="G16" i="39" a="1"/>
  <c r="G16" i="39" s="1"/>
  <c r="E16" i="39" a="1"/>
  <c r="E16" i="39" s="1"/>
  <c r="M16" i="39" a="1"/>
  <c r="M16" i="39" s="1"/>
  <c r="N16" i="39" a="1"/>
  <c r="N16" i="39" s="1"/>
  <c r="L16" i="39" a="1"/>
  <c r="L16" i="39" s="1"/>
  <c r="D16" i="39" a="1"/>
  <c r="D16" i="39" s="1"/>
  <c r="F34" i="39" a="1"/>
  <c r="F34" i="39" s="1"/>
  <c r="O34" i="39" a="1"/>
  <c r="O34" i="39" s="1"/>
  <c r="E34" i="39" a="1"/>
  <c r="E34" i="39" s="1"/>
  <c r="M34" i="39" a="1"/>
  <c r="M34" i="39" s="1"/>
  <c r="N34" i="39" a="1"/>
  <c r="N34" i="39" s="1"/>
  <c r="G34" i="39" a="1"/>
  <c r="G34" i="39" s="1"/>
  <c r="L34" i="39" a="1"/>
  <c r="L34" i="39" s="1"/>
  <c r="D34" i="39" a="1"/>
  <c r="D34" i="39" s="1"/>
  <c r="F54" i="39" a="1"/>
  <c r="F54" i="39" s="1"/>
  <c r="O54" i="39" a="1"/>
  <c r="O54" i="39" s="1"/>
  <c r="M54" i="39" a="1"/>
  <c r="M54" i="39" s="1"/>
  <c r="G54" i="39" a="1"/>
  <c r="G54" i="39" s="1"/>
  <c r="N54" i="39" a="1"/>
  <c r="N54" i="39" s="1"/>
  <c r="E54" i="39" a="1"/>
  <c r="E54" i="39" s="1"/>
  <c r="L54" i="39" a="1"/>
  <c r="L54" i="39" s="1"/>
  <c r="D54" i="39" a="1"/>
  <c r="D54" i="39" s="1"/>
  <c r="F72" i="39" a="1"/>
  <c r="F72" i="39" s="1"/>
  <c r="O72" i="39" a="1"/>
  <c r="O72" i="39" s="1"/>
  <c r="E72" i="39" a="1"/>
  <c r="E72" i="39" s="1"/>
  <c r="M72" i="39" a="1"/>
  <c r="M72" i="39" s="1"/>
  <c r="D72" i="39" a="1"/>
  <c r="D72" i="39" s="1"/>
  <c r="G72" i="39" a="1"/>
  <c r="G72" i="39" s="1"/>
  <c r="N72" i="39" a="1"/>
  <c r="N72" i="39" s="1"/>
  <c r="L72" i="39" a="1"/>
  <c r="L72" i="39" s="1"/>
  <c r="F90" i="39" a="1"/>
  <c r="F90" i="39" s="1"/>
  <c r="O90" i="39" a="1"/>
  <c r="O90" i="39" s="1"/>
  <c r="G90" i="39" a="1"/>
  <c r="G90" i="39" s="1"/>
  <c r="M90" i="39" a="1"/>
  <c r="M90" i="39" s="1"/>
  <c r="D90" i="39" a="1"/>
  <c r="D90" i="39" s="1"/>
  <c r="N90" i="39" a="1"/>
  <c r="N90" i="39" s="1"/>
  <c r="E90" i="39" a="1"/>
  <c r="E90" i="39" s="1"/>
  <c r="L90" i="39" a="1"/>
  <c r="L90" i="39" s="1"/>
  <c r="G2" i="37" a="1"/>
  <c r="G2" i="37" s="1"/>
  <c r="E2" i="37" a="1"/>
  <c r="E2" i="37" s="1"/>
  <c r="F2" i="37" a="1"/>
  <c r="F2" i="37" s="1"/>
  <c r="D2" i="37" a="1"/>
  <c r="D2" i="37" s="1"/>
  <c r="F20" i="37" a="1"/>
  <c r="F20" i="37" s="1"/>
  <c r="G20" i="37" a="1"/>
  <c r="G20" i="37" s="1"/>
  <c r="E20" i="37" a="1"/>
  <c r="E20" i="37" s="1"/>
  <c r="D20" i="37" a="1"/>
  <c r="D20" i="37" s="1"/>
  <c r="G38" i="37" a="1"/>
  <c r="G38" i="37" s="1"/>
  <c r="E38" i="37" a="1"/>
  <c r="E38" i="37" s="1"/>
  <c r="F38" i="37" a="1"/>
  <c r="F38" i="37" s="1"/>
  <c r="D38" i="37" a="1"/>
  <c r="D38" i="37" s="1"/>
  <c r="G58" i="37" a="1"/>
  <c r="G58" i="37" s="1"/>
  <c r="F58" i="37" a="1"/>
  <c r="F58" i="37" s="1"/>
  <c r="E58" i="37" a="1"/>
  <c r="E58" i="37" s="1"/>
  <c r="D58" i="37" a="1"/>
  <c r="D58" i="37" s="1"/>
  <c r="F76" i="37" a="1"/>
  <c r="F76" i="37" s="1"/>
  <c r="G76" i="37" a="1"/>
  <c r="G76" i="37" s="1"/>
  <c r="E76" i="37" a="1"/>
  <c r="E76" i="37" s="1"/>
  <c r="D76" i="37" a="1"/>
  <c r="D76" i="37" s="1"/>
  <c r="G4" i="38" a="1"/>
  <c r="G4" i="38" s="1"/>
  <c r="F4" i="38" a="1"/>
  <c r="F4" i="38" s="1"/>
  <c r="E4" i="38" a="1"/>
  <c r="E4" i="38" s="1"/>
  <c r="D4" i="38" a="1"/>
  <c r="D4" i="38" s="1"/>
  <c r="F22" i="38" a="1"/>
  <c r="F22" i="38" s="1"/>
  <c r="G22" i="38" a="1"/>
  <c r="G22" i="38" s="1"/>
  <c r="E22" i="38" a="1"/>
  <c r="E22" i="38" s="1"/>
  <c r="D22" i="38" a="1"/>
  <c r="D22" i="38" s="1"/>
  <c r="G42" i="38" a="1"/>
  <c r="G42" i="38" s="1"/>
  <c r="F42" i="38" a="1"/>
  <c r="F42" i="38" s="1"/>
  <c r="E42" i="38" a="1"/>
  <c r="E42" i="38" s="1"/>
  <c r="D42" i="38" a="1"/>
  <c r="D42" i="38" s="1"/>
  <c r="E60" i="38" a="1"/>
  <c r="E60" i="38" s="1"/>
  <c r="G60" i="38" a="1"/>
  <c r="G60" i="38" s="1"/>
  <c r="F60" i="38" a="1"/>
  <c r="F60" i="38" s="1"/>
  <c r="D60" i="38" a="1"/>
  <c r="D60" i="38" s="1"/>
  <c r="E80" i="38" a="1"/>
  <c r="E80" i="38" s="1"/>
  <c r="G80" i="38" a="1"/>
  <c r="G80" i="38" s="1"/>
  <c r="F80" i="38" a="1"/>
  <c r="F80" i="38" s="1"/>
  <c r="D80" i="38" a="1"/>
  <c r="D80" i="38" s="1"/>
  <c r="G7" i="39" a="1"/>
  <c r="G7" i="39" s="1"/>
  <c r="F7" i="39" a="1"/>
  <c r="F7" i="39" s="1"/>
  <c r="N7" i="39" a="1"/>
  <c r="N7" i="39" s="1"/>
  <c r="O7" i="39" a="1"/>
  <c r="O7" i="39" s="1"/>
  <c r="E7" i="39" a="1"/>
  <c r="E7" i="39" s="1"/>
  <c r="M7" i="39" a="1"/>
  <c r="M7" i="39" s="1"/>
  <c r="L7" i="39" a="1"/>
  <c r="L7" i="39" s="1"/>
  <c r="D7" i="39" a="1"/>
  <c r="D7" i="39" s="1"/>
  <c r="G25" i="39" a="1"/>
  <c r="G25" i="39" s="1"/>
  <c r="O25" i="39" a="1"/>
  <c r="O25" i="39" s="1"/>
  <c r="F25" i="39" a="1"/>
  <c r="F25" i="39" s="1"/>
  <c r="N25" i="39" a="1"/>
  <c r="N25" i="39" s="1"/>
  <c r="E25" i="39" a="1"/>
  <c r="E25" i="39" s="1"/>
  <c r="M25" i="39" a="1"/>
  <c r="M25" i="39" s="1"/>
  <c r="L25" i="39" a="1"/>
  <c r="L25" i="39" s="1"/>
  <c r="D25" i="39" a="1"/>
  <c r="D25" i="39" s="1"/>
  <c r="O45" i="39" a="1"/>
  <c r="O45" i="39" s="1"/>
  <c r="G45" i="39" a="1"/>
  <c r="G45" i="39" s="1"/>
  <c r="F45" i="39" a="1"/>
  <c r="F45" i="39" s="1"/>
  <c r="N45" i="39" a="1"/>
  <c r="N45" i="39" s="1"/>
  <c r="E45" i="39" a="1"/>
  <c r="E45" i="39" s="1"/>
  <c r="M45" i="39" a="1"/>
  <c r="M45" i="39" s="1"/>
  <c r="L45" i="39" a="1"/>
  <c r="L45" i="39" s="1"/>
  <c r="D45" i="39" a="1"/>
  <c r="D45" i="39" s="1"/>
  <c r="G63" i="39" a="1"/>
  <c r="G63" i="39" s="1"/>
  <c r="F63" i="39" a="1"/>
  <c r="F63" i="39" s="1"/>
  <c r="N63" i="39" a="1"/>
  <c r="N63" i="39" s="1"/>
  <c r="E63" i="39" a="1"/>
  <c r="E63" i="39" s="1"/>
  <c r="M63" i="39" a="1"/>
  <c r="M63" i="39" s="1"/>
  <c r="O63" i="39" a="1"/>
  <c r="O63" i="39" s="1"/>
  <c r="L63" i="39" a="1"/>
  <c r="L63" i="39" s="1"/>
  <c r="D63" i="39" a="1"/>
  <c r="D63" i="39" s="1"/>
  <c r="G83" i="39" a="1"/>
  <c r="G83" i="39" s="1"/>
  <c r="F83" i="39" a="1"/>
  <c r="F83" i="39" s="1"/>
  <c r="N83" i="39" a="1"/>
  <c r="N83" i="39" s="1"/>
  <c r="O83" i="39" a="1"/>
  <c r="O83" i="39" s="1"/>
  <c r="E83" i="39" a="1"/>
  <c r="E83" i="39" s="1"/>
  <c r="M83" i="39" a="1"/>
  <c r="M83" i="39" s="1"/>
  <c r="D83" i="39" a="1"/>
  <c r="D83" i="39" s="1"/>
  <c r="L83" i="39" a="1"/>
  <c r="L83" i="39" s="1"/>
  <c r="G15" i="38" a="1"/>
  <c r="G15" i="38" s="1"/>
  <c r="F15" i="38" a="1"/>
  <c r="F15" i="38" s="1"/>
  <c r="E15" i="38" a="1"/>
  <c r="E15" i="38" s="1"/>
  <c r="D15" i="38" a="1"/>
  <c r="D15" i="38" s="1"/>
  <c r="G33" i="38" a="1"/>
  <c r="G33" i="38" s="1"/>
  <c r="F33" i="38" a="1"/>
  <c r="F33" i="38" s="1"/>
  <c r="E33" i="38" a="1"/>
  <c r="E33" i="38" s="1"/>
  <c r="D33" i="38" a="1"/>
  <c r="D33" i="38" s="1"/>
  <c r="F51" i="38" a="1"/>
  <c r="F51" i="38" s="1"/>
  <c r="D51" i="38" a="1"/>
  <c r="D51" i="38" s="1"/>
  <c r="G51" i="38" a="1"/>
  <c r="G51" i="38" s="1"/>
  <c r="E51" i="38" a="1"/>
  <c r="E51" i="38" s="1"/>
  <c r="G71" i="38" a="1"/>
  <c r="G71" i="38" s="1"/>
  <c r="F71" i="38" a="1"/>
  <c r="F71" i="38" s="1"/>
  <c r="E71" i="38" a="1"/>
  <c r="E71" i="38" s="1"/>
  <c r="D71" i="38" a="1"/>
  <c r="D71" i="38" s="1"/>
  <c r="E89" i="38" a="1"/>
  <c r="E89" i="38" s="1"/>
  <c r="G89" i="38" a="1"/>
  <c r="G89" i="38" s="1"/>
  <c r="F89" i="38" a="1"/>
  <c r="F89" i="38" s="1"/>
  <c r="D89" i="38" a="1"/>
  <c r="D89" i="38" s="1"/>
  <c r="G18" i="39" a="1"/>
  <c r="G18" i="39" s="1"/>
  <c r="O18" i="39" a="1"/>
  <c r="O18" i="39" s="1"/>
  <c r="N18" i="39" a="1"/>
  <c r="N18" i="39" s="1"/>
  <c r="M18" i="39" a="1"/>
  <c r="M18" i="39" s="1"/>
  <c r="L18" i="39" a="1"/>
  <c r="L18" i="39" s="1"/>
  <c r="F18" i="39" a="1"/>
  <c r="F18" i="39" s="1"/>
  <c r="E18" i="39" a="1"/>
  <c r="E18" i="39" s="1"/>
  <c r="D18" i="39" a="1"/>
  <c r="D18" i="39" s="1"/>
  <c r="G36" i="39" a="1"/>
  <c r="G36" i="39" s="1"/>
  <c r="N36" i="39" a="1"/>
  <c r="N36" i="39" s="1"/>
  <c r="M36" i="39" a="1"/>
  <c r="M36" i="39" s="1"/>
  <c r="L36" i="39" a="1"/>
  <c r="L36" i="39" s="1"/>
  <c r="F36" i="39" a="1"/>
  <c r="F36" i="39" s="1"/>
  <c r="E36" i="39" a="1"/>
  <c r="E36" i="39" s="1"/>
  <c r="D36" i="39" a="1"/>
  <c r="D36" i="39" s="1"/>
  <c r="O36" i="39" a="1"/>
  <c r="O36" i="39" s="1"/>
  <c r="G56" i="39" a="1"/>
  <c r="G56" i="39" s="1"/>
  <c r="N56" i="39" a="1"/>
  <c r="N56" i="39" s="1"/>
  <c r="M56" i="39" a="1"/>
  <c r="M56" i="39" s="1"/>
  <c r="L56" i="39" a="1"/>
  <c r="L56" i="39" s="1"/>
  <c r="O56" i="39" a="1"/>
  <c r="O56" i="39" s="1"/>
  <c r="F56" i="39" a="1"/>
  <c r="F56" i="39" s="1"/>
  <c r="E56" i="39" a="1"/>
  <c r="E56" i="39" s="1"/>
  <c r="D56" i="39" a="1"/>
  <c r="D56" i="39" s="1"/>
  <c r="G74" i="39" a="1"/>
  <c r="G74" i="39" s="1"/>
  <c r="O74" i="39" a="1"/>
  <c r="O74" i="39" s="1"/>
  <c r="N74" i="39" a="1"/>
  <c r="N74" i="39" s="1"/>
  <c r="M74" i="39" a="1"/>
  <c r="M74" i="39" s="1"/>
  <c r="L74" i="39" a="1"/>
  <c r="L74" i="39" s="1"/>
  <c r="F74" i="39" a="1"/>
  <c r="F74" i="39" s="1"/>
  <c r="E74" i="39" a="1"/>
  <c r="E74" i="39" s="1"/>
  <c r="D74" i="39" a="1"/>
  <c r="D74" i="39" s="1"/>
  <c r="Q14" i="29"/>
  <c r="G14" i="29"/>
  <c r="G15" i="29"/>
  <c r="Q15" i="29"/>
  <c r="H10" i="30" a="1"/>
  <c r="H10" i="30" s="1"/>
  <c r="G10" i="30" a="1"/>
  <c r="G10" i="30" s="1"/>
  <c r="F10" i="30" a="1"/>
  <c r="F10" i="30" s="1"/>
  <c r="E10" i="30" a="1"/>
  <c r="E10" i="30" s="1"/>
  <c r="H76" i="30" a="1"/>
  <c r="H76" i="30" s="1"/>
  <c r="F76" i="30" a="1"/>
  <c r="F76" i="30" s="1"/>
  <c r="E76" i="30" a="1"/>
  <c r="E76" i="30" s="1"/>
  <c r="G76" i="30" a="1"/>
  <c r="G76" i="30" s="1"/>
  <c r="H49" i="30" a="1"/>
  <c r="H49" i="30" s="1"/>
  <c r="E49" i="30" a="1"/>
  <c r="E49" i="30" s="1"/>
  <c r="G49" i="30" a="1"/>
  <c r="G49" i="30" s="1"/>
  <c r="F49" i="30" a="1"/>
  <c r="F49" i="30" s="1"/>
  <c r="H5" i="30" a="1"/>
  <c r="H5" i="30" s="1"/>
  <c r="F5" i="30" a="1"/>
  <c r="F5" i="30" s="1"/>
  <c r="E5" i="30" a="1"/>
  <c r="E5" i="30" s="1"/>
  <c r="G5" i="30" a="1"/>
  <c r="G5" i="30" s="1"/>
  <c r="H77" i="30" a="1"/>
  <c r="H77" i="30" s="1"/>
  <c r="G77" i="30" a="1"/>
  <c r="G77" i="30" s="1"/>
  <c r="E77" i="30" a="1"/>
  <c r="E77" i="30" s="1"/>
  <c r="F77" i="30" a="1"/>
  <c r="F77" i="30" s="1"/>
  <c r="H37" i="30" a="1"/>
  <c r="H37" i="30" s="1"/>
  <c r="E37" i="30" a="1"/>
  <c r="E37" i="30" s="1"/>
  <c r="F37" i="30" a="1"/>
  <c r="F37" i="30" s="1"/>
  <c r="G37" i="30" a="1"/>
  <c r="G37" i="30" s="1"/>
  <c r="H29" i="30" a="1"/>
  <c r="H29" i="30" s="1"/>
  <c r="G29" i="30" a="1"/>
  <c r="G29" i="30" s="1"/>
  <c r="F29" i="30" a="1"/>
  <c r="F29" i="30" s="1"/>
  <c r="E29" i="30" a="1"/>
  <c r="E29" i="30" s="1"/>
  <c r="H59" i="30" a="1"/>
  <c r="H59" i="30" s="1"/>
  <c r="G59" i="30" a="1"/>
  <c r="G59" i="30" s="1"/>
  <c r="E59" i="30" a="1"/>
  <c r="E59" i="30" s="1"/>
  <c r="F59" i="30" a="1"/>
  <c r="F59" i="30" s="1"/>
  <c r="H75" i="30" a="1"/>
  <c r="H75" i="30" s="1"/>
  <c r="E75" i="30" a="1"/>
  <c r="E75" i="30" s="1"/>
  <c r="G75" i="30" a="1"/>
  <c r="G75" i="30" s="1"/>
  <c r="F75" i="30" a="1"/>
  <c r="F75" i="30" s="1"/>
  <c r="H60" i="30" a="1"/>
  <c r="H60" i="30" s="1"/>
  <c r="E60" i="30" a="1"/>
  <c r="E60" i="30" s="1"/>
  <c r="F60" i="30" a="1"/>
  <c r="F60" i="30" s="1"/>
  <c r="G60" i="30" a="1"/>
  <c r="G60" i="30" s="1"/>
  <c r="H20" i="30" a="1"/>
  <c r="H20" i="30" s="1"/>
  <c r="F20" i="30" a="1"/>
  <c r="F20" i="30" s="1"/>
  <c r="E20" i="30" a="1"/>
  <c r="E20" i="30" s="1"/>
  <c r="G20" i="30" a="1"/>
  <c r="G20" i="30" s="1"/>
  <c r="H61" i="30" a="1"/>
  <c r="H61" i="30" s="1"/>
  <c r="G61" i="30" a="1"/>
  <c r="G61" i="30" s="1"/>
  <c r="E61" i="30" a="1"/>
  <c r="E61" i="30" s="1"/>
  <c r="F61" i="30" a="1"/>
  <c r="F61" i="30" s="1"/>
  <c r="H35" i="30" a="1"/>
  <c r="H35" i="30" s="1"/>
  <c r="F35" i="30" a="1"/>
  <c r="F35" i="30" s="1"/>
  <c r="E35" i="30" a="1"/>
  <c r="E35" i="30" s="1"/>
  <c r="G35" i="30" a="1"/>
  <c r="G35" i="30" s="1"/>
  <c r="H57" i="30" a="1"/>
  <c r="H57" i="30" s="1"/>
  <c r="F57" i="30" a="1"/>
  <c r="F57" i="30" s="1"/>
  <c r="E57" i="30" a="1"/>
  <c r="E57" i="30" s="1"/>
  <c r="G57" i="30" a="1"/>
  <c r="G57" i="30" s="1"/>
  <c r="H31" i="30" a="1"/>
  <c r="H31" i="30" s="1"/>
  <c r="G31" i="30" a="1"/>
  <c r="G31" i="30" s="1"/>
  <c r="F31" i="30" a="1"/>
  <c r="F31" i="30" s="1"/>
  <c r="E31" i="30" a="1"/>
  <c r="E31" i="30" s="1"/>
  <c r="H89" i="30" a="1"/>
  <c r="H89" i="30" s="1"/>
  <c r="G89" i="30" a="1"/>
  <c r="G89" i="30" s="1"/>
  <c r="F89" i="30" a="1"/>
  <c r="F89" i="30" s="1"/>
  <c r="E89" i="30" a="1"/>
  <c r="E89" i="30" s="1"/>
  <c r="D84" i="36" a="1"/>
  <c r="D84" i="36" s="1"/>
  <c r="G84" i="36" a="1"/>
  <c r="G84" i="36" s="1"/>
  <c r="F84" i="36" a="1"/>
  <c r="F84" i="36" s="1"/>
  <c r="E84" i="36" a="1"/>
  <c r="E84" i="36" s="1"/>
  <c r="H85" i="30" a="1"/>
  <c r="H85" i="30" s="1"/>
  <c r="F85" i="30" a="1"/>
  <c r="F85" i="30" s="1"/>
  <c r="E85" i="30" a="1"/>
  <c r="E85" i="30" s="1"/>
  <c r="G85" i="30" a="1"/>
  <c r="G85" i="30" s="1"/>
  <c r="G12" i="37" a="1"/>
  <c r="G12" i="37" s="1"/>
  <c r="F12" i="37" a="1"/>
  <c r="F12" i="37" s="1"/>
  <c r="E12" i="37" a="1"/>
  <c r="E12" i="37" s="1"/>
  <c r="D12" i="37" a="1"/>
  <c r="D12" i="37" s="1"/>
  <c r="H54" i="30" a="1"/>
  <c r="H54" i="30" s="1"/>
  <c r="G54" i="30" a="1"/>
  <c r="G54" i="30" s="1"/>
  <c r="E54" i="30" a="1"/>
  <c r="E54" i="30" s="1"/>
  <c r="F54" i="30" a="1"/>
  <c r="F54" i="30" s="1"/>
  <c r="D48" i="36" a="1"/>
  <c r="D48" i="36" s="1"/>
  <c r="F48" i="36" a="1"/>
  <c r="F48" i="36" s="1"/>
  <c r="E48" i="36" a="1"/>
  <c r="E48" i="36" s="1"/>
  <c r="G48" i="36" a="1"/>
  <c r="G48" i="36" s="1"/>
  <c r="F34" i="38" a="1"/>
  <c r="F34" i="38" s="1"/>
  <c r="E34" i="38" a="1"/>
  <c r="E34" i="38" s="1"/>
  <c r="G34" i="38" a="1"/>
  <c r="G34" i="38" s="1"/>
  <c r="D34" i="38" a="1"/>
  <c r="D34" i="38" s="1"/>
  <c r="H82" i="30" a="1"/>
  <c r="H82" i="30" s="1"/>
  <c r="E82" i="30" a="1"/>
  <c r="E82" i="30" s="1"/>
  <c r="G82" i="30" a="1"/>
  <c r="G82" i="30" s="1"/>
  <c r="F82" i="30" a="1"/>
  <c r="F82" i="30" s="1"/>
  <c r="G76" i="36" a="1"/>
  <c r="G76" i="36" s="1"/>
  <c r="F76" i="36" a="1"/>
  <c r="F76" i="36" s="1"/>
  <c r="E76" i="36" a="1"/>
  <c r="E76" i="36" s="1"/>
  <c r="E37" i="37" a="1"/>
  <c r="E37" i="37" s="1"/>
  <c r="D37" i="37" a="1"/>
  <c r="D37" i="37" s="1"/>
  <c r="F37" i="37" a="1"/>
  <c r="F37" i="37" s="1"/>
  <c r="G37" i="37" a="1"/>
  <c r="G37" i="37" s="1"/>
  <c r="H81" i="30" a="1"/>
  <c r="H81" i="30" s="1"/>
  <c r="E81" i="30" a="1"/>
  <c r="E81" i="30" s="1"/>
  <c r="G81" i="30" a="1"/>
  <c r="G81" i="30" s="1"/>
  <c r="F81" i="30" a="1"/>
  <c r="F81" i="30" s="1"/>
  <c r="D72" i="36" a="1"/>
  <c r="D72" i="36" s="1"/>
  <c r="G72" i="36" a="1"/>
  <c r="G72" i="36" s="1"/>
  <c r="F72" i="36" a="1"/>
  <c r="F72" i="36" s="1"/>
  <c r="E72" i="36" a="1"/>
  <c r="E72" i="36" s="1"/>
  <c r="F54" i="38" a="1"/>
  <c r="F54" i="38" s="1"/>
  <c r="G54" i="38" a="1"/>
  <c r="G54" i="38" s="1"/>
  <c r="E54" i="38" a="1"/>
  <c r="E54" i="38" s="1"/>
  <c r="D54" i="38" a="1"/>
  <c r="D54" i="38" s="1"/>
  <c r="D35" i="36" a="1"/>
  <c r="D35" i="36" s="1"/>
  <c r="F35" i="36" a="1"/>
  <c r="F35" i="36" s="1"/>
  <c r="E35" i="36" a="1"/>
  <c r="E35" i="36" s="1"/>
  <c r="G35" i="36" a="1"/>
  <c r="G35" i="36" s="1"/>
  <c r="D55" i="36" a="1"/>
  <c r="D55" i="36" s="1"/>
  <c r="F55" i="36" a="1"/>
  <c r="F55" i="36" s="1"/>
  <c r="E55" i="36" a="1"/>
  <c r="E55" i="36" s="1"/>
  <c r="G55" i="36" a="1"/>
  <c r="G55" i="36" s="1"/>
  <c r="D73" i="36" a="1"/>
  <c r="D73" i="36" s="1"/>
  <c r="E73" i="36" a="1"/>
  <c r="E73" i="36" s="1"/>
  <c r="G73" i="36" a="1"/>
  <c r="G73" i="36" s="1"/>
  <c r="F73" i="36" a="1"/>
  <c r="F73" i="36" s="1"/>
  <c r="E89" i="36" a="1"/>
  <c r="E89" i="36" s="1"/>
  <c r="G89" i="36" a="1"/>
  <c r="G89" i="36" s="1"/>
  <c r="D89" i="36"/>
  <c r="F89" i="36" a="1"/>
  <c r="F89" i="36" s="1"/>
  <c r="G21" i="37" a="1"/>
  <c r="G21" i="37" s="1"/>
  <c r="E21" i="37" a="1"/>
  <c r="E21" i="37" s="1"/>
  <c r="F21" i="37" a="1"/>
  <c r="F21" i="37" s="1"/>
  <c r="D21" i="37" a="1"/>
  <c r="D21" i="37" s="1"/>
  <c r="G49" i="37" a="1"/>
  <c r="G49" i="37" s="1"/>
  <c r="F49" i="37" a="1"/>
  <c r="F49" i="37" s="1"/>
  <c r="E49" i="37" a="1"/>
  <c r="E49" i="37" s="1"/>
  <c r="D49" i="37" a="1"/>
  <c r="D49" i="37" s="1"/>
  <c r="E82" i="37" a="1"/>
  <c r="E82" i="37" s="1"/>
  <c r="G82" i="37" a="1"/>
  <c r="G82" i="37" s="1"/>
  <c r="F82" i="37" a="1"/>
  <c r="F82" i="37" s="1"/>
  <c r="D82" i="37" a="1"/>
  <c r="D82" i="37" s="1"/>
  <c r="E38" i="38" a="1"/>
  <c r="E38" i="38" s="1"/>
  <c r="F38" i="38" a="1"/>
  <c r="F38" i="38" s="1"/>
  <c r="G38" i="38" a="1"/>
  <c r="G38" i="38" s="1"/>
  <c r="D38" i="38" a="1"/>
  <c r="D38" i="38" s="1"/>
  <c r="G23" i="39" a="1"/>
  <c r="G23" i="39" s="1"/>
  <c r="F23" i="39" a="1"/>
  <c r="F23" i="39" s="1"/>
  <c r="L23" i="39" a="1"/>
  <c r="L23" i="39" s="1"/>
  <c r="N23" i="39" a="1"/>
  <c r="N23" i="39" s="1"/>
  <c r="M23" i="39" a="1"/>
  <c r="M23" i="39" s="1"/>
  <c r="O23" i="39" a="1"/>
  <c r="O23" i="39" s="1"/>
  <c r="E23" i="39" a="1"/>
  <c r="E23" i="39" s="1"/>
  <c r="D23" i="39" a="1"/>
  <c r="D23" i="39" s="1"/>
  <c r="D17" i="36" a="1"/>
  <c r="D17" i="36" s="1"/>
  <c r="E17" i="36" a="1"/>
  <c r="E17" i="36" s="1"/>
  <c r="G17" i="36" a="1"/>
  <c r="G17" i="36" s="1"/>
  <c r="F17" i="36" a="1"/>
  <c r="F17" i="36" s="1"/>
  <c r="H67" i="30" a="1"/>
  <c r="H67" i="30" s="1"/>
  <c r="F67" i="30" a="1"/>
  <c r="F67" i="30" s="1"/>
  <c r="G67" i="30" a="1"/>
  <c r="G67" i="30" s="1"/>
  <c r="E67" i="30" a="1"/>
  <c r="E67" i="30" s="1"/>
  <c r="D8" i="36" a="1"/>
  <c r="D8" i="36" s="1"/>
  <c r="E8" i="36" a="1"/>
  <c r="E8" i="36" s="1"/>
  <c r="F8" i="36" a="1"/>
  <c r="F8" i="36" s="1"/>
  <c r="G8" i="36" a="1"/>
  <c r="G8" i="36" s="1"/>
  <c r="D28" i="36" a="1"/>
  <c r="D28" i="36" s="1"/>
  <c r="F28" i="36" a="1"/>
  <c r="F28" i="36" s="1"/>
  <c r="E28" i="36" a="1"/>
  <c r="E28" i="36" s="1"/>
  <c r="G28" i="36" a="1"/>
  <c r="G28" i="36" s="1"/>
  <c r="D46" i="36" a="1"/>
  <c r="D46" i="36" s="1"/>
  <c r="G46" i="36" a="1"/>
  <c r="G46" i="36" s="1"/>
  <c r="E46" i="36" a="1"/>
  <c r="E46" i="36" s="1"/>
  <c r="F46" i="36" a="1"/>
  <c r="F46" i="36" s="1"/>
  <c r="F64" i="36" a="1"/>
  <c r="F64" i="36" s="1"/>
  <c r="G64" i="36" a="1"/>
  <c r="G64" i="36" s="1"/>
  <c r="E64" i="36" a="1"/>
  <c r="E64" i="36" s="1"/>
  <c r="D86" i="36" a="1"/>
  <c r="D86" i="36" s="1"/>
  <c r="F86" i="36" a="1"/>
  <c r="F86" i="36" s="1"/>
  <c r="E86" i="36" a="1"/>
  <c r="E86" i="36" s="1"/>
  <c r="G86" i="36" a="1"/>
  <c r="G86" i="36" s="1"/>
  <c r="E17" i="37" a="1"/>
  <c r="E17" i="37" s="1"/>
  <c r="F17" i="37" a="1"/>
  <c r="F17" i="37" s="1"/>
  <c r="G17" i="37" a="1"/>
  <c r="G17" i="37" s="1"/>
  <c r="D17" i="37" a="1"/>
  <c r="D17" i="37" s="1"/>
  <c r="F42" i="37" a="1"/>
  <c r="F42" i="37" s="1"/>
  <c r="E42" i="37" a="1"/>
  <c r="E42" i="37" s="1"/>
  <c r="G42" i="37" a="1"/>
  <c r="G42" i="37" s="1"/>
  <c r="D42" i="37" a="1"/>
  <c r="D42" i="37" s="1"/>
  <c r="G85" i="37" a="1"/>
  <c r="G85" i="37" s="1"/>
  <c r="F85" i="37" a="1"/>
  <c r="F85" i="37" s="1"/>
  <c r="E85" i="37" a="1"/>
  <c r="E85" i="37" s="1"/>
  <c r="D85" i="37" a="1"/>
  <c r="D85" i="37" s="1"/>
  <c r="G62" i="38" a="1"/>
  <c r="G62" i="38" s="1"/>
  <c r="F62" i="38" a="1"/>
  <c r="F62" i="38" s="1"/>
  <c r="E62" i="38" a="1"/>
  <c r="E62" i="38" s="1"/>
  <c r="D62" i="38" a="1"/>
  <c r="D62" i="38" s="1"/>
  <c r="G47" i="39" a="1"/>
  <c r="G47" i="39" s="1"/>
  <c r="F47" i="39" a="1"/>
  <c r="F47" i="39" s="1"/>
  <c r="N47" i="39" a="1"/>
  <c r="N47" i="39" s="1"/>
  <c r="E47" i="39" a="1"/>
  <c r="E47" i="39" s="1"/>
  <c r="O47" i="39" a="1"/>
  <c r="O47" i="39" s="1"/>
  <c r="L47" i="39" a="1"/>
  <c r="L47" i="39" s="1"/>
  <c r="M47" i="39" a="1"/>
  <c r="M47" i="39" s="1"/>
  <c r="D47" i="39" a="1"/>
  <c r="D47" i="39" s="1"/>
  <c r="H28" i="30" a="1"/>
  <c r="H28" i="30" s="1"/>
  <c r="F28" i="30" a="1"/>
  <c r="F28" i="30" s="1"/>
  <c r="E28" i="30" a="1"/>
  <c r="E28" i="30" s="1"/>
  <c r="G28" i="30" a="1"/>
  <c r="G28" i="30" s="1"/>
  <c r="D5" i="36" a="1"/>
  <c r="D5" i="36" s="1"/>
  <c r="G5" i="36" a="1"/>
  <c r="G5" i="36" s="1"/>
  <c r="F5" i="36" a="1"/>
  <c r="F5" i="36" s="1"/>
  <c r="E5" i="36" a="1"/>
  <c r="E5" i="36" s="1"/>
  <c r="D23" i="36" a="1"/>
  <c r="D23" i="36" s="1"/>
  <c r="G23" i="36" a="1"/>
  <c r="G23" i="36" s="1"/>
  <c r="F23" i="36" a="1"/>
  <c r="F23" i="36" s="1"/>
  <c r="E23" i="36" a="1"/>
  <c r="E23" i="36" s="1"/>
  <c r="D43" i="36" a="1"/>
  <c r="D43" i="36" s="1"/>
  <c r="G43" i="36" a="1"/>
  <c r="G43" i="36" s="1"/>
  <c r="E43" i="36" a="1"/>
  <c r="E43" i="36" s="1"/>
  <c r="F43" i="36" a="1"/>
  <c r="F43" i="36" s="1"/>
  <c r="D61" i="36" a="1"/>
  <c r="D61" i="36" s="1"/>
  <c r="F61" i="36" a="1"/>
  <c r="F61" i="36" s="1"/>
  <c r="G61" i="36" a="1"/>
  <c r="G61" i="36" s="1"/>
  <c r="E61" i="36" a="1"/>
  <c r="E61" i="36" s="1"/>
  <c r="D83" i="36" a="1"/>
  <c r="D83" i="36" s="1"/>
  <c r="G83" i="36" a="1"/>
  <c r="G83" i="36" s="1"/>
  <c r="F83" i="36" a="1"/>
  <c r="F83" i="36" s="1"/>
  <c r="E83" i="36" a="1"/>
  <c r="E83" i="36" s="1"/>
  <c r="E18" i="37" a="1"/>
  <c r="E18" i="37" s="1"/>
  <c r="G18" i="37" a="1"/>
  <c r="G18" i="37" s="1"/>
  <c r="F18" i="37" a="1"/>
  <c r="F18" i="37" s="1"/>
  <c r="D18" i="37" a="1"/>
  <c r="D18" i="37" s="1"/>
  <c r="G45" i="37" a="1"/>
  <c r="G45" i="37" s="1"/>
  <c r="F45" i="37" a="1"/>
  <c r="F45" i="37" s="1"/>
  <c r="E45" i="37" a="1"/>
  <c r="E45" i="37" s="1"/>
  <c r="D45" i="37" a="1"/>
  <c r="D45" i="37" s="1"/>
  <c r="G86" i="37" a="1"/>
  <c r="G86" i="37" s="1"/>
  <c r="E86" i="37" a="1"/>
  <c r="E86" i="37" s="1"/>
  <c r="F86" i="37" a="1"/>
  <c r="F86" i="37" s="1"/>
  <c r="D86" i="37" a="1"/>
  <c r="D86" i="37" s="1"/>
  <c r="F68" i="38" a="1"/>
  <c r="F68" i="38" s="1"/>
  <c r="G68" i="38" a="1"/>
  <c r="G68" i="38" s="1"/>
  <c r="D68" i="38" a="1"/>
  <c r="D68" i="38" s="1"/>
  <c r="E68" i="38" a="1"/>
  <c r="E68" i="38" s="1"/>
  <c r="E51" i="39" a="1"/>
  <c r="E51" i="39" s="1"/>
  <c r="O51" i="39" a="1"/>
  <c r="O51" i="39" s="1"/>
  <c r="F51" i="39" a="1"/>
  <c r="F51" i="39" s="1"/>
  <c r="L51" i="39" a="1"/>
  <c r="L51" i="39" s="1"/>
  <c r="N51" i="39" a="1"/>
  <c r="N51" i="39" s="1"/>
  <c r="M51" i="39" a="1"/>
  <c r="M51" i="39" s="1"/>
  <c r="G51" i="39" a="1"/>
  <c r="G51" i="39" s="1"/>
  <c r="D51" i="39" a="1"/>
  <c r="D51" i="39" s="1"/>
  <c r="G47" i="37" a="1"/>
  <c r="G47" i="37" s="1"/>
  <c r="F47" i="37" a="1"/>
  <c r="F47" i="37" s="1"/>
  <c r="E47" i="37" a="1"/>
  <c r="E47" i="37" s="1"/>
  <c r="D47" i="37" a="1"/>
  <c r="D47" i="37" s="1"/>
  <c r="G67" i="37" a="1"/>
  <c r="G67" i="37" s="1"/>
  <c r="E67" i="37" a="1"/>
  <c r="E67" i="37" s="1"/>
  <c r="F67" i="37" a="1"/>
  <c r="F67" i="37" s="1"/>
  <c r="D67" i="37" a="1"/>
  <c r="D67" i="37" s="1"/>
  <c r="G87" i="37" a="1"/>
  <c r="G87" i="37" s="1"/>
  <c r="F87" i="37" a="1"/>
  <c r="F87" i="37" s="1"/>
  <c r="E87" i="37" a="1"/>
  <c r="E87" i="37" s="1"/>
  <c r="D87" i="37" a="1"/>
  <c r="D87" i="37" s="1"/>
  <c r="F17" i="38" a="1"/>
  <c r="F17" i="38" s="1"/>
  <c r="G17" i="38" a="1"/>
  <c r="G17" i="38" s="1"/>
  <c r="E17" i="38" a="1"/>
  <c r="E17" i="38" s="1"/>
  <c r="D17" i="38" a="1"/>
  <c r="D17" i="38" s="1"/>
  <c r="G35" i="38" a="1"/>
  <c r="G35" i="38" s="1"/>
  <c r="F35" i="38" a="1"/>
  <c r="F35" i="38" s="1"/>
  <c r="E35" i="38" a="1"/>
  <c r="E35" i="38" s="1"/>
  <c r="D35" i="38" a="1"/>
  <c r="D35" i="38" s="1"/>
  <c r="E55" i="38" a="1"/>
  <c r="E55" i="38" s="1"/>
  <c r="F55" i="38" a="1"/>
  <c r="F55" i="38" s="1"/>
  <c r="G55" i="38" a="1"/>
  <c r="G55" i="38" s="1"/>
  <c r="D55" i="38" a="1"/>
  <c r="D55" i="38" s="1"/>
  <c r="E73" i="38" a="1"/>
  <c r="E73" i="38" s="1"/>
  <c r="F73" i="38" a="1"/>
  <c r="F73" i="38" s="1"/>
  <c r="G73" i="38" a="1"/>
  <c r="G73" i="38" s="1"/>
  <c r="D73" i="38" a="1"/>
  <c r="D73" i="38" s="1"/>
  <c r="O2" i="39" a="1"/>
  <c r="O2" i="39" s="1"/>
  <c r="N2" i="39" a="1"/>
  <c r="N2" i="39" s="1"/>
  <c r="G2" i="39" a="1"/>
  <c r="G2" i="39" s="1"/>
  <c r="F2" i="39" a="1"/>
  <c r="F2" i="39" s="1"/>
  <c r="M2" i="39" a="1"/>
  <c r="M2" i="39" s="1"/>
  <c r="L2" i="39" a="1"/>
  <c r="L2" i="39" s="1"/>
  <c r="D2" i="39" a="1"/>
  <c r="D2" i="39" s="1"/>
  <c r="E2" i="39" a="1"/>
  <c r="E2" i="39" s="1"/>
  <c r="O20" i="39" a="1"/>
  <c r="O20" i="39" s="1"/>
  <c r="N20" i="39" a="1"/>
  <c r="N20" i="39" s="1"/>
  <c r="G20" i="39" a="1"/>
  <c r="G20" i="39" s="1"/>
  <c r="F20" i="39" a="1"/>
  <c r="F20" i="39" s="1"/>
  <c r="L20" i="39" a="1"/>
  <c r="L20" i="39" s="1"/>
  <c r="E20" i="39" a="1"/>
  <c r="E20" i="39" s="1"/>
  <c r="M20" i="39" a="1"/>
  <c r="M20" i="39" s="1"/>
  <c r="D20" i="39" a="1"/>
  <c r="D20" i="39" s="1"/>
  <c r="O38" i="39" a="1"/>
  <c r="O38" i="39" s="1"/>
  <c r="N38" i="39" a="1"/>
  <c r="N38" i="39" s="1"/>
  <c r="G38" i="39" a="1"/>
  <c r="G38" i="39" s="1"/>
  <c r="F38" i="39" a="1"/>
  <c r="F38" i="39" s="1"/>
  <c r="M38" i="39" a="1"/>
  <c r="M38" i="39" s="1"/>
  <c r="L38" i="39" a="1"/>
  <c r="L38" i="39" s="1"/>
  <c r="E38" i="39" a="1"/>
  <c r="E38" i="39" s="1"/>
  <c r="D38" i="39" a="1"/>
  <c r="D38" i="39" s="1"/>
  <c r="O58" i="39" a="1"/>
  <c r="O58" i="39" s="1"/>
  <c r="N58" i="39" a="1"/>
  <c r="N58" i="39" s="1"/>
  <c r="G58" i="39" a="1"/>
  <c r="G58" i="39" s="1"/>
  <c r="F58" i="39" a="1"/>
  <c r="F58" i="39" s="1"/>
  <c r="E58" i="39" a="1"/>
  <c r="E58" i="39" s="1"/>
  <c r="L58" i="39" a="1"/>
  <c r="L58" i="39" s="1"/>
  <c r="M58" i="39" a="1"/>
  <c r="M58" i="39" s="1"/>
  <c r="D58" i="39" a="1"/>
  <c r="D58" i="39" s="1"/>
  <c r="O76" i="39" a="1"/>
  <c r="O76" i="39" s="1"/>
  <c r="N76" i="39" a="1"/>
  <c r="N76" i="39" s="1"/>
  <c r="G76" i="39" a="1"/>
  <c r="G76" i="39" s="1"/>
  <c r="D76" i="39" a="1"/>
  <c r="D76" i="39" s="1"/>
  <c r="F76" i="39" a="1"/>
  <c r="F76" i="39" s="1"/>
  <c r="E76" i="39" a="1"/>
  <c r="E76" i="39" s="1"/>
  <c r="M76" i="39" a="1"/>
  <c r="M76" i="39" s="1"/>
  <c r="L76" i="39" a="1"/>
  <c r="L76" i="39" s="1"/>
  <c r="G6" i="37" a="1"/>
  <c r="G6" i="37" s="1"/>
  <c r="F6" i="37" a="1"/>
  <c r="F6" i="37" s="1"/>
  <c r="E6" i="37" a="1"/>
  <c r="E6" i="37" s="1"/>
  <c r="D6" i="37" a="1"/>
  <c r="D6" i="37" s="1"/>
  <c r="G24" i="37" a="1"/>
  <c r="G24" i="37" s="1"/>
  <c r="E24" i="37" a="1"/>
  <c r="E24" i="37" s="1"/>
  <c r="F24" i="37" a="1"/>
  <c r="F24" i="37" s="1"/>
  <c r="D24" i="37" a="1"/>
  <c r="D24" i="37" s="1"/>
  <c r="G44" i="37" a="1"/>
  <c r="G44" i="37" s="1"/>
  <c r="F44" i="37" a="1"/>
  <c r="F44" i="37" s="1"/>
  <c r="E44" i="37" a="1"/>
  <c r="E44" i="37" s="1"/>
  <c r="D44" i="37" a="1"/>
  <c r="D44" i="37" s="1"/>
  <c r="G62" i="37" a="1"/>
  <c r="G62" i="37" s="1"/>
  <c r="E62" i="37" a="1"/>
  <c r="E62" i="37" s="1"/>
  <c r="F62" i="37" a="1"/>
  <c r="F62" i="37" s="1"/>
  <c r="D62" i="37" a="1"/>
  <c r="D62" i="37" s="1"/>
  <c r="G80" i="37" a="1"/>
  <c r="G80" i="37" s="1"/>
  <c r="F80" i="37" a="1"/>
  <c r="F80" i="37" s="1"/>
  <c r="E80" i="37" a="1"/>
  <c r="E80" i="37" s="1"/>
  <c r="D80" i="37" a="1"/>
  <c r="D80" i="37" s="1"/>
  <c r="G8" i="38" a="1"/>
  <c r="G8" i="38" s="1"/>
  <c r="E8" i="38" a="1"/>
  <c r="E8" i="38" s="1"/>
  <c r="F8" i="38" a="1"/>
  <c r="F8" i="38" s="1"/>
  <c r="D8" i="38" a="1"/>
  <c r="D8" i="38" s="1"/>
  <c r="G28" i="38" a="1"/>
  <c r="G28" i="38" s="1"/>
  <c r="F28" i="38" a="1"/>
  <c r="F28" i="38" s="1"/>
  <c r="E28" i="38" a="1"/>
  <c r="E28" i="38" s="1"/>
  <c r="D28" i="38" a="1"/>
  <c r="D28" i="38" s="1"/>
  <c r="G46" i="38" a="1"/>
  <c r="G46" i="38" s="1"/>
  <c r="F46" i="38" a="1"/>
  <c r="F46" i="38" s="1"/>
  <c r="D46" i="38" a="1"/>
  <c r="D46" i="38" s="1"/>
  <c r="E46" i="38" a="1"/>
  <c r="E46" i="38" s="1"/>
  <c r="G64" i="38" a="1"/>
  <c r="G64" i="38" s="1"/>
  <c r="D64" i="38" a="1"/>
  <c r="D64" i="38" s="1"/>
  <c r="F64" i="38" a="1"/>
  <c r="F64" i="38" s="1"/>
  <c r="E64" i="38" a="1"/>
  <c r="E64" i="38" s="1"/>
  <c r="G84" i="38" a="1"/>
  <c r="G84" i="38" s="1"/>
  <c r="F84" i="38" a="1"/>
  <c r="F84" i="38" s="1"/>
  <c r="E84" i="38" a="1"/>
  <c r="E84" i="38" s="1"/>
  <c r="D84" i="38" a="1"/>
  <c r="D84" i="38" s="1"/>
  <c r="G11" i="39" a="1"/>
  <c r="G11" i="39" s="1"/>
  <c r="E11" i="39" a="1"/>
  <c r="E11" i="39" s="1"/>
  <c r="M11" i="39" a="1"/>
  <c r="M11" i="39" s="1"/>
  <c r="O11" i="39" a="1"/>
  <c r="O11" i="39" s="1"/>
  <c r="F11" i="39" a="1"/>
  <c r="F11" i="39" s="1"/>
  <c r="N11" i="39" a="1"/>
  <c r="N11" i="39" s="1"/>
  <c r="D11" i="39" a="1"/>
  <c r="D11" i="39" s="1"/>
  <c r="L11" i="39" a="1"/>
  <c r="L11" i="39" s="1"/>
  <c r="G31" i="39" a="1"/>
  <c r="G31" i="39" s="1"/>
  <c r="O31" i="39" a="1"/>
  <c r="O31" i="39" s="1"/>
  <c r="F31" i="39" a="1"/>
  <c r="F31" i="39" s="1"/>
  <c r="E31" i="39" a="1"/>
  <c r="E31" i="39" s="1"/>
  <c r="M31" i="39" a="1"/>
  <c r="M31" i="39" s="1"/>
  <c r="N31" i="39" a="1"/>
  <c r="N31" i="39" s="1"/>
  <c r="D31" i="39" a="1"/>
  <c r="D31" i="39" s="1"/>
  <c r="L31" i="39" a="1"/>
  <c r="L31" i="39" s="1"/>
  <c r="G49" i="39" a="1"/>
  <c r="G49" i="39" s="1"/>
  <c r="O49" i="39" a="1"/>
  <c r="O49" i="39" s="1"/>
  <c r="E49" i="39" a="1"/>
  <c r="E49" i="39" s="1"/>
  <c r="M49" i="39" a="1"/>
  <c r="M49" i="39" s="1"/>
  <c r="F49" i="39" a="1"/>
  <c r="F49" i="39" s="1"/>
  <c r="N49" i="39" a="1"/>
  <c r="N49" i="39" s="1"/>
  <c r="D49" i="39" a="1"/>
  <c r="D49" i="39" s="1"/>
  <c r="L49" i="39" a="1"/>
  <c r="L49" i="39" s="1"/>
  <c r="G69" i="39" a="1"/>
  <c r="G69" i="39" s="1"/>
  <c r="O69" i="39" a="1"/>
  <c r="O69" i="39" s="1"/>
  <c r="F69" i="39" a="1"/>
  <c r="F69" i="39" s="1"/>
  <c r="E69" i="39" a="1"/>
  <c r="E69" i="39" s="1"/>
  <c r="M69" i="39" a="1"/>
  <c r="M69" i="39" s="1"/>
  <c r="N69" i="39" a="1"/>
  <c r="N69" i="39" s="1"/>
  <c r="D69" i="39" a="1"/>
  <c r="D69" i="39" s="1"/>
  <c r="L69" i="39" a="1"/>
  <c r="L69" i="39" s="1"/>
  <c r="G87" i="39" a="1"/>
  <c r="G87" i="39" s="1"/>
  <c r="E87" i="39" a="1"/>
  <c r="E87" i="39" s="1"/>
  <c r="M87" i="39" a="1"/>
  <c r="M87" i="39" s="1"/>
  <c r="O87" i="39" a="1"/>
  <c r="O87" i="39" s="1"/>
  <c r="F87" i="39" a="1"/>
  <c r="F87" i="39" s="1"/>
  <c r="N87" i="39" a="1"/>
  <c r="N87" i="39" s="1"/>
  <c r="D87" i="39" a="1"/>
  <c r="D87" i="39" s="1"/>
  <c r="L87" i="39" a="1"/>
  <c r="L87" i="39" s="1"/>
  <c r="F19" i="38" a="1"/>
  <c r="F19" i="38" s="1"/>
  <c r="E19" i="38" a="1"/>
  <c r="E19" i="38" s="1"/>
  <c r="G19" i="38" a="1"/>
  <c r="G19" i="38" s="1"/>
  <c r="D19" i="38" a="1"/>
  <c r="D19" i="38" s="1"/>
  <c r="F37" i="38" a="1"/>
  <c r="F37" i="38" s="1"/>
  <c r="E37" i="38" a="1"/>
  <c r="E37" i="38" s="1"/>
  <c r="G37" i="38" a="1"/>
  <c r="G37" i="38" s="1"/>
  <c r="D37" i="38" a="1"/>
  <c r="D37" i="38" s="1"/>
  <c r="F57" i="38" a="1"/>
  <c r="F57" i="38" s="1"/>
  <c r="G57" i="38" a="1"/>
  <c r="G57" i="38" s="1"/>
  <c r="E57" i="38" a="1"/>
  <c r="E57" i="38" s="1"/>
  <c r="D57" i="38" a="1"/>
  <c r="D57" i="38" s="1"/>
  <c r="G75" i="38" a="1"/>
  <c r="G75" i="38" s="1"/>
  <c r="F75" i="38" a="1"/>
  <c r="F75" i="38" s="1"/>
  <c r="D75" i="38" a="1"/>
  <c r="D75" i="38" s="1"/>
  <c r="E75" i="38" a="1"/>
  <c r="E75" i="38" s="1"/>
  <c r="N4" i="39" a="1"/>
  <c r="N4" i="39" s="1"/>
  <c r="G4" i="39" a="1"/>
  <c r="G4" i="39" s="1"/>
  <c r="F4" i="39" a="1"/>
  <c r="F4" i="39" s="1"/>
  <c r="O4" i="39" a="1"/>
  <c r="O4" i="39" s="1"/>
  <c r="M4" i="39" a="1"/>
  <c r="M4" i="39" s="1"/>
  <c r="E4" i="39" a="1"/>
  <c r="E4" i="39" s="1"/>
  <c r="L4" i="39" a="1"/>
  <c r="L4" i="39" s="1"/>
  <c r="D4" i="39" a="1"/>
  <c r="D4" i="39" s="1"/>
  <c r="G22" i="39" a="1"/>
  <c r="G22" i="39" s="1"/>
  <c r="N22" i="39" a="1"/>
  <c r="N22" i="39" s="1"/>
  <c r="F22" i="39" a="1"/>
  <c r="F22" i="39" s="1"/>
  <c r="O22" i="39" a="1"/>
  <c r="O22" i="39" s="1"/>
  <c r="M22" i="39" a="1"/>
  <c r="M22" i="39" s="1"/>
  <c r="E22" i="39" a="1"/>
  <c r="E22" i="39" s="1"/>
  <c r="L22" i="39" a="1"/>
  <c r="L22" i="39" s="1"/>
  <c r="D22" i="39" a="1"/>
  <c r="D22" i="39" s="1"/>
  <c r="N42" i="39" a="1"/>
  <c r="N42" i="39" s="1"/>
  <c r="F42" i="39" a="1"/>
  <c r="F42" i="39" s="1"/>
  <c r="O42" i="39" a="1"/>
  <c r="O42" i="39" s="1"/>
  <c r="G42" i="39" a="1"/>
  <c r="G42" i="39" s="1"/>
  <c r="M42" i="39" a="1"/>
  <c r="M42" i="39" s="1"/>
  <c r="E42" i="39" a="1"/>
  <c r="E42" i="39" s="1"/>
  <c r="L42" i="39" a="1"/>
  <c r="L42" i="39" s="1"/>
  <c r="D42" i="39" a="1"/>
  <c r="D42" i="39" s="1"/>
  <c r="N60" i="39" a="1"/>
  <c r="N60" i="39" s="1"/>
  <c r="F60" i="39" a="1"/>
  <c r="F60" i="39" s="1"/>
  <c r="G60" i="39" a="1"/>
  <c r="G60" i="39" s="1"/>
  <c r="O60" i="39" a="1"/>
  <c r="O60" i="39" s="1"/>
  <c r="M60" i="39" a="1"/>
  <c r="M60" i="39" s="1"/>
  <c r="E60" i="39" a="1"/>
  <c r="E60" i="39" s="1"/>
  <c r="L60" i="39" a="1"/>
  <c r="L60" i="39" s="1"/>
  <c r="D60" i="39" a="1"/>
  <c r="D60" i="39" s="1"/>
  <c r="N80" i="39" a="1"/>
  <c r="N80" i="39" s="1"/>
  <c r="G80" i="39" a="1"/>
  <c r="G80" i="39" s="1"/>
  <c r="F80" i="39" a="1"/>
  <c r="F80" i="39" s="1"/>
  <c r="O80" i="39" a="1"/>
  <c r="O80" i="39" s="1"/>
  <c r="M80" i="39" a="1"/>
  <c r="M80" i="39" s="1"/>
  <c r="E80" i="39" a="1"/>
  <c r="E80" i="39" s="1"/>
  <c r="L80" i="39" a="1"/>
  <c r="L80" i="39" s="1"/>
  <c r="D80" i="39" a="1"/>
  <c r="D80" i="39" s="1"/>
  <c r="M14" i="29"/>
  <c r="U14" i="29" s="1"/>
  <c r="C14" i="29"/>
  <c r="C15" i="29"/>
  <c r="M15" i="29"/>
  <c r="U15" i="29" s="1"/>
  <c r="H11" i="30" a="1"/>
  <c r="H11" i="30" s="1"/>
  <c r="G11" i="30" a="1"/>
  <c r="G11" i="30" s="1"/>
  <c r="E11" i="30" a="1"/>
  <c r="E11" i="30" s="1"/>
  <c r="F11" i="30" a="1"/>
  <c r="F11" i="30" s="1"/>
  <c r="H50" i="30" a="1"/>
  <c r="H50" i="30" s="1"/>
  <c r="G50" i="30" a="1"/>
  <c r="G50" i="30" s="1"/>
  <c r="E50" i="30" a="1"/>
  <c r="E50" i="30" s="1"/>
  <c r="F50" i="30" a="1"/>
  <c r="F50" i="30" s="1"/>
  <c r="H7" i="30" a="1"/>
  <c r="H7" i="30" s="1"/>
  <c r="E7" i="30" a="1"/>
  <c r="E7" i="30" s="1"/>
  <c r="F7" i="30" a="1"/>
  <c r="F7" i="30" s="1"/>
  <c r="G7" i="30" a="1"/>
  <c r="G7" i="30" s="1"/>
  <c r="H3" i="30" a="1"/>
  <c r="H3" i="30" s="1"/>
  <c r="G3" i="30" a="1"/>
  <c r="G3" i="30" s="1"/>
  <c r="E3" i="30" a="1"/>
  <c r="E3" i="30" s="1"/>
  <c r="F3" i="30" a="1"/>
  <c r="F3" i="30" s="1"/>
  <c r="H38" i="30" a="1"/>
  <c r="H38" i="30" s="1"/>
  <c r="F38" i="30" a="1"/>
  <c r="F38" i="30" s="1"/>
  <c r="E38" i="30" a="1"/>
  <c r="E38" i="30" s="1"/>
  <c r="G38" i="30" a="1"/>
  <c r="G38" i="30" s="1"/>
  <c r="H8" i="30" a="1"/>
  <c r="H8" i="30" s="1"/>
  <c r="G8" i="30" a="1"/>
  <c r="G8" i="30" s="1"/>
  <c r="F8" i="30" a="1"/>
  <c r="F8" i="30" s="1"/>
  <c r="E8" i="30" a="1"/>
  <c r="E8" i="30" s="1"/>
  <c r="H47" i="30" a="1"/>
  <c r="H47" i="30" s="1"/>
  <c r="F47" i="30" a="1"/>
  <c r="F47" i="30" s="1"/>
  <c r="G47" i="30" a="1"/>
  <c r="G47" i="30" s="1"/>
  <c r="E47" i="30" a="1"/>
  <c r="E47" i="30" s="1"/>
  <c r="H21" i="30" a="1"/>
  <c r="H21" i="30" s="1"/>
  <c r="E21" i="30" a="1"/>
  <c r="E21" i="30" s="1"/>
  <c r="F21" i="30" a="1"/>
  <c r="F21" i="30" s="1"/>
  <c r="G21" i="30" a="1"/>
  <c r="G21" i="30" s="1"/>
  <c r="H71" i="30" a="1"/>
  <c r="H71" i="30" s="1"/>
  <c r="G71" i="30" a="1"/>
  <c r="G71" i="30" s="1"/>
  <c r="E71" i="30" a="1"/>
  <c r="E71" i="30" s="1"/>
  <c r="F71" i="30" a="1"/>
  <c r="F71" i="30" s="1"/>
  <c r="H45" i="30" a="1"/>
  <c r="H45" i="30" s="1"/>
  <c r="E45" i="30" a="1"/>
  <c r="E45" i="30" s="1"/>
  <c r="F45" i="30" a="1"/>
  <c r="F45" i="30" s="1"/>
  <c r="G45" i="30" a="1"/>
  <c r="G45" i="30" s="1"/>
  <c r="H16" i="30" a="1"/>
  <c r="H16" i="30" s="1"/>
  <c r="E16" i="30" a="1"/>
  <c r="E16" i="30" s="1"/>
  <c r="G16" i="30" a="1"/>
  <c r="G16" i="30" s="1"/>
  <c r="F16" i="30" a="1"/>
  <c r="F16" i="30" s="1"/>
  <c r="H33" i="30" a="1"/>
  <c r="H33" i="30" s="1"/>
  <c r="G33" i="30" a="1"/>
  <c r="G33" i="30" s="1"/>
  <c r="E33" i="30" a="1"/>
  <c r="E33" i="30" s="1"/>
  <c r="F33" i="30" a="1"/>
  <c r="F33" i="30" s="1"/>
  <c r="H72" i="30" a="1"/>
  <c r="H72" i="30" s="1"/>
  <c r="E72" i="30" a="1"/>
  <c r="E72" i="30" s="1"/>
  <c r="G72" i="30" a="1"/>
  <c r="G72" i="30" s="1"/>
  <c r="F72" i="30" a="1"/>
  <c r="F72" i="30" s="1"/>
  <c r="H19" i="30" a="1"/>
  <c r="H19" i="30" s="1"/>
  <c r="E19" i="30" a="1"/>
  <c r="E19" i="30" s="1"/>
  <c r="G19" i="30" a="1"/>
  <c r="G19" i="30" s="1"/>
  <c r="F19" i="30" a="1"/>
  <c r="F19" i="30" s="1"/>
  <c r="H68" i="30" a="1"/>
  <c r="H68" i="30" s="1"/>
  <c r="F68" i="30" a="1"/>
  <c r="F68" i="30" s="1"/>
  <c r="E68" i="30" a="1"/>
  <c r="E68" i="30" s="1"/>
  <c r="G68" i="30" a="1"/>
  <c r="G68" i="30" s="1"/>
  <c r="G2" i="30" a="1"/>
  <c r="G2" i="30" s="1"/>
  <c r="F2" i="30" a="1"/>
  <c r="F2" i="30" s="1"/>
  <c r="E2" i="30" a="1"/>
  <c r="E2" i="30" s="1"/>
  <c r="H2" i="30" a="1"/>
  <c r="H2" i="30" s="1"/>
  <c r="F7" i="37" a="1"/>
  <c r="F7" i="37" s="1"/>
  <c r="E7" i="37" a="1"/>
  <c r="E7" i="37" s="1"/>
  <c r="G7" i="37" a="1"/>
  <c r="G7" i="37" s="1"/>
  <c r="D7" i="37" a="1"/>
  <c r="D7" i="37" s="1"/>
  <c r="D6" i="36" a="1"/>
  <c r="D6" i="36" s="1"/>
  <c r="G6" i="36" a="1"/>
  <c r="G6" i="36" s="1"/>
  <c r="E6" i="36" a="1"/>
  <c r="E6" i="36" s="1"/>
  <c r="F6" i="36" a="1"/>
  <c r="F6" i="36" s="1"/>
  <c r="D89" i="37" a="1"/>
  <c r="D89" i="37" s="1"/>
  <c r="G89" i="37" a="1"/>
  <c r="G89" i="37" s="1"/>
  <c r="E89" i="37" a="1"/>
  <c r="E89" i="37" s="1"/>
  <c r="F89" i="37" a="1"/>
  <c r="F89" i="37" s="1"/>
  <c r="H86" i="30" a="1"/>
  <c r="H86" i="30" s="1"/>
  <c r="G86" i="30" a="1"/>
  <c r="G86" i="30" s="1"/>
  <c r="F86" i="30" a="1"/>
  <c r="F86" i="30" s="1"/>
  <c r="E86" i="30" a="1"/>
  <c r="E86" i="30" s="1"/>
  <c r="D68" i="36" a="1"/>
  <c r="D68" i="36" s="1"/>
  <c r="E68" i="36" a="1"/>
  <c r="E68" i="36" s="1"/>
  <c r="G68" i="36" a="1"/>
  <c r="G68" i="36" s="1"/>
  <c r="F68" i="36" a="1"/>
  <c r="F68" i="36" s="1"/>
  <c r="O19" i="39" a="1"/>
  <c r="O19" i="39" s="1"/>
  <c r="F19" i="39" a="1"/>
  <c r="F19" i="39" s="1"/>
  <c r="N19" i="39" a="1"/>
  <c r="N19" i="39" s="1"/>
  <c r="G19" i="39" a="1"/>
  <c r="G19" i="39" s="1"/>
  <c r="E19" i="39" a="1"/>
  <c r="E19" i="39" s="1"/>
  <c r="M19" i="39" a="1"/>
  <c r="M19" i="39" s="1"/>
  <c r="L19" i="39" a="1"/>
  <c r="L19" i="39" s="1"/>
  <c r="D19" i="39" a="1"/>
  <c r="D19" i="39" s="1"/>
  <c r="H90" i="30" a="1"/>
  <c r="H90" i="30" s="1"/>
  <c r="G90" i="30" a="1"/>
  <c r="G90" i="30" s="1"/>
  <c r="E90" i="30" a="1"/>
  <c r="E90" i="30" s="1"/>
  <c r="F90" i="30" a="1"/>
  <c r="F90" i="30" s="1"/>
  <c r="F32" i="37" a="1"/>
  <c r="F32" i="37" s="1"/>
  <c r="E32" i="37" a="1"/>
  <c r="E32" i="37" s="1"/>
  <c r="G32" i="37" a="1"/>
  <c r="G32" i="37" s="1"/>
  <c r="D32" i="37" a="1"/>
  <c r="D32" i="37" s="1"/>
  <c r="H41" i="30" a="1"/>
  <c r="H41" i="30" s="1"/>
  <c r="G41" i="30" a="1"/>
  <c r="G41" i="30" s="1"/>
  <c r="E41" i="30" a="1"/>
  <c r="E41" i="30" s="1"/>
  <c r="F41" i="30" a="1"/>
  <c r="F41" i="30" s="1"/>
  <c r="G74" i="37" a="1"/>
  <c r="G74" i="37" s="1"/>
  <c r="F74" i="37" a="1"/>
  <c r="F74" i="37" s="1"/>
  <c r="E74" i="37" a="1"/>
  <c r="E74" i="37" s="1"/>
  <c r="D74" i="37" a="1"/>
  <c r="D74" i="37" s="1"/>
  <c r="D16" i="36" a="1"/>
  <c r="D16" i="36" s="1"/>
  <c r="F16" i="36" a="1"/>
  <c r="F16" i="36" s="1"/>
  <c r="E16" i="36" a="1"/>
  <c r="E16" i="36" s="1"/>
  <c r="G16" i="36" a="1"/>
  <c r="G16" i="36" s="1"/>
  <c r="D80" i="36" a="1"/>
  <c r="D80" i="36" s="1"/>
  <c r="F80" i="36" a="1"/>
  <c r="F80" i="36" s="1"/>
  <c r="G80" i="36" a="1"/>
  <c r="G80" i="36" s="1"/>
  <c r="E80" i="36" a="1"/>
  <c r="E80" i="36" s="1"/>
  <c r="O37" i="39" a="1"/>
  <c r="O37" i="39" s="1"/>
  <c r="F37" i="39" a="1"/>
  <c r="F37" i="39" s="1"/>
  <c r="N37" i="39" a="1"/>
  <c r="N37" i="39" s="1"/>
  <c r="G37" i="39" a="1"/>
  <c r="G37" i="39" s="1"/>
  <c r="M37" i="39" a="1"/>
  <c r="M37" i="39" s="1"/>
  <c r="L37" i="39" a="1"/>
  <c r="L37" i="39" s="1"/>
  <c r="E37" i="39" a="1"/>
  <c r="E37" i="39" s="1"/>
  <c r="D37" i="39" a="1"/>
  <c r="D37" i="39" s="1"/>
  <c r="D41" i="36" a="1"/>
  <c r="D41" i="36" s="1"/>
  <c r="F41" i="36" a="1"/>
  <c r="F41" i="36" s="1"/>
  <c r="E41" i="36" a="1"/>
  <c r="E41" i="36" s="1"/>
  <c r="G41" i="36" a="1"/>
  <c r="G41" i="36" s="1"/>
  <c r="D59" i="36" a="1"/>
  <c r="D59" i="36" s="1"/>
  <c r="E59" i="36" a="1"/>
  <c r="E59" i="36" s="1"/>
  <c r="G59" i="36" a="1"/>
  <c r="G59" i="36" s="1"/>
  <c r="F59" i="36" a="1"/>
  <c r="F59" i="36" s="1"/>
  <c r="G77" i="36" a="1"/>
  <c r="G77" i="36" s="1"/>
  <c r="E77" i="36" a="1"/>
  <c r="E77" i="36" s="1"/>
  <c r="F77" i="36" a="1"/>
  <c r="F77" i="36" s="1"/>
  <c r="G3" i="37" a="1"/>
  <c r="G3" i="37" s="1"/>
  <c r="F3" i="37" a="1"/>
  <c r="F3" i="37" s="1"/>
  <c r="E3" i="37" a="1"/>
  <c r="E3" i="37" s="1"/>
  <c r="D3" i="37" a="1"/>
  <c r="D3" i="37" s="1"/>
  <c r="F28" i="37" a="1"/>
  <c r="F28" i="37" s="1"/>
  <c r="E28" i="37" a="1"/>
  <c r="E28" i="37" s="1"/>
  <c r="G28" i="37" a="1"/>
  <c r="G28" i="37" s="1"/>
  <c r="D28" i="37" a="1"/>
  <c r="D28" i="37" s="1"/>
  <c r="F59" i="37" a="1"/>
  <c r="F59" i="37" s="1"/>
  <c r="E59" i="37" a="1"/>
  <c r="E59" i="37" s="1"/>
  <c r="G59" i="37" a="1"/>
  <c r="G59" i="37" s="1"/>
  <c r="D59" i="37" a="1"/>
  <c r="D59" i="37" s="1"/>
  <c r="F90" i="37" a="1"/>
  <c r="F90" i="37" s="1"/>
  <c r="E90" i="37" a="1"/>
  <c r="E90" i="37" s="1"/>
  <c r="D90" i="37" a="1"/>
  <c r="D90" i="37" s="1"/>
  <c r="G90" i="37" a="1"/>
  <c r="G90" i="37" s="1"/>
  <c r="E58" i="38" a="1"/>
  <c r="E58" i="38" s="1"/>
  <c r="F58" i="38" a="1"/>
  <c r="F58" i="38" s="1"/>
  <c r="G58" i="38" a="1"/>
  <c r="G58" i="38" s="1"/>
  <c r="D58" i="38" a="1"/>
  <c r="D58" i="38" s="1"/>
  <c r="G43" i="39" a="1"/>
  <c r="G43" i="39" s="1"/>
  <c r="F43" i="39" a="1"/>
  <c r="F43" i="39" s="1"/>
  <c r="L43" i="39" a="1"/>
  <c r="L43" i="39" s="1"/>
  <c r="E43" i="39" a="1"/>
  <c r="E43" i="39" s="1"/>
  <c r="O43" i="39" a="1"/>
  <c r="O43" i="39" s="1"/>
  <c r="M43" i="39" a="1"/>
  <c r="M43" i="39" s="1"/>
  <c r="N43" i="39" a="1"/>
  <c r="N43" i="39" s="1"/>
  <c r="D43" i="39" a="1"/>
  <c r="D43" i="39" s="1"/>
  <c r="D3" i="36" a="1"/>
  <c r="D3" i="36" s="1"/>
  <c r="E3" i="36" a="1"/>
  <c r="E3" i="36" s="1"/>
  <c r="G3" i="36" a="1"/>
  <c r="G3" i="36" s="1"/>
  <c r="F3" i="36" a="1"/>
  <c r="F3" i="36" s="1"/>
  <c r="D21" i="36" a="1"/>
  <c r="D21" i="36" s="1"/>
  <c r="E21" i="36" a="1"/>
  <c r="E21" i="36" s="1"/>
  <c r="G21" i="36" a="1"/>
  <c r="G21" i="36" s="1"/>
  <c r="F21" i="36" a="1"/>
  <c r="F21" i="36" s="1"/>
  <c r="H83" i="30" a="1"/>
  <c r="H83" i="30" s="1"/>
  <c r="E83" i="30" a="1"/>
  <c r="E83" i="30" s="1"/>
  <c r="F83" i="30" a="1"/>
  <c r="F83" i="30" s="1"/>
  <c r="G83" i="30" a="1"/>
  <c r="G83" i="30" s="1"/>
  <c r="G12" i="36" a="1"/>
  <c r="G12" i="36" s="1"/>
  <c r="E12" i="36" a="1"/>
  <c r="E12" i="36" s="1"/>
  <c r="F12" i="36" a="1"/>
  <c r="F12" i="36" s="1"/>
  <c r="D32" i="36" a="1"/>
  <c r="D32" i="36" s="1"/>
  <c r="E32" i="36" a="1"/>
  <c r="E32" i="36" s="1"/>
  <c r="G32" i="36" a="1"/>
  <c r="G32" i="36" s="1"/>
  <c r="F32" i="36" a="1"/>
  <c r="F32" i="36" s="1"/>
  <c r="E50" i="36" a="1"/>
  <c r="E50" i="36" s="1"/>
  <c r="G50" i="36" a="1"/>
  <c r="G50" i="36" s="1"/>
  <c r="F50" i="36" a="1"/>
  <c r="F50" i="36" s="1"/>
  <c r="D70" i="36" a="1"/>
  <c r="D70" i="36" s="1"/>
  <c r="G70" i="36" a="1"/>
  <c r="G70" i="36" s="1"/>
  <c r="F70" i="36" a="1"/>
  <c r="F70" i="36" s="1"/>
  <c r="E70" i="36" a="1"/>
  <c r="E70" i="36" s="1"/>
  <c r="G90" i="36" a="1"/>
  <c r="G90" i="36" s="1"/>
  <c r="F90" i="36" a="1"/>
  <c r="F90" i="36" s="1"/>
  <c r="D90" i="36"/>
  <c r="E90" i="36" a="1"/>
  <c r="E90" i="36" s="1"/>
  <c r="E22" i="37" a="1"/>
  <c r="E22" i="37" s="1"/>
  <c r="F22" i="37" a="1"/>
  <c r="F22" i="37" s="1"/>
  <c r="G22" i="37" a="1"/>
  <c r="G22" i="37" s="1"/>
  <c r="D22" i="37" a="1"/>
  <c r="D22" i="37" s="1"/>
  <c r="E50" i="37" a="1"/>
  <c r="E50" i="37" s="1"/>
  <c r="F50" i="37" a="1"/>
  <c r="F50" i="37" s="1"/>
  <c r="D50" i="37" a="1"/>
  <c r="D50" i="37" s="1"/>
  <c r="G50" i="37" a="1"/>
  <c r="G50" i="37" s="1"/>
  <c r="G6" i="38" a="1"/>
  <c r="G6" i="38" s="1"/>
  <c r="F6" i="38" a="1"/>
  <c r="F6" i="38" s="1"/>
  <c r="E6" i="38" a="1"/>
  <c r="E6" i="38" s="1"/>
  <c r="D6" i="38" a="1"/>
  <c r="D6" i="38" s="1"/>
  <c r="G82" i="38" a="1"/>
  <c r="G82" i="38" s="1"/>
  <c r="E82" i="38" a="1"/>
  <c r="E82" i="38" s="1"/>
  <c r="F82" i="38" a="1"/>
  <c r="F82" i="38" s="1"/>
  <c r="D82" i="38" a="1"/>
  <c r="D82" i="38" s="1"/>
  <c r="G67" i="39" a="1"/>
  <c r="G67" i="39" s="1"/>
  <c r="F67" i="39" a="1"/>
  <c r="F67" i="39" s="1"/>
  <c r="N67" i="39" a="1"/>
  <c r="N67" i="39" s="1"/>
  <c r="E67" i="39" a="1"/>
  <c r="E67" i="39" s="1"/>
  <c r="O67" i="39" a="1"/>
  <c r="O67" i="39" s="1"/>
  <c r="L67" i="39" a="1"/>
  <c r="L67" i="39" s="1"/>
  <c r="M67" i="39" a="1"/>
  <c r="M67" i="39" s="1"/>
  <c r="D67" i="39" a="1"/>
  <c r="D67" i="39" s="1"/>
  <c r="H80" i="30" a="1"/>
  <c r="H80" i="30" s="1"/>
  <c r="E80" i="30" a="1"/>
  <c r="E80" i="30" s="1"/>
  <c r="G80" i="30" a="1"/>
  <c r="G80" i="30" s="1"/>
  <c r="F80" i="30" a="1"/>
  <c r="F80" i="30" s="1"/>
  <c r="D9" i="36" a="1"/>
  <c r="D9" i="36" s="1"/>
  <c r="F9" i="36" a="1"/>
  <c r="F9" i="36" s="1"/>
  <c r="E9" i="36" a="1"/>
  <c r="E9" i="36" s="1"/>
  <c r="G9" i="36" a="1"/>
  <c r="G9" i="36" s="1"/>
  <c r="D29" i="36" a="1"/>
  <c r="D29" i="36" s="1"/>
  <c r="F29" i="36" a="1"/>
  <c r="F29" i="36" s="1"/>
  <c r="E29" i="36" a="1"/>
  <c r="E29" i="36" s="1"/>
  <c r="G29" i="36" a="1"/>
  <c r="G29" i="36" s="1"/>
  <c r="D47" i="36" a="1"/>
  <c r="D47" i="36" s="1"/>
  <c r="F47" i="36" a="1"/>
  <c r="F47" i="36" s="1"/>
  <c r="E47" i="36" a="1"/>
  <c r="E47" i="36" s="1"/>
  <c r="G47" i="36" a="1"/>
  <c r="G47" i="36" s="1"/>
  <c r="D67" i="36" a="1"/>
  <c r="D67" i="36" s="1"/>
  <c r="F67" i="36" a="1"/>
  <c r="F67" i="36" s="1"/>
  <c r="E67" i="36" a="1"/>
  <c r="E67" i="36" s="1"/>
  <c r="G67" i="36" a="1"/>
  <c r="G67" i="36" s="1"/>
  <c r="D87" i="36" a="1"/>
  <c r="D87" i="36" s="1"/>
  <c r="G87" i="36" a="1"/>
  <c r="G87" i="36" s="1"/>
  <c r="F87" i="36" a="1"/>
  <c r="F87" i="36" s="1"/>
  <c r="E87" i="36" a="1"/>
  <c r="E87" i="36" s="1"/>
  <c r="G23" i="37" a="1"/>
  <c r="G23" i="37" s="1"/>
  <c r="F23" i="37" a="1"/>
  <c r="F23" i="37" s="1"/>
  <c r="E23" i="37" a="1"/>
  <c r="E23" i="37" s="1"/>
  <c r="D23" i="37" a="1"/>
  <c r="D23" i="37" s="1"/>
  <c r="F55" i="37" a="1"/>
  <c r="F55" i="37" s="1"/>
  <c r="E55" i="37" a="1"/>
  <c r="E55" i="37" s="1"/>
  <c r="G55" i="37" a="1"/>
  <c r="G55" i="37" s="1"/>
  <c r="D55" i="37" a="1"/>
  <c r="D55" i="37" s="1"/>
  <c r="F10" i="38" a="1"/>
  <c r="F10" i="38" s="1"/>
  <c r="E10" i="38" a="1"/>
  <c r="E10" i="38" s="1"/>
  <c r="G10" i="38" a="1"/>
  <c r="G10" i="38" s="1"/>
  <c r="D10" i="38" a="1"/>
  <c r="D10" i="38" s="1"/>
  <c r="F86" i="38" a="1"/>
  <c r="F86" i="38" s="1"/>
  <c r="G86" i="38" a="1"/>
  <c r="G86" i="38" s="1"/>
  <c r="E86" i="38" a="1"/>
  <c r="E86" i="38" s="1"/>
  <c r="D86" i="38" a="1"/>
  <c r="D86" i="38" s="1"/>
  <c r="E71" i="39" a="1"/>
  <c r="E71" i="39" s="1"/>
  <c r="O71" i="39" a="1"/>
  <c r="O71" i="39" s="1"/>
  <c r="F71" i="39" a="1"/>
  <c r="F71" i="39" s="1"/>
  <c r="L71" i="39" a="1"/>
  <c r="L71" i="39" s="1"/>
  <c r="N71" i="39" a="1"/>
  <c r="N71" i="39" s="1"/>
  <c r="M71" i="39" a="1"/>
  <c r="M71" i="39" s="1"/>
  <c r="D71" i="39" a="1"/>
  <c r="D71" i="39" s="1"/>
  <c r="G71" i="39" a="1"/>
  <c r="G71" i="39" s="1"/>
  <c r="E51" i="37" a="1"/>
  <c r="E51" i="37" s="1"/>
  <c r="D51" i="37" a="1"/>
  <c r="D51" i="37" s="1"/>
  <c r="G51" i="37" a="1"/>
  <c r="G51" i="37" s="1"/>
  <c r="F51" i="37" a="1"/>
  <c r="F51" i="37" s="1"/>
  <c r="E71" i="37" a="1"/>
  <c r="E71" i="37" s="1"/>
  <c r="F71" i="37" a="1"/>
  <c r="F71" i="37" s="1"/>
  <c r="G71" i="37" a="1"/>
  <c r="G71" i="37" s="1"/>
  <c r="D71" i="37" a="1"/>
  <c r="D71" i="37" s="1"/>
  <c r="G3" i="38" a="1"/>
  <c r="G3" i="38" s="1"/>
  <c r="E3" i="38" a="1"/>
  <c r="E3" i="38" s="1"/>
  <c r="F3" i="38" a="1"/>
  <c r="F3" i="38" s="1"/>
  <c r="D3" i="38" a="1"/>
  <c r="D3" i="38" s="1"/>
  <c r="G21" i="38" a="1"/>
  <c r="G21" i="38" s="1"/>
  <c r="E21" i="38" a="1"/>
  <c r="E21" i="38" s="1"/>
  <c r="F21" i="38" a="1"/>
  <c r="F21" i="38" s="1"/>
  <c r="D21" i="38" a="1"/>
  <c r="D21" i="38" s="1"/>
  <c r="G41" i="38" a="1"/>
  <c r="G41" i="38" s="1"/>
  <c r="F41" i="38" a="1"/>
  <c r="F41" i="38" s="1"/>
  <c r="D41" i="38" a="1"/>
  <c r="D41" i="38" s="1"/>
  <c r="E41" i="38" a="1"/>
  <c r="E41" i="38" s="1"/>
  <c r="G59" i="38" a="1"/>
  <c r="G59" i="38" s="1"/>
  <c r="F59" i="38" a="1"/>
  <c r="F59" i="38" s="1"/>
  <c r="E59" i="38" a="1"/>
  <c r="E59" i="38" s="1"/>
  <c r="D59" i="38" a="1"/>
  <c r="D59" i="38" s="1"/>
  <c r="G77" i="38" a="1"/>
  <c r="G77" i="38" s="1"/>
  <c r="F77" i="38" a="1"/>
  <c r="F77" i="38" s="1"/>
  <c r="E77" i="38" a="1"/>
  <c r="E77" i="38" s="1"/>
  <c r="D77" i="38" a="1"/>
  <c r="D77" i="38" s="1"/>
  <c r="F6" i="39" a="1"/>
  <c r="F6" i="39" s="1"/>
  <c r="G6" i="39" a="1"/>
  <c r="G6" i="39" s="1"/>
  <c r="N6" i="39" a="1"/>
  <c r="N6" i="39" s="1"/>
  <c r="E6" i="39" a="1"/>
  <c r="E6" i="39" s="1"/>
  <c r="O6" i="39" a="1"/>
  <c r="O6" i="39" s="1"/>
  <c r="L6" i="39" a="1"/>
  <c r="L6" i="39" s="1"/>
  <c r="D6" i="39" a="1"/>
  <c r="D6" i="39" s="1"/>
  <c r="M6" i="39" a="1"/>
  <c r="M6" i="39" s="1"/>
  <c r="F24" i="39" a="1"/>
  <c r="F24" i="39" s="1"/>
  <c r="G24" i="39" a="1"/>
  <c r="G24" i="39" s="1"/>
  <c r="N24" i="39" a="1"/>
  <c r="N24" i="39" s="1"/>
  <c r="O24" i="39" a="1"/>
  <c r="O24" i="39" s="1"/>
  <c r="E24" i="39" a="1"/>
  <c r="E24" i="39" s="1"/>
  <c r="M24" i="39" a="1"/>
  <c r="M24" i="39" s="1"/>
  <c r="L24" i="39" a="1"/>
  <c r="L24" i="39" s="1"/>
  <c r="D24" i="39" a="1"/>
  <c r="D24" i="39" s="1"/>
  <c r="F44" i="39" a="1"/>
  <c r="F44" i="39" s="1"/>
  <c r="G44" i="39" a="1"/>
  <c r="G44" i="39" s="1"/>
  <c r="E44" i="39" a="1"/>
  <c r="E44" i="39" s="1"/>
  <c r="N44" i="39" a="1"/>
  <c r="N44" i="39" s="1"/>
  <c r="O44" i="39" a="1"/>
  <c r="O44" i="39" s="1"/>
  <c r="L44" i="39" a="1"/>
  <c r="L44" i="39" s="1"/>
  <c r="D44" i="39" a="1"/>
  <c r="D44" i="39" s="1"/>
  <c r="M44" i="39" a="1"/>
  <c r="M44" i="39" s="1"/>
  <c r="F62" i="39" a="1"/>
  <c r="F62" i="39" s="1"/>
  <c r="G62" i="39" a="1"/>
  <c r="G62" i="39" s="1"/>
  <c r="E62" i="39" a="1"/>
  <c r="E62" i="39" s="1"/>
  <c r="O62" i="39" a="1"/>
  <c r="O62" i="39" s="1"/>
  <c r="N62" i="39" a="1"/>
  <c r="N62" i="39" s="1"/>
  <c r="M62" i="39" a="1"/>
  <c r="M62" i="39" s="1"/>
  <c r="L62" i="39" a="1"/>
  <c r="L62" i="39" s="1"/>
  <c r="D62" i="39" a="1"/>
  <c r="D62" i="39" s="1"/>
  <c r="F82" i="39" a="1"/>
  <c r="F82" i="39" s="1"/>
  <c r="G82" i="39" a="1"/>
  <c r="G82" i="39" s="1"/>
  <c r="E82" i="39" a="1"/>
  <c r="E82" i="39" s="1"/>
  <c r="N82" i="39" a="1"/>
  <c r="N82" i="39" s="1"/>
  <c r="D82" i="39" a="1"/>
  <c r="D82" i="39" s="1"/>
  <c r="O82" i="39" a="1"/>
  <c r="O82" i="39" s="1"/>
  <c r="L82" i="39" a="1"/>
  <c r="L82" i="39" s="1"/>
  <c r="M82" i="39" a="1"/>
  <c r="M82" i="39" s="1"/>
  <c r="G10" i="37" a="1"/>
  <c r="G10" i="37" s="1"/>
  <c r="E10" i="37" a="1"/>
  <c r="E10" i="37" s="1"/>
  <c r="F10" i="37" a="1"/>
  <c r="F10" i="37" s="1"/>
  <c r="D10" i="37" a="1"/>
  <c r="D10" i="37" s="1"/>
  <c r="G30" i="37" a="1"/>
  <c r="G30" i="37" s="1"/>
  <c r="F30" i="37" a="1"/>
  <c r="F30" i="37" s="1"/>
  <c r="E30" i="37" a="1"/>
  <c r="E30" i="37" s="1"/>
  <c r="D30" i="37" a="1"/>
  <c r="D30" i="37" s="1"/>
  <c r="G48" i="37" a="1"/>
  <c r="G48" i="37" s="1"/>
  <c r="E48" i="37" a="1"/>
  <c r="E48" i="37" s="1"/>
  <c r="F48" i="37" a="1"/>
  <c r="F48" i="37" s="1"/>
  <c r="D48" i="37" a="1"/>
  <c r="D48" i="37" s="1"/>
  <c r="G68" i="37" a="1"/>
  <c r="G68" i="37" s="1"/>
  <c r="F68" i="37" a="1"/>
  <c r="F68" i="37" s="1"/>
  <c r="E68" i="37" a="1"/>
  <c r="E68" i="37" s="1"/>
  <c r="D68" i="37" a="1"/>
  <c r="D68" i="37" s="1"/>
  <c r="E84" i="37" a="1"/>
  <c r="E84" i="37" s="1"/>
  <c r="G84" i="37" a="1"/>
  <c r="G84" i="37" s="1"/>
  <c r="F84" i="37" a="1"/>
  <c r="F84" i="37" s="1"/>
  <c r="D84" i="37" a="1"/>
  <c r="D84" i="37" s="1"/>
  <c r="G12" i="38" a="1"/>
  <c r="G12" i="38" s="1"/>
  <c r="F12" i="38" a="1"/>
  <c r="F12" i="38" s="1"/>
  <c r="E12" i="38" a="1"/>
  <c r="E12" i="38" s="1"/>
  <c r="D12" i="38" a="1"/>
  <c r="D12" i="38" s="1"/>
  <c r="G32" i="38" a="1"/>
  <c r="G32" i="38" s="1"/>
  <c r="F32" i="38" a="1"/>
  <c r="F32" i="38" s="1"/>
  <c r="E32" i="38" a="1"/>
  <c r="E32" i="38" s="1"/>
  <c r="D32" i="38" a="1"/>
  <c r="D32" i="38" s="1"/>
  <c r="G50" i="38" a="1"/>
  <c r="G50" i="38" s="1"/>
  <c r="D50" i="38" a="1"/>
  <c r="D50" i="38" s="1"/>
  <c r="F50" i="38" a="1"/>
  <c r="F50" i="38" s="1"/>
  <c r="E50" i="38" a="1"/>
  <c r="E50" i="38" s="1"/>
  <c r="G70" i="38" a="1"/>
  <c r="G70" i="38" s="1"/>
  <c r="F70" i="38" a="1"/>
  <c r="F70" i="38" s="1"/>
  <c r="E70" i="38" a="1"/>
  <c r="E70" i="38" s="1"/>
  <c r="D70" i="38" a="1"/>
  <c r="D70" i="38" s="1"/>
  <c r="G88" i="38" a="1"/>
  <c r="G88" i="38" s="1"/>
  <c r="F88" i="38" a="1"/>
  <c r="F88" i="38" s="1"/>
  <c r="E88" i="38" a="1"/>
  <c r="E88" i="38" s="1"/>
  <c r="D88" i="38" a="1"/>
  <c r="D88" i="38" s="1"/>
  <c r="O17" i="39" a="1"/>
  <c r="O17" i="39" s="1"/>
  <c r="F17" i="39" a="1"/>
  <c r="F17" i="39" s="1"/>
  <c r="N17" i="39" a="1"/>
  <c r="N17" i="39" s="1"/>
  <c r="G17" i="39" a="1"/>
  <c r="G17" i="39" s="1"/>
  <c r="M17" i="39" a="1"/>
  <c r="M17" i="39" s="1"/>
  <c r="L17" i="39" a="1"/>
  <c r="L17" i="39" s="1"/>
  <c r="D17" i="39" a="1"/>
  <c r="D17" i="39" s="1"/>
  <c r="E17" i="39" a="1"/>
  <c r="E17" i="39" s="1"/>
  <c r="F35" i="39" a="1"/>
  <c r="F35" i="39" s="1"/>
  <c r="N35" i="39" a="1"/>
  <c r="N35" i="39" s="1"/>
  <c r="O35" i="39" a="1"/>
  <c r="O35" i="39" s="1"/>
  <c r="G35" i="39" a="1"/>
  <c r="G35" i="39" s="1"/>
  <c r="L35" i="39" a="1"/>
  <c r="L35" i="39" s="1"/>
  <c r="D35" i="39" a="1"/>
  <c r="D35" i="39" s="1"/>
  <c r="E35" i="39" a="1"/>
  <c r="E35" i="39" s="1"/>
  <c r="M35" i="39" a="1"/>
  <c r="M35" i="39" s="1"/>
  <c r="O55" i="39" a="1"/>
  <c r="O55" i="39" s="1"/>
  <c r="F55" i="39" a="1"/>
  <c r="F55" i="39" s="1"/>
  <c r="N55" i="39" a="1"/>
  <c r="N55" i="39" s="1"/>
  <c r="G55" i="39" a="1"/>
  <c r="G55" i="39" s="1"/>
  <c r="M55" i="39" a="1"/>
  <c r="M55" i="39" s="1"/>
  <c r="E55" i="39" a="1"/>
  <c r="E55" i="39" s="1"/>
  <c r="L55" i="39" a="1"/>
  <c r="L55" i="39" s="1"/>
  <c r="D55" i="39" a="1"/>
  <c r="D55" i="39" s="1"/>
  <c r="O73" i="39" a="1"/>
  <c r="O73" i="39" s="1"/>
  <c r="F73" i="39" a="1"/>
  <c r="F73" i="39" s="1"/>
  <c r="N73" i="39" a="1"/>
  <c r="N73" i="39" s="1"/>
  <c r="G73" i="39" a="1"/>
  <c r="G73" i="39" s="1"/>
  <c r="E73" i="39" a="1"/>
  <c r="E73" i="39" s="1"/>
  <c r="D73" i="39" a="1"/>
  <c r="D73" i="39" s="1"/>
  <c r="L73" i="39" a="1"/>
  <c r="L73" i="39" s="1"/>
  <c r="M73" i="39" a="1"/>
  <c r="M73" i="39" s="1"/>
  <c r="E5" i="38" a="1"/>
  <c r="E5" i="38" s="1"/>
  <c r="F5" i="38" a="1"/>
  <c r="F5" i="38" s="1"/>
  <c r="G5" i="38" a="1"/>
  <c r="G5" i="38" s="1"/>
  <c r="D5" i="38" a="1"/>
  <c r="D5" i="38" s="1"/>
  <c r="G23" i="38" a="1"/>
  <c r="G23" i="38" s="1"/>
  <c r="E23" i="38" a="1"/>
  <c r="E23" i="38" s="1"/>
  <c r="F23" i="38" a="1"/>
  <c r="F23" i="38" s="1"/>
  <c r="D23" i="38" a="1"/>
  <c r="D23" i="38" s="1"/>
  <c r="E43" i="38" a="1"/>
  <c r="E43" i="38" s="1"/>
  <c r="F43" i="38" a="1"/>
  <c r="F43" i="38" s="1"/>
  <c r="G43" i="38" a="1"/>
  <c r="G43" i="38" s="1"/>
  <c r="D43" i="38" a="1"/>
  <c r="D43" i="38" s="1"/>
  <c r="E61" i="38" a="1"/>
  <c r="E61" i="38" s="1"/>
  <c r="F61" i="38" a="1"/>
  <c r="F61" i="38" s="1"/>
  <c r="G61" i="38" a="1"/>
  <c r="G61" i="38" s="1"/>
  <c r="D61" i="38" a="1"/>
  <c r="D61" i="38" s="1"/>
  <c r="F81" i="38" a="1"/>
  <c r="F81" i="38" s="1"/>
  <c r="G81" i="38" a="1"/>
  <c r="G81" i="38" s="1"/>
  <c r="E81" i="38" a="1"/>
  <c r="E81" i="38" s="1"/>
  <c r="D81" i="38" a="1"/>
  <c r="D81" i="38" s="1"/>
  <c r="O8" i="39" a="1"/>
  <c r="O8" i="39" s="1"/>
  <c r="G8" i="39" a="1"/>
  <c r="G8" i="39" s="1"/>
  <c r="F8" i="39" a="1"/>
  <c r="F8" i="39" s="1"/>
  <c r="E8" i="39" a="1"/>
  <c r="E8" i="39" s="1"/>
  <c r="L8" i="39" a="1"/>
  <c r="L8" i="39" s="1"/>
  <c r="N8" i="39" a="1"/>
  <c r="N8" i="39" s="1"/>
  <c r="M8" i="39" a="1"/>
  <c r="M8" i="39" s="1"/>
  <c r="D8" i="39" a="1"/>
  <c r="D8" i="39" s="1"/>
  <c r="G28" i="39" a="1"/>
  <c r="G28" i="39" s="1"/>
  <c r="O28" i="39" a="1"/>
  <c r="O28" i="39" s="1"/>
  <c r="F28" i="39" a="1"/>
  <c r="F28" i="39" s="1"/>
  <c r="E28" i="39" a="1"/>
  <c r="E28" i="39" s="1"/>
  <c r="L28" i="39" a="1"/>
  <c r="L28" i="39" s="1"/>
  <c r="D28" i="39" a="1"/>
  <c r="D28" i="39" s="1"/>
  <c r="M28" i="39" a="1"/>
  <c r="M28" i="39" s="1"/>
  <c r="N28" i="39" a="1"/>
  <c r="N28" i="39" s="1"/>
  <c r="G46" i="39" a="1"/>
  <c r="G46" i="39" s="1"/>
  <c r="O46" i="39" a="1"/>
  <c r="O46" i="39" s="1"/>
  <c r="F46" i="39" a="1"/>
  <c r="F46" i="39" s="1"/>
  <c r="E46" i="39" a="1"/>
  <c r="E46" i="39" s="1"/>
  <c r="L46" i="39" a="1"/>
  <c r="L46" i="39" s="1"/>
  <c r="M46" i="39" a="1"/>
  <c r="M46" i="39" s="1"/>
  <c r="D46" i="39" a="1"/>
  <c r="D46" i="39" s="1"/>
  <c r="N46" i="39" a="1"/>
  <c r="N46" i="39" s="1"/>
  <c r="O64" i="39" a="1"/>
  <c r="O64" i="39" s="1"/>
  <c r="F64" i="39" a="1"/>
  <c r="F64" i="39" s="1"/>
  <c r="E64" i="39" a="1"/>
  <c r="E64" i="39" s="1"/>
  <c r="L64" i="39" a="1"/>
  <c r="L64" i="39" s="1"/>
  <c r="G64" i="39" a="1"/>
  <c r="G64" i="39" s="1"/>
  <c r="D64" i="39" a="1"/>
  <c r="D64" i="39" s="1"/>
  <c r="N64" i="39" a="1"/>
  <c r="N64" i="39" s="1"/>
  <c r="M64" i="39" a="1"/>
  <c r="M64" i="39" s="1"/>
  <c r="O84" i="39" a="1"/>
  <c r="O84" i="39" s="1"/>
  <c r="G84" i="39" a="1"/>
  <c r="G84" i="39" s="1"/>
  <c r="F84" i="39" a="1"/>
  <c r="F84" i="39" s="1"/>
  <c r="E84" i="39" a="1"/>
  <c r="E84" i="39" s="1"/>
  <c r="L84" i="39" a="1"/>
  <c r="L84" i="39" s="1"/>
  <c r="N84" i="39" a="1"/>
  <c r="N84" i="39" s="1"/>
  <c r="M84" i="39" a="1"/>
  <c r="M84" i="39" s="1"/>
  <c r="D84" i="39" a="1"/>
  <c r="D84" i="39" s="1"/>
  <c r="D90" i="30" a="1"/>
  <c r="D90" i="30" s="1"/>
  <c r="D86" i="30" a="1"/>
  <c r="D86" i="30" s="1"/>
  <c r="D82" i="30" a="1"/>
  <c r="D82" i="30" s="1"/>
  <c r="D76" i="30" a="1"/>
  <c r="D76" i="30" s="1"/>
  <c r="D72" i="30" a="1"/>
  <c r="D72" i="30" s="1"/>
  <c r="D68" i="30" a="1"/>
  <c r="D68" i="30" s="1"/>
  <c r="D62" i="30" a="1"/>
  <c r="D62" i="30" s="1"/>
  <c r="D58" i="30" a="1"/>
  <c r="D58" i="30" s="1"/>
  <c r="D54" i="30" a="1"/>
  <c r="D54" i="30" s="1"/>
  <c r="D48" i="30" a="1"/>
  <c r="D48" i="30" s="1"/>
  <c r="D44" i="30" a="1"/>
  <c r="D44" i="30" s="1"/>
  <c r="D38" i="30" a="1"/>
  <c r="D38" i="30" s="1"/>
  <c r="D34" i="30" a="1"/>
  <c r="D34" i="30" s="1"/>
  <c r="D30" i="30" a="1"/>
  <c r="D30" i="30" s="1"/>
  <c r="D24" i="30" a="1"/>
  <c r="D24" i="30" s="1"/>
  <c r="D20" i="30" a="1"/>
  <c r="D20" i="30" s="1"/>
  <c r="D16" i="30" a="1"/>
  <c r="D16" i="30" s="1"/>
  <c r="D10" i="30" a="1"/>
  <c r="D10" i="30" s="1"/>
  <c r="D6" i="30" a="1"/>
  <c r="D6" i="30" s="1"/>
  <c r="D2" i="30" a="1"/>
  <c r="D2" i="30" s="1"/>
  <c r="D88" i="30" a="1"/>
  <c r="D88" i="30" s="1"/>
  <c r="D80" i="30" a="1"/>
  <c r="D80" i="30" s="1"/>
  <c r="D70" i="30" a="1"/>
  <c r="D70" i="30" s="1"/>
  <c r="D60" i="30" a="1"/>
  <c r="D60" i="30" s="1"/>
  <c r="D89" i="30" a="1"/>
  <c r="D89" i="30" s="1"/>
  <c r="D85" i="30" a="1"/>
  <c r="D85" i="30" s="1"/>
  <c r="D81" i="30" a="1"/>
  <c r="D81" i="30" s="1"/>
  <c r="D75" i="30" a="1"/>
  <c r="D75" i="30" s="1"/>
  <c r="D71" i="30" a="1"/>
  <c r="D71" i="30" s="1"/>
  <c r="D67" i="30" a="1"/>
  <c r="D67" i="30" s="1"/>
  <c r="D61" i="30" a="1"/>
  <c r="D61" i="30" s="1"/>
  <c r="D57" i="30" a="1"/>
  <c r="D57" i="30" s="1"/>
  <c r="D51" i="30" a="1"/>
  <c r="D51" i="30" s="1"/>
  <c r="D47" i="30" a="1"/>
  <c r="D47" i="30" s="1"/>
  <c r="D43" i="30" a="1"/>
  <c r="D43" i="30" s="1"/>
  <c r="D37" i="30" a="1"/>
  <c r="D37" i="30" s="1"/>
  <c r="D33" i="30" a="1"/>
  <c r="D33" i="30" s="1"/>
  <c r="D29" i="30" a="1"/>
  <c r="D29" i="30" s="1"/>
  <c r="D23" i="30" a="1"/>
  <c r="D23" i="30" s="1"/>
  <c r="D19" i="30" a="1"/>
  <c r="D19" i="30" s="1"/>
  <c r="D15" i="30" a="1"/>
  <c r="D15" i="30" s="1"/>
  <c r="D9" i="30" a="1"/>
  <c r="D9" i="30" s="1"/>
  <c r="D5" i="30" a="1"/>
  <c r="D5" i="30" s="1"/>
  <c r="D84" i="30" a="1"/>
  <c r="D84" i="30" s="1"/>
  <c r="D74" i="30" a="1"/>
  <c r="D74" i="30" s="1"/>
  <c r="D64" i="30" a="1"/>
  <c r="D64" i="30" s="1"/>
  <c r="D56" i="30" a="1"/>
  <c r="D56" i="30" s="1"/>
  <c r="D87" i="30" a="1"/>
  <c r="D87" i="30" s="1"/>
  <c r="D69" i="30" a="1"/>
  <c r="D69" i="30" s="1"/>
  <c r="D50" i="30" a="1"/>
  <c r="D50" i="30" s="1"/>
  <c r="D42" i="30" a="1"/>
  <c r="D42" i="30" s="1"/>
  <c r="D32" i="30" a="1"/>
  <c r="D32" i="30" s="1"/>
  <c r="D22" i="30" a="1"/>
  <c r="D22" i="30" s="1"/>
  <c r="D12" i="30" a="1"/>
  <c r="D12" i="30" s="1"/>
  <c r="D4" i="30" a="1"/>
  <c r="D4" i="30" s="1"/>
  <c r="D77" i="30" a="1"/>
  <c r="D77" i="30" s="1"/>
  <c r="D46" i="30" a="1"/>
  <c r="D46" i="30" s="1"/>
  <c r="D28" i="30" a="1"/>
  <c r="D28" i="30" s="1"/>
  <c r="D8" i="30" a="1"/>
  <c r="D8" i="30" s="1"/>
  <c r="D55" i="30" a="1"/>
  <c r="D55" i="30" s="1"/>
  <c r="D35" i="30" a="1"/>
  <c r="D35" i="30" s="1"/>
  <c r="D17" i="30" a="1"/>
  <c r="D17" i="30" s="1"/>
  <c r="D83" i="30" a="1"/>
  <c r="D83" i="30" s="1"/>
  <c r="D63" i="30" a="1"/>
  <c r="D63" i="30" s="1"/>
  <c r="D49" i="30" a="1"/>
  <c r="D49" i="30" s="1"/>
  <c r="D41" i="30" a="1"/>
  <c r="D41" i="30" s="1"/>
  <c r="D31" i="30" a="1"/>
  <c r="D31" i="30" s="1"/>
  <c r="D21" i="30" a="1"/>
  <c r="D21" i="30" s="1"/>
  <c r="D11" i="30" a="1"/>
  <c r="D11" i="30" s="1"/>
  <c r="D3" i="30" a="1"/>
  <c r="D3" i="30" s="1"/>
  <c r="D59" i="30" a="1"/>
  <c r="D59" i="30" s="1"/>
  <c r="D36" i="30" a="1"/>
  <c r="D36" i="30" s="1"/>
  <c r="D18" i="30" a="1"/>
  <c r="D18" i="30" s="1"/>
  <c r="D73" i="30" a="1"/>
  <c r="D73" i="30" s="1"/>
  <c r="D45" i="30" a="1"/>
  <c r="D45" i="30" s="1"/>
  <c r="D25" i="30" a="1"/>
  <c r="D25" i="30" s="1"/>
  <c r="D7" i="30" a="1"/>
  <c r="D7" i="30" s="1"/>
  <c r="K13" i="29"/>
  <c r="K9" i="29"/>
  <c r="K11" i="29"/>
  <c r="K5" i="29"/>
  <c r="K7" i="29"/>
  <c r="K15" i="29"/>
  <c r="K3" i="29"/>
  <c r="H79" i="30"/>
  <c r="I2" i="29"/>
  <c r="I6" i="29"/>
  <c r="I8" i="29"/>
  <c r="I12" i="29"/>
  <c r="I10" i="29"/>
  <c r="I4" i="29"/>
  <c r="I11" i="29"/>
  <c r="S11" i="29"/>
  <c r="L54" i="26" s="1"/>
  <c r="O66" i="39" s="1"/>
  <c r="S9" i="29"/>
  <c r="L53" i="26" s="1"/>
  <c r="O53" i="39" s="1"/>
  <c r="S3" i="29"/>
  <c r="L50" i="26" s="1"/>
  <c r="O14" i="39" s="1"/>
  <c r="S5" i="29"/>
  <c r="L51" i="26" s="1"/>
  <c r="O27" i="39" s="1"/>
  <c r="L56" i="26"/>
  <c r="O92" i="39" s="1"/>
  <c r="S13" i="29"/>
  <c r="L55" i="26" s="1"/>
  <c r="O79" i="39" s="1"/>
  <c r="I9" i="29"/>
  <c r="I13" i="29"/>
  <c r="S7" i="29"/>
  <c r="L52" i="26" s="1"/>
  <c r="O40" i="39" s="1"/>
  <c r="I3" i="29"/>
  <c r="I5" i="29"/>
  <c r="I7" i="29"/>
  <c r="F5" i="26"/>
  <c r="F9" i="26"/>
  <c r="F7" i="26"/>
  <c r="F13" i="26"/>
  <c r="F3" i="26"/>
  <c r="F15" i="26"/>
  <c r="F11" i="26"/>
  <c r="L7" i="26" a="1"/>
  <c r="L7" i="26" s="1"/>
  <c r="X3" i="26" a="1"/>
  <c r="X3" i="26" s="1"/>
  <c r="X5" i="26" a="1"/>
  <c r="X5" i="26" s="1"/>
  <c r="L3" i="26" a="1"/>
  <c r="L3" i="26" s="1"/>
  <c r="X15" i="26" a="1"/>
  <c r="X15" i="26" s="1"/>
  <c r="X13" i="26" a="1"/>
  <c r="X13" i="26" s="1"/>
  <c r="X7" i="26" a="1"/>
  <c r="X7" i="26" s="1"/>
  <c r="L15" i="26" a="1"/>
  <c r="L15" i="26" s="1"/>
  <c r="X9" i="26" a="1"/>
  <c r="X9" i="26" s="1"/>
  <c r="L5" i="26" a="1"/>
  <c r="L5" i="26" s="1"/>
  <c r="L9" i="26" a="1"/>
  <c r="L9" i="26" s="1"/>
  <c r="L13" i="26" a="1"/>
  <c r="L13" i="26" s="1"/>
  <c r="R9" i="26" a="1"/>
  <c r="R9" i="26" s="1"/>
  <c r="R3" i="26" a="1"/>
  <c r="R3" i="26" s="1"/>
  <c r="L11" i="26" a="1"/>
  <c r="L11" i="26" s="1"/>
  <c r="R7" i="26" a="1"/>
  <c r="R7" i="26" s="1"/>
  <c r="R11" i="26" a="1"/>
  <c r="R11" i="26" s="1"/>
  <c r="R13" i="26" a="1"/>
  <c r="R13" i="26" s="1"/>
  <c r="X11" i="26" a="1"/>
  <c r="X11" i="26" s="1"/>
  <c r="R5" i="26" a="1"/>
  <c r="R5" i="26" s="1"/>
  <c r="R15" i="26" a="1"/>
  <c r="R15" i="26" s="1"/>
  <c r="F8" i="26" a="1"/>
  <c r="F8" i="26" s="1"/>
  <c r="F4" i="26" a="1"/>
  <c r="F4" i="26" s="1"/>
  <c r="F16" i="26" a="1"/>
  <c r="F16" i="26" s="1"/>
  <c r="F6" i="26" a="1"/>
  <c r="F6" i="26" s="1"/>
  <c r="F14" i="26" a="1"/>
  <c r="F14" i="26" s="1"/>
  <c r="F10" i="26" a="1"/>
  <c r="F10" i="26" s="1"/>
  <c r="F12" i="26" a="1"/>
  <c r="F12" i="26" s="1"/>
  <c r="R4" i="26" a="1"/>
  <c r="R4" i="26" s="1"/>
  <c r="R16" i="26" a="1"/>
  <c r="R16" i="26" s="1"/>
  <c r="L8" i="26" a="1"/>
  <c r="L8" i="26" s="1"/>
  <c r="X6" i="26" a="1"/>
  <c r="X6" i="26" s="1"/>
  <c r="X16" i="26" a="1"/>
  <c r="X16" i="26" s="1"/>
  <c r="L10" i="26" a="1"/>
  <c r="L10" i="26" s="1"/>
  <c r="X8" i="26" a="1"/>
  <c r="X8" i="26" s="1"/>
  <c r="R10" i="26" a="1"/>
  <c r="R10" i="26" s="1"/>
  <c r="R12" i="26" a="1"/>
  <c r="R12" i="26" s="1"/>
  <c r="R14" i="26" a="1"/>
  <c r="R14" i="26" s="1"/>
  <c r="L16" i="26" a="1"/>
  <c r="L16" i="26" s="1"/>
  <c r="L14" i="26" a="1"/>
  <c r="L14" i="26" s="1"/>
  <c r="X12" i="26" a="1"/>
  <c r="X12" i="26" s="1"/>
  <c r="X10" i="26" a="1"/>
  <c r="X10" i="26" s="1"/>
  <c r="R8" i="26" a="1"/>
  <c r="R8" i="26" s="1"/>
  <c r="R6" i="26" a="1"/>
  <c r="R6" i="26" s="1"/>
  <c r="L6" i="26" a="1"/>
  <c r="L6" i="26" s="1"/>
  <c r="L12" i="26" a="1"/>
  <c r="L12" i="26" s="1"/>
  <c r="X14" i="26" a="1"/>
  <c r="X14" i="26" s="1"/>
  <c r="L4" i="26" a="1"/>
  <c r="L4" i="26" s="1"/>
  <c r="X4" i="26" a="1"/>
  <c r="X4" i="26" s="1"/>
  <c r="Q5" i="26" a="1"/>
  <c r="Q5" i="26" s="1"/>
  <c r="Q3" i="26" a="1"/>
  <c r="Q3" i="26" s="1"/>
  <c r="Q11" i="26" a="1"/>
  <c r="Q11" i="26" s="1"/>
  <c r="Q9" i="26" a="1"/>
  <c r="Q9" i="26" s="1"/>
  <c r="Q13" i="26" a="1"/>
  <c r="Q13" i="26" s="1"/>
  <c r="Q15" i="26" a="1"/>
  <c r="Q15" i="26" s="1"/>
  <c r="Q7" i="26" a="1"/>
  <c r="Q7" i="26" s="1"/>
  <c r="D15" i="26"/>
  <c r="J15" i="26" a="1"/>
  <c r="J15" i="26" s="1"/>
  <c r="D13" i="26"/>
  <c r="E5" i="29"/>
  <c r="E9" i="29"/>
  <c r="O13" i="29"/>
  <c r="E2" i="29"/>
  <c r="D9" i="26"/>
  <c r="E7" i="29"/>
  <c r="O11" i="29"/>
  <c r="E12" i="29"/>
  <c r="O5" i="29"/>
  <c r="D7" i="26"/>
  <c r="O10" i="29"/>
  <c r="E11" i="29"/>
  <c r="O9" i="29"/>
  <c r="E13" i="29"/>
  <c r="E6" i="29"/>
  <c r="E10" i="29"/>
  <c r="E3" i="29"/>
  <c r="O7" i="29"/>
  <c r="D5" i="26"/>
  <c r="D3" i="26"/>
  <c r="E4" i="29"/>
  <c r="E8" i="29"/>
  <c r="O12" i="29"/>
  <c r="O2" i="29"/>
  <c r="O3" i="29"/>
  <c r="D11" i="26"/>
  <c r="O4" i="29"/>
  <c r="O8" i="29"/>
  <c r="O6" i="29"/>
  <c r="J11" i="26" a="1"/>
  <c r="J11" i="26" s="1"/>
  <c r="J7" i="26" a="1"/>
  <c r="J7" i="26" s="1"/>
  <c r="J13" i="26" a="1"/>
  <c r="J13" i="26" s="1"/>
  <c r="J9" i="26" a="1"/>
  <c r="J9" i="26" s="1"/>
  <c r="J5" i="26" a="1"/>
  <c r="J5" i="26" s="1"/>
  <c r="J3" i="26" a="1"/>
  <c r="J3" i="26" s="1"/>
  <c r="P15" i="26" a="1"/>
  <c r="P15" i="26" s="1"/>
  <c r="P11" i="26" a="1"/>
  <c r="P11" i="26" s="1"/>
  <c r="P5" i="26" a="1"/>
  <c r="P5" i="26" s="1"/>
  <c r="P9" i="26" a="1"/>
  <c r="P9" i="26" s="1"/>
  <c r="V7" i="26" a="1"/>
  <c r="V7" i="26" s="1"/>
  <c r="V15" i="26" a="1"/>
  <c r="V15" i="26" s="1"/>
  <c r="V13" i="26" a="1"/>
  <c r="V13" i="26" s="1"/>
  <c r="V5" i="26" a="1"/>
  <c r="V5" i="26" s="1"/>
  <c r="P13" i="26" a="1"/>
  <c r="P13" i="26" s="1"/>
  <c r="V3" i="26" a="1"/>
  <c r="V3" i="26" s="1"/>
  <c r="P3" i="26" a="1"/>
  <c r="P3" i="26" s="1"/>
  <c r="P7" i="26" a="1"/>
  <c r="P7" i="26" s="1"/>
  <c r="V9" i="26" a="1"/>
  <c r="V9" i="26" s="1"/>
  <c r="V11" i="26" a="1"/>
  <c r="V11" i="26" s="1"/>
  <c r="B3" i="26"/>
  <c r="G6" i="29"/>
  <c r="G10" i="29"/>
  <c r="Q3" i="29"/>
  <c r="Q4" i="29"/>
  <c r="G8" i="29"/>
  <c r="G5" i="29"/>
  <c r="Q2" i="29"/>
  <c r="Q11" i="29"/>
  <c r="Q8" i="29"/>
  <c r="G12" i="29"/>
  <c r="Q13" i="29"/>
  <c r="G2" i="29"/>
  <c r="G7" i="29"/>
  <c r="Q5" i="29"/>
  <c r="G9" i="29"/>
  <c r="G13" i="29"/>
  <c r="Q6" i="29"/>
  <c r="Q10" i="29"/>
  <c r="Q7" i="29"/>
  <c r="G11" i="29"/>
  <c r="Q12" i="29"/>
  <c r="Q9" i="29"/>
  <c r="G3" i="29"/>
  <c r="G4" i="29"/>
  <c r="E11" i="26"/>
  <c r="E7" i="26"/>
  <c r="E3" i="26"/>
  <c r="E9" i="26"/>
  <c r="E13" i="26"/>
  <c r="E5" i="26"/>
  <c r="E15" i="26"/>
  <c r="K15" i="26" a="1"/>
  <c r="K15" i="26" s="1"/>
  <c r="K7" i="26" a="1"/>
  <c r="K7" i="26" s="1"/>
  <c r="K11" i="26" a="1"/>
  <c r="K11" i="26" s="1"/>
  <c r="K13" i="26" a="1"/>
  <c r="K13" i="26" s="1"/>
  <c r="K9" i="26" a="1"/>
  <c r="K9" i="26" s="1"/>
  <c r="W3" i="26" a="1"/>
  <c r="W3" i="26" s="1"/>
  <c r="K5" i="26" a="1"/>
  <c r="K5" i="26" s="1"/>
  <c r="W9" i="26" a="1"/>
  <c r="W9" i="26" s="1"/>
  <c r="W15" i="26" a="1"/>
  <c r="W15" i="26" s="1"/>
  <c r="K3" i="26" a="1"/>
  <c r="K3" i="26" s="1"/>
  <c r="W13" i="26" a="1"/>
  <c r="W13" i="26" s="1"/>
  <c r="W7" i="26" a="1"/>
  <c r="W7" i="26" s="1"/>
  <c r="W5" i="26" a="1"/>
  <c r="W5" i="26" s="1"/>
  <c r="W11" i="26" a="1"/>
  <c r="W11" i="26" s="1"/>
  <c r="U15" i="26" a="1"/>
  <c r="U15" i="26" s="1"/>
  <c r="Q16" i="26" a="1"/>
  <c r="Q16" i="26" s="1"/>
  <c r="M3" i="29"/>
  <c r="M11" i="29"/>
  <c r="C2" i="29"/>
  <c r="M4" i="29"/>
  <c r="M12" i="29"/>
  <c r="M6" i="29"/>
  <c r="M9" i="29"/>
  <c r="Q12" i="26" a="1"/>
  <c r="Q12" i="26" s="1"/>
  <c r="C7" i="29"/>
  <c r="M10" i="29"/>
  <c r="C8" i="29"/>
  <c r="C6" i="29"/>
  <c r="C9" i="29"/>
  <c r="M2" i="29"/>
  <c r="C12" i="29"/>
  <c r="C13" i="29"/>
  <c r="M7" i="29"/>
  <c r="C10" i="29"/>
  <c r="M8" i="29"/>
  <c r="M5" i="29"/>
  <c r="M13" i="29"/>
  <c r="U3" i="26" a="1"/>
  <c r="U3" i="26" s="1"/>
  <c r="C3" i="29"/>
  <c r="C11" i="29"/>
  <c r="C4" i="29"/>
  <c r="C5" i="29"/>
  <c r="U11" i="26" a="1"/>
  <c r="U11" i="26" s="1"/>
  <c r="Q10" i="26" a="1"/>
  <c r="Q10" i="26" s="1"/>
  <c r="Q14" i="26" a="1"/>
  <c r="Q14" i="26" s="1"/>
  <c r="U13" i="26" a="1"/>
  <c r="U13" i="26" s="1"/>
  <c r="U9" i="26" a="1"/>
  <c r="U9" i="26" s="1"/>
  <c r="U5" i="26" a="1"/>
  <c r="U5" i="26" s="1"/>
  <c r="Q6" i="26" a="1"/>
  <c r="Q6" i="26" s="1"/>
  <c r="Q8" i="26" a="1"/>
  <c r="Q8" i="26" s="1"/>
  <c r="Q4" i="26" a="1"/>
  <c r="Q4" i="26" s="1"/>
  <c r="U7" i="26" a="1"/>
  <c r="U7" i="26" s="1"/>
  <c r="C3" i="26"/>
  <c r="C13" i="26"/>
  <c r="C15" i="26"/>
  <c r="C5" i="26"/>
  <c r="C7" i="26"/>
  <c r="C9" i="26"/>
  <c r="I7" i="26" a="1"/>
  <c r="I7" i="26" s="1"/>
  <c r="I3" i="26" a="1"/>
  <c r="I3" i="26" s="1"/>
  <c r="I9" i="26" a="1"/>
  <c r="I9" i="26" s="1"/>
  <c r="I13" i="26" a="1"/>
  <c r="I13" i="26" s="1"/>
  <c r="C11" i="26"/>
  <c r="I15" i="26" a="1"/>
  <c r="I15" i="26" s="1"/>
  <c r="I5" i="26" a="1"/>
  <c r="I5" i="26" s="1"/>
  <c r="I11" i="26" a="1"/>
  <c r="I11" i="26" s="1"/>
  <c r="O7" i="26" a="1"/>
  <c r="O7" i="26" s="1"/>
  <c r="E14" i="26" a="1"/>
  <c r="E14" i="26" s="1"/>
  <c r="O3" i="26"/>
  <c r="O11" i="26" a="1"/>
  <c r="O11" i="26" s="1"/>
  <c r="E6" i="26" a="1"/>
  <c r="E6" i="26" s="1"/>
  <c r="E10" i="26" a="1"/>
  <c r="E10" i="26" s="1"/>
  <c r="O5" i="26" a="1"/>
  <c r="O5" i="26" s="1"/>
  <c r="E16" i="26" a="1"/>
  <c r="E16" i="26" s="1"/>
  <c r="E12" i="26" a="1"/>
  <c r="E12" i="26" s="1"/>
  <c r="O13" i="26" a="1"/>
  <c r="O13" i="26" s="1"/>
  <c r="O15" i="26" a="1"/>
  <c r="O15" i="26" s="1"/>
  <c r="E8" i="26" a="1"/>
  <c r="E8" i="26" s="1"/>
  <c r="E4" i="26" a="1"/>
  <c r="E4" i="26" s="1"/>
  <c r="O9" i="26" a="1"/>
  <c r="O9" i="26" s="1"/>
  <c r="K12" i="26" a="1"/>
  <c r="K12" i="26" s="1"/>
  <c r="W16" i="26" a="1"/>
  <c r="W16" i="26" s="1"/>
  <c r="W12" i="26" a="1"/>
  <c r="W12" i="26" s="1"/>
  <c r="K16" i="26" a="1"/>
  <c r="K16" i="26" s="1"/>
  <c r="W10" i="26" a="1"/>
  <c r="W10" i="26" s="1"/>
  <c r="K6" i="26" a="1"/>
  <c r="K6" i="26" s="1"/>
  <c r="K14" i="26" a="1"/>
  <c r="K14" i="26" s="1"/>
  <c r="W6" i="26" a="1"/>
  <c r="W6" i="26" s="1"/>
  <c r="K8" i="26" a="1"/>
  <c r="K8" i="26" s="1"/>
  <c r="K4" i="26" a="1"/>
  <c r="K4" i="26" s="1"/>
  <c r="W8" i="26" a="1"/>
  <c r="W8" i="26" s="1"/>
  <c r="W4" i="26" a="1"/>
  <c r="W4" i="26" s="1"/>
  <c r="W14" i="26" a="1"/>
  <c r="W14" i="26" s="1"/>
  <c r="K10" i="26" a="1"/>
  <c r="K10" i="26" s="1"/>
  <c r="J10" i="26" a="1"/>
  <c r="J10" i="26" s="1"/>
  <c r="J6" i="26" a="1"/>
  <c r="J6" i="26" s="1"/>
  <c r="J14" i="26" a="1"/>
  <c r="J14" i="26" s="1"/>
  <c r="J12" i="26" a="1"/>
  <c r="J12" i="26" s="1"/>
  <c r="J16" i="26" a="1"/>
  <c r="J16" i="26" s="1"/>
  <c r="J4" i="26" a="1"/>
  <c r="J4" i="26" s="1"/>
  <c r="J8" i="26" a="1"/>
  <c r="J8" i="26" s="1"/>
  <c r="D4" i="26" a="1"/>
  <c r="D4" i="26" s="1"/>
  <c r="D14" i="26" a="1"/>
  <c r="D14" i="26" s="1"/>
  <c r="D16" i="26" a="1"/>
  <c r="D16" i="26" s="1"/>
  <c r="D10" i="26" a="1"/>
  <c r="D10" i="26" s="1"/>
  <c r="D12" i="26" a="1"/>
  <c r="D12" i="26" s="1"/>
  <c r="D6" i="26" a="1"/>
  <c r="D6" i="26" s="1"/>
  <c r="D8" i="26" a="1"/>
  <c r="D8" i="26" s="1"/>
  <c r="P6" i="26" a="1"/>
  <c r="P6" i="26" s="1"/>
  <c r="P12" i="26" a="1"/>
  <c r="P12" i="26" s="1"/>
  <c r="P10" i="26" a="1"/>
  <c r="P10" i="26" s="1"/>
  <c r="P14" i="26" a="1"/>
  <c r="P14" i="26" s="1"/>
  <c r="P8" i="26" a="1"/>
  <c r="P8" i="26" s="1"/>
  <c r="P4" i="26" a="1"/>
  <c r="P4" i="26" s="1"/>
  <c r="P16" i="26" a="1"/>
  <c r="P16" i="26" s="1"/>
  <c r="C10" i="26" a="1"/>
  <c r="C10" i="26" s="1"/>
  <c r="C12" i="26" a="1"/>
  <c r="C12" i="26" s="1"/>
  <c r="C16" i="26" a="1"/>
  <c r="C16" i="26" s="1"/>
  <c r="C14" i="26" a="1"/>
  <c r="C14" i="26" s="1"/>
  <c r="C8" i="26" a="1"/>
  <c r="C8" i="26" s="1"/>
  <c r="C6" i="26" a="1"/>
  <c r="C6" i="26" s="1"/>
  <c r="C4" i="26" a="1"/>
  <c r="C4" i="26" s="1"/>
  <c r="O12" i="26" a="1"/>
  <c r="O12" i="26" s="1"/>
  <c r="V6" i="26" a="1"/>
  <c r="V6" i="26" s="1"/>
  <c r="V12" i="26" a="1"/>
  <c r="V12" i="26" s="1"/>
  <c r="U16" i="26" a="1"/>
  <c r="U16" i="26" s="1"/>
  <c r="U6" i="26" a="1"/>
  <c r="U6" i="26" s="1"/>
  <c r="I16" i="26" a="1"/>
  <c r="I16" i="26" s="1"/>
  <c r="I8" i="26" a="1"/>
  <c r="I8" i="26" s="1"/>
  <c r="O6" i="26" a="1"/>
  <c r="O6" i="26" s="1"/>
  <c r="O14" i="26" a="1"/>
  <c r="O14" i="26" s="1"/>
  <c r="V16" i="26" a="1"/>
  <c r="V16" i="26" s="1"/>
  <c r="U4" i="26" a="1"/>
  <c r="U4" i="26" s="1"/>
  <c r="U14" i="26" a="1"/>
  <c r="U14" i="26" s="1"/>
  <c r="I14" i="26" a="1"/>
  <c r="I14" i="26" s="1"/>
  <c r="I6" i="26" a="1"/>
  <c r="I6" i="26" s="1"/>
  <c r="O10" i="26" a="1"/>
  <c r="O10" i="26" s="1"/>
  <c r="V8" i="26" a="1"/>
  <c r="V8" i="26" s="1"/>
  <c r="V10" i="26" a="1"/>
  <c r="V10" i="26" s="1"/>
  <c r="U12" i="26" a="1"/>
  <c r="U12" i="26" s="1"/>
  <c r="U8" i="26" a="1"/>
  <c r="U8" i="26" s="1"/>
  <c r="O16" i="26" a="1"/>
  <c r="O16" i="26" s="1"/>
  <c r="I4" i="26" a="1"/>
  <c r="I4" i="26" s="1"/>
  <c r="O4" i="26" a="1"/>
  <c r="O4" i="26" s="1"/>
  <c r="V4" i="26" a="1"/>
  <c r="V4" i="26" s="1"/>
  <c r="V14" i="26" a="1"/>
  <c r="V14" i="26" s="1"/>
  <c r="U10" i="26" a="1"/>
  <c r="U10" i="26" s="1"/>
  <c r="I10" i="26" a="1"/>
  <c r="I10" i="26" s="1"/>
  <c r="O8" i="26" a="1"/>
  <c r="O8" i="26" s="1"/>
  <c r="I12" i="26" a="1"/>
  <c r="I12" i="26" s="1"/>
  <c r="B16" i="26" a="1"/>
  <c r="B16" i="26" s="1"/>
  <c r="B15" i="26"/>
  <c r="C36" i="27"/>
  <c r="C25" i="27"/>
  <c r="C59" i="27"/>
  <c r="C46" i="27"/>
  <c r="C39" i="27"/>
  <c r="C42" i="27"/>
  <c r="C56" i="27"/>
  <c r="C63" i="27"/>
  <c r="C58" i="27"/>
  <c r="C54" i="27"/>
  <c r="C37" i="27"/>
  <c r="C8" i="27"/>
  <c r="C4" i="27"/>
  <c r="C19" i="27"/>
  <c r="C26" i="27"/>
  <c r="C48" i="27"/>
  <c r="C14" i="27"/>
  <c r="C10" i="27"/>
  <c r="C16" i="27"/>
  <c r="C45" i="27"/>
  <c r="C65" i="27"/>
  <c r="C5" i="27"/>
  <c r="C7" i="27"/>
  <c r="C35" i="27"/>
  <c r="C21" i="27"/>
  <c r="C47" i="27"/>
  <c r="C62" i="27"/>
  <c r="C49" i="27"/>
  <c r="C9" i="27"/>
  <c r="C41" i="27"/>
  <c r="C32" i="27"/>
  <c r="C2" i="27"/>
  <c r="C40" i="27"/>
  <c r="C27" i="27"/>
  <c r="C17" i="27"/>
  <c r="C67" i="27"/>
  <c r="C53" i="27"/>
  <c r="C38" i="27"/>
  <c r="C29" i="27"/>
  <c r="C15" i="27"/>
  <c r="C52" i="27"/>
  <c r="C22" i="27"/>
  <c r="C50" i="27"/>
  <c r="C57" i="27"/>
  <c r="C13" i="27"/>
  <c r="C24" i="27"/>
  <c r="C66" i="27"/>
  <c r="C3" i="27"/>
  <c r="C51" i="27"/>
  <c r="C6" i="27"/>
  <c r="C61" i="27"/>
  <c r="C18" i="27"/>
  <c r="C55" i="27"/>
  <c r="C64" i="27"/>
  <c r="C30" i="27"/>
  <c r="C43" i="27"/>
  <c r="C34" i="27"/>
  <c r="C33" i="27"/>
  <c r="C44" i="27"/>
  <c r="C60" i="27"/>
  <c r="C20" i="27"/>
  <c r="C12" i="27"/>
  <c r="C31" i="27"/>
  <c r="C23" i="27"/>
  <c r="C11" i="27"/>
  <c r="C28" i="27"/>
  <c r="B10" i="26" a="1"/>
  <c r="B10" i="26" s="1"/>
  <c r="B8" i="26" a="1"/>
  <c r="B8" i="26" s="1"/>
  <c r="B6" i="26" a="1"/>
  <c r="B6" i="26" s="1"/>
  <c r="B11" i="26"/>
  <c r="B13" i="26"/>
  <c r="B12" i="26" a="1"/>
  <c r="B12" i="26" s="1"/>
  <c r="B4" i="26" a="1"/>
  <c r="B4" i="26" s="1"/>
  <c r="B7" i="26"/>
  <c r="B14" i="26" a="1"/>
  <c r="B14" i="26" s="1"/>
  <c r="B5" i="26"/>
  <c r="B9" i="26"/>
  <c r="B2" i="27"/>
  <c r="G79" i="38" l="1"/>
  <c r="H53" i="30"/>
  <c r="H40" i="30"/>
  <c r="H65" i="30"/>
  <c r="F52" i="39"/>
  <c r="H92" i="30"/>
  <c r="N52" i="39"/>
  <c r="H13" i="30"/>
  <c r="H39" i="30"/>
  <c r="H66" i="30"/>
  <c r="H91" i="30"/>
  <c r="H52" i="30"/>
  <c r="D52" i="39"/>
  <c r="K14" i="29"/>
  <c r="G27" i="38"/>
  <c r="G92" i="38"/>
  <c r="G66" i="38"/>
  <c r="G14" i="38"/>
  <c r="G65" i="37"/>
  <c r="G91" i="37"/>
  <c r="G91" i="38"/>
  <c r="G40" i="38"/>
  <c r="G52" i="37"/>
  <c r="G40" i="37"/>
  <c r="G27" i="37"/>
  <c r="G53" i="38"/>
  <c r="G26" i="38"/>
  <c r="G14" i="37"/>
  <c r="H14" i="30"/>
  <c r="G66" i="37"/>
  <c r="G53" i="37"/>
  <c r="G79" i="37"/>
  <c r="G92" i="37"/>
  <c r="G39" i="37"/>
  <c r="G13" i="38"/>
  <c r="G52" i="38"/>
  <c r="G13" i="37"/>
  <c r="G39" i="38"/>
  <c r="H27" i="30"/>
  <c r="C54" i="26"/>
  <c r="E66" i="39" s="1"/>
  <c r="D13" i="30"/>
  <c r="D14" i="30"/>
  <c r="D40" i="30"/>
  <c r="D39" i="30"/>
  <c r="D66" i="30"/>
  <c r="D65" i="30"/>
  <c r="F78" i="39"/>
  <c r="G78" i="37"/>
  <c r="G26" i="37"/>
  <c r="H78" i="30"/>
  <c r="G78" i="38"/>
  <c r="H26" i="30"/>
  <c r="G65" i="38"/>
  <c r="D26" i="30"/>
  <c r="D27" i="30"/>
  <c r="D78" i="30"/>
  <c r="D79" i="30"/>
  <c r="D52" i="30"/>
  <c r="D53" i="30"/>
  <c r="O78" i="39"/>
  <c r="G78" i="39"/>
  <c r="O13" i="39"/>
  <c r="G52" i="39"/>
  <c r="G27" i="36"/>
  <c r="G26" i="36"/>
  <c r="G39" i="39"/>
  <c r="O65" i="39"/>
  <c r="O26" i="39"/>
  <c r="O52" i="39"/>
  <c r="G40" i="36"/>
  <c r="G39" i="36"/>
  <c r="O39" i="39"/>
  <c r="G65" i="39"/>
  <c r="G26" i="39"/>
  <c r="G79" i="36"/>
  <c r="G78" i="36"/>
  <c r="G66" i="36"/>
  <c r="G65" i="36"/>
  <c r="G13" i="39"/>
  <c r="G53" i="36"/>
  <c r="G52" i="36"/>
  <c r="G13" i="36"/>
  <c r="G14" i="36"/>
  <c r="F13" i="38"/>
  <c r="N78" i="39"/>
  <c r="F39" i="37"/>
  <c r="F40" i="37"/>
  <c r="F66" i="37"/>
  <c r="F65" i="37"/>
  <c r="G65" i="30"/>
  <c r="G66" i="30"/>
  <c r="G14" i="30"/>
  <c r="G13" i="30"/>
  <c r="F66" i="36"/>
  <c r="F65" i="36"/>
  <c r="F52" i="36"/>
  <c r="F53" i="36"/>
  <c r="F14" i="36"/>
  <c r="F13" i="36"/>
  <c r="F14" i="37"/>
  <c r="F13" i="37"/>
  <c r="N39" i="39"/>
  <c r="N65" i="39"/>
  <c r="N26" i="39"/>
  <c r="F79" i="38"/>
  <c r="F78" i="38"/>
  <c r="G52" i="30"/>
  <c r="G53" i="30"/>
  <c r="F26" i="38"/>
  <c r="F27" i="38"/>
  <c r="F52" i="37"/>
  <c r="F53" i="37"/>
  <c r="F40" i="36"/>
  <c r="F39" i="36"/>
  <c r="F78" i="36"/>
  <c r="F79" i="36"/>
  <c r="F65" i="39"/>
  <c r="F39" i="38"/>
  <c r="F40" i="38"/>
  <c r="G78" i="30"/>
  <c r="G79" i="30"/>
  <c r="N13" i="39"/>
  <c r="F13" i="39"/>
  <c r="G26" i="30"/>
  <c r="G27" i="30"/>
  <c r="F65" i="38"/>
  <c r="F66" i="38"/>
  <c r="F26" i="36"/>
  <c r="F27" i="36"/>
  <c r="F39" i="39"/>
  <c r="F26" i="39"/>
  <c r="F79" i="37"/>
  <c r="F78" i="37"/>
  <c r="F27" i="37"/>
  <c r="F26" i="37"/>
  <c r="G40" i="30"/>
  <c r="G39" i="30"/>
  <c r="F53" i="38"/>
  <c r="F52" i="38"/>
  <c r="E78" i="39"/>
  <c r="E52" i="39"/>
  <c r="E65" i="39"/>
  <c r="M26" i="39"/>
  <c r="E40" i="38"/>
  <c r="E39" i="38"/>
  <c r="F79" i="30"/>
  <c r="F78" i="30"/>
  <c r="F27" i="30"/>
  <c r="F26" i="30"/>
  <c r="E52" i="37"/>
  <c r="E53" i="37"/>
  <c r="E26" i="36"/>
  <c r="E27" i="36"/>
  <c r="E78" i="36"/>
  <c r="E79" i="36"/>
  <c r="M39" i="39"/>
  <c r="E26" i="39"/>
  <c r="E65" i="37"/>
  <c r="E66" i="37"/>
  <c r="F40" i="30"/>
  <c r="F39" i="30"/>
  <c r="M13" i="39"/>
  <c r="E53" i="38"/>
  <c r="E52" i="38"/>
  <c r="E66" i="36"/>
  <c r="E65" i="36"/>
  <c r="E13" i="36"/>
  <c r="E14" i="36"/>
  <c r="M52" i="39"/>
  <c r="E13" i="37"/>
  <c r="E14" i="37"/>
  <c r="M78" i="39"/>
  <c r="E39" i="39"/>
  <c r="E78" i="38"/>
  <c r="E79" i="38"/>
  <c r="E78" i="37"/>
  <c r="E79" i="37"/>
  <c r="E26" i="37"/>
  <c r="E27" i="37"/>
  <c r="E14" i="38"/>
  <c r="E13" i="38"/>
  <c r="F66" i="30"/>
  <c r="F65" i="30"/>
  <c r="F14" i="30"/>
  <c r="F13" i="30"/>
  <c r="E52" i="36"/>
  <c r="E53" i="36"/>
  <c r="E39" i="37"/>
  <c r="E40" i="37"/>
  <c r="M65" i="39"/>
  <c r="E13" i="39"/>
  <c r="F53" i="30"/>
  <c r="F52" i="30"/>
  <c r="E26" i="38"/>
  <c r="E27" i="38"/>
  <c r="E66" i="38"/>
  <c r="E65" i="38"/>
  <c r="E40" i="36"/>
  <c r="E39" i="36"/>
  <c r="L39" i="39"/>
  <c r="E40" i="30"/>
  <c r="E39" i="30"/>
  <c r="L13" i="39"/>
  <c r="D53" i="38"/>
  <c r="D52" i="38"/>
  <c r="D66" i="38"/>
  <c r="D65" i="38"/>
  <c r="D40" i="36"/>
  <c r="D39" i="36"/>
  <c r="D65" i="39"/>
  <c r="D78" i="37"/>
  <c r="D79" i="37"/>
  <c r="D27" i="37"/>
  <c r="D26" i="37"/>
  <c r="E66" i="30"/>
  <c r="E65" i="30"/>
  <c r="E14" i="30"/>
  <c r="E13" i="30"/>
  <c r="D13" i="37"/>
  <c r="D14" i="37"/>
  <c r="D78" i="39"/>
  <c r="D39" i="37"/>
  <c r="D40" i="37"/>
  <c r="D39" i="39"/>
  <c r="L65" i="39"/>
  <c r="D26" i="39"/>
  <c r="L26" i="39"/>
  <c r="E52" i="30"/>
  <c r="E53" i="30"/>
  <c r="D27" i="38"/>
  <c r="D26" i="38"/>
  <c r="D66" i="36"/>
  <c r="D65" i="36"/>
  <c r="D13" i="36"/>
  <c r="D14" i="36"/>
  <c r="L78" i="39"/>
  <c r="L52" i="39"/>
  <c r="D79" i="38"/>
  <c r="D78" i="38"/>
  <c r="D40" i="38"/>
  <c r="D39" i="38"/>
  <c r="D66" i="37"/>
  <c r="D65" i="37"/>
  <c r="E78" i="30"/>
  <c r="E79" i="30"/>
  <c r="D13" i="39"/>
  <c r="D14" i="38"/>
  <c r="D13" i="38"/>
  <c r="E26" i="30"/>
  <c r="E27" i="30"/>
  <c r="D52" i="37"/>
  <c r="D53" i="37"/>
  <c r="D27" i="36"/>
  <c r="D26" i="36"/>
  <c r="D53" i="36"/>
  <c r="D52" i="36"/>
  <c r="D79" i="36"/>
  <c r="D78" i="36"/>
  <c r="U5" i="29"/>
  <c r="E51" i="26"/>
  <c r="G27" i="39" s="1"/>
  <c r="E53" i="26"/>
  <c r="G53" i="39" s="1"/>
  <c r="O91" i="39"/>
  <c r="E52" i="26"/>
  <c r="G40" i="39" s="1"/>
  <c r="E55" i="26"/>
  <c r="G79" i="39" s="1"/>
  <c r="G91" i="36"/>
  <c r="G92" i="36"/>
  <c r="F92" i="36"/>
  <c r="F91" i="36"/>
  <c r="G91" i="39"/>
  <c r="E91" i="36"/>
  <c r="E92" i="36"/>
  <c r="E54" i="26"/>
  <c r="G66" i="39" s="1"/>
  <c r="B56" i="26"/>
  <c r="D92" i="39" s="1"/>
  <c r="B52" i="26"/>
  <c r="D40" i="39" s="1"/>
  <c r="D92" i="36"/>
  <c r="D91" i="36"/>
  <c r="E50" i="26"/>
  <c r="G14" i="39" s="1"/>
  <c r="E56" i="26"/>
  <c r="G92" i="39" s="1"/>
  <c r="K50" i="26"/>
  <c r="N14" i="39" s="1"/>
  <c r="U13" i="29"/>
  <c r="L91" i="39"/>
  <c r="U7" i="29"/>
  <c r="F91" i="39"/>
  <c r="U11" i="29"/>
  <c r="N91" i="39"/>
  <c r="E91" i="39"/>
  <c r="D91" i="39"/>
  <c r="U3" i="29"/>
  <c r="U9" i="29"/>
  <c r="B51" i="26"/>
  <c r="D27" i="39" s="1"/>
  <c r="B55" i="26"/>
  <c r="D79" i="39" s="1"/>
  <c r="J55" i="26"/>
  <c r="M79" i="39" s="1"/>
  <c r="K54" i="26"/>
  <c r="N66" i="39" s="1"/>
  <c r="D52" i="26"/>
  <c r="F40" i="39" s="1"/>
  <c r="J53" i="26"/>
  <c r="M53" i="39" s="1"/>
  <c r="J54" i="26"/>
  <c r="M66" i="39" s="1"/>
  <c r="C50" i="26"/>
  <c r="E14" i="39" s="1"/>
  <c r="D50" i="26"/>
  <c r="F14" i="39" s="1"/>
  <c r="K55" i="26"/>
  <c r="N79" i="39" s="1"/>
  <c r="C52" i="26"/>
  <c r="E40" i="39" s="1"/>
  <c r="C53" i="26"/>
  <c r="E53" i="39" s="1"/>
  <c r="C51" i="26"/>
  <c r="E27" i="39" s="1"/>
  <c r="F91" i="30"/>
  <c r="F92" i="30"/>
  <c r="B53" i="26"/>
  <c r="D53" i="39" s="1"/>
  <c r="I56" i="26"/>
  <c r="L92" i="39" s="1"/>
  <c r="U12" i="29"/>
  <c r="I55" i="26"/>
  <c r="L79" i="39" s="1"/>
  <c r="E91" i="37"/>
  <c r="E92" i="37"/>
  <c r="D55" i="26"/>
  <c r="F79" i="39" s="1"/>
  <c r="D56" i="26"/>
  <c r="F92" i="39" s="1"/>
  <c r="K51" i="26"/>
  <c r="N27" i="39" s="1"/>
  <c r="F14" i="38"/>
  <c r="J50" i="26"/>
  <c r="M14" i="39" s="1"/>
  <c r="I50" i="26"/>
  <c r="L14" i="39" s="1"/>
  <c r="U2" i="29"/>
  <c r="I54" i="26"/>
  <c r="L66" i="39" s="1"/>
  <c r="U10" i="29"/>
  <c r="U4" i="29"/>
  <c r="I51" i="26"/>
  <c r="L27" i="39" s="1"/>
  <c r="D51" i="26"/>
  <c r="F27" i="39" s="1"/>
  <c r="K52" i="26"/>
  <c r="N40" i="39" s="1"/>
  <c r="K53" i="26"/>
  <c r="N53" i="39" s="1"/>
  <c r="J52" i="26"/>
  <c r="M40" i="39" s="1"/>
  <c r="J56" i="26"/>
  <c r="M92" i="39" s="1"/>
  <c r="C55" i="26"/>
  <c r="E79" i="39" s="1"/>
  <c r="F91" i="38"/>
  <c r="F92" i="38"/>
  <c r="G92" i="30"/>
  <c r="G91" i="30"/>
  <c r="U8" i="29"/>
  <c r="I53" i="26"/>
  <c r="L53" i="39" s="1"/>
  <c r="B50" i="26"/>
  <c r="D14" i="39" s="1"/>
  <c r="D91" i="37"/>
  <c r="D92" i="37"/>
  <c r="K56" i="26"/>
  <c r="N92" i="39" s="1"/>
  <c r="M91" i="39"/>
  <c r="E92" i="38"/>
  <c r="E91" i="38"/>
  <c r="E92" i="30"/>
  <c r="E91" i="30"/>
  <c r="B54" i="26"/>
  <c r="D66" i="39" s="1"/>
  <c r="I52" i="26"/>
  <c r="L40" i="39" s="1"/>
  <c r="U6" i="29"/>
  <c r="F91" i="37"/>
  <c r="F92" i="37"/>
  <c r="D53" i="26"/>
  <c r="F53" i="39" s="1"/>
  <c r="D54" i="26"/>
  <c r="F66" i="39" s="1"/>
  <c r="J51" i="26"/>
  <c r="M27" i="39" s="1"/>
  <c r="C56" i="26"/>
  <c r="E92" i="39" s="1"/>
  <c r="D92" i="38"/>
  <c r="D91" i="38"/>
  <c r="D91" i="30"/>
  <c r="D92" i="30"/>
  <c r="K12" i="29"/>
  <c r="K8" i="29"/>
  <c r="K4" i="29"/>
  <c r="K10" i="29"/>
  <c r="K6" i="29"/>
  <c r="K2" i="29"/>
</calcChain>
</file>

<file path=xl/sharedStrings.xml><?xml version="1.0" encoding="utf-8"?>
<sst xmlns="http://schemas.openxmlformats.org/spreadsheetml/2006/main" count="1499" uniqueCount="131">
  <si>
    <t>BOX</t>
  </si>
  <si>
    <t>TOTAL</t>
  </si>
  <si>
    <t>R1</t>
  </si>
  <si>
    <t>R2</t>
  </si>
  <si>
    <t>R3</t>
  </si>
  <si>
    <t>R4</t>
  </si>
  <si>
    <t>R5</t>
  </si>
  <si>
    <t>R6</t>
  </si>
  <si>
    <t>R7</t>
  </si>
  <si>
    <t>R8</t>
  </si>
  <si>
    <t>T1</t>
  </si>
  <si>
    <t>T4</t>
  </si>
  <si>
    <t>T3</t>
  </si>
  <si>
    <t>T2</t>
  </si>
  <si>
    <t>T5</t>
  </si>
  <si>
    <t>T7</t>
  </si>
  <si>
    <t>T6</t>
  </si>
  <si>
    <t>T8</t>
  </si>
  <si>
    <t>BODY WEIGHT</t>
  </si>
  <si>
    <t>BODY WEIGHT GAIN</t>
  </si>
  <si>
    <t>FEED INTAKE</t>
  </si>
  <si>
    <t>FEED CONVERSION RATIO</t>
  </si>
  <si>
    <t>R9</t>
  </si>
  <si>
    <t>STARTING FEED</t>
  </si>
  <si>
    <t>INDIVIDUAL</t>
  </si>
  <si>
    <t>STARTER</t>
  </si>
  <si>
    <t>GROWER</t>
  </si>
  <si>
    <t>#</t>
  </si>
  <si>
    <t>DAY</t>
  </si>
  <si>
    <t>n</t>
  </si>
  <si>
    <t>TREATMENT</t>
  </si>
  <si>
    <t>REPLICATE</t>
  </si>
  <si>
    <t>FEED</t>
  </si>
  <si>
    <t>MORTALITY</t>
  </si>
  <si>
    <t># DEAD</t>
  </si>
  <si>
    <t>WEIGHT</t>
  </si>
  <si>
    <t>ANIMALS</t>
  </si>
  <si>
    <t>STARTER FEED</t>
  </si>
  <si>
    <t>GROWER FEED</t>
  </si>
  <si>
    <t>BAG WEIGHT</t>
  </si>
  <si>
    <t># BAGS</t>
  </si>
  <si>
    <t>INCOMPLETE BAG WEIGHT</t>
  </si>
  <si>
    <t>DATE:</t>
  </si>
  <si>
    <t>FINISHER</t>
  </si>
  <si>
    <t>FINISHER FEED</t>
  </si>
  <si>
    <t>DATA</t>
  </si>
  <si>
    <t># OF ANIMALS</t>
  </si>
  <si>
    <t>BOX WEIGHT (kg)</t>
  </si>
  <si>
    <t>TARE BAG</t>
  </si>
  <si>
    <t>TARE FEEDER</t>
  </si>
  <si>
    <t>CULLED (culls/females)</t>
  </si>
  <si>
    <t># CULLS</t>
  </si>
  <si>
    <t># FEMALES</t>
  </si>
  <si>
    <t>REMAINING FEED</t>
  </si>
  <si>
    <t>BOX WEIGHT</t>
  </si>
  <si>
    <t>REMAINING FEED IN BAGS</t>
  </si>
  <si>
    <t>REMAINING FEED IN FEEDER</t>
  </si>
  <si>
    <t>TARE BOX</t>
  </si>
  <si>
    <t>INDIVIDUAL WEIGHT</t>
  </si>
  <si>
    <t>1 Day</t>
  </si>
  <si>
    <t>14 Days</t>
  </si>
  <si>
    <t>Area 1</t>
  </si>
  <si>
    <t>Area 2</t>
  </si>
  <si>
    <t>Area 3</t>
  </si>
  <si>
    <t>Body weight range</t>
  </si>
  <si>
    <t>Housing</t>
  </si>
  <si>
    <t>,</t>
  </si>
  <si>
    <t>DEAD</t>
  </si>
  <si>
    <t>ALIVE</t>
  </si>
  <si>
    <t>OUT</t>
  </si>
  <si>
    <t>CULLED</t>
  </si>
  <si>
    <t>MORT_TOTAL</t>
  </si>
  <si>
    <t>GROUPS</t>
  </si>
  <si>
    <t>BY PHASE</t>
  </si>
  <si>
    <t xml:space="preserve">Water flow meter: </t>
  </si>
  <si>
    <t>%</t>
  </si>
  <si>
    <t>Block</t>
  </si>
  <si>
    <t>Weight (g)</t>
  </si>
  <si>
    <t>Total</t>
  </si>
  <si>
    <t>START</t>
  </si>
  <si>
    <t>FEMALES</t>
  </si>
  <si>
    <t>END</t>
  </si>
  <si>
    <t>MEAN ± STDEV</t>
  </si>
  <si>
    <t>CV</t>
  </si>
  <si>
    <t># per box</t>
  </si>
  <si>
    <t>MORTALITY RATE (%)</t>
  </si>
  <si>
    <t>WEEKLY</t>
  </si>
  <si>
    <t>14 days</t>
  </si>
  <si>
    <t>23 days</t>
  </si>
  <si>
    <t>32 days</t>
  </si>
  <si>
    <t>39 days</t>
  </si>
  <si>
    <t>CULLING RATE (%)</t>
  </si>
  <si>
    <t>CULL_TOTAL</t>
  </si>
  <si>
    <t>FREQ_CULL_TOTAL</t>
  </si>
  <si>
    <t>FREQ_MORT_TOTAL</t>
  </si>
  <si>
    <t>MORTALITY RATE</t>
  </si>
  <si>
    <t>CULLING RATE</t>
  </si>
  <si>
    <t>23 Days</t>
  </si>
  <si>
    <t>32 Days</t>
  </si>
  <si>
    <t>39 Days</t>
  </si>
  <si>
    <t># ANIMALS</t>
  </si>
  <si>
    <t>R10</t>
  </si>
  <si>
    <t>R11</t>
  </si>
  <si>
    <t>Negative control</t>
  </si>
  <si>
    <t>Females</t>
  </si>
  <si>
    <t>≤ 39</t>
  </si>
  <si>
    <t>40 - 43</t>
  </si>
  <si>
    <t>44 - 47</t>
  </si>
  <si>
    <t>48 - 51</t>
  </si>
  <si>
    <t>≥ 52</t>
  </si>
  <si>
    <t>FLAVIMPEX 80</t>
  </si>
  <si>
    <t>BUTIFOUR CCB low</t>
  </si>
  <si>
    <t>BUTIFOUR CCB high</t>
  </si>
  <si>
    <t>NFORCE POULTRY</t>
  </si>
  <si>
    <t>FLAVIMPEX 80 + CCB lower</t>
  </si>
  <si>
    <t>Phase</t>
  </si>
  <si>
    <t>Starter</t>
  </si>
  <si>
    <t>Grower</t>
  </si>
  <si>
    <t>Finisher</t>
  </si>
  <si>
    <t>BW_Starter</t>
  </si>
  <si>
    <t>BW_Grower</t>
  </si>
  <si>
    <t>BW_Finisher</t>
  </si>
  <si>
    <t>BWG_Starter</t>
  </si>
  <si>
    <t>BWG_Grower</t>
  </si>
  <si>
    <t>BWG_Finisher</t>
  </si>
  <si>
    <t>FI_Starter</t>
  </si>
  <si>
    <t>FI_Grower</t>
  </si>
  <si>
    <t>FI_Finisher</t>
  </si>
  <si>
    <t>FCR_Starter</t>
  </si>
  <si>
    <t>FCR_Grower</t>
  </si>
  <si>
    <t>FCR_Finisher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</si>
</sst>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0.000"/>
    <numFmt numFmtId="165" formatCode="_-* #,##0.000_-;\-* #,##0.000_-;_-* &quot;-&quot;??_-;_-@_-"/>
    <numFmt numFmtId="166" formatCode="_-* #,##0_-;\-* #,##0_-;_-* &quot;-&quot;??_-;_-@_-"/>
    <numFmt numFmtId="167" formatCode="_-* #,##0.000_-;\-* #,##0.000_-;_-* &quot;-&quot;???_-;_-@_-"/>
    <numFmt numFmtId="168" formatCode="###00000.0_-;\-* ##,#00,000.0_-;_-* &quot;-&quot;??_-;_-@_-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name val="Calibri"/>
      <family val="2"/>
      <scheme val="minor"/>
    </font>
    <font>
      <i/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1"/>
      <color indexed="10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</font>
    <font>
      <b/>
      <sz val="14"/>
      <color rgb="FF7030A0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rgb="FF008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theme="7" tint="-0.249977111117893"/>
      <name val="Calibri"/>
      <family val="2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FF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8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72">
    <xf numFmtId="0" fontId="0" fillId="0" borderId="0" xfId="0"/>
    <xf numFmtId="0" fontId="0" fillId="2" borderId="0" xfId="0" applyFill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2" fontId="0" fillId="2" borderId="32" xfId="0" applyNumberFormat="1" applyFill="1" applyBorder="1" applyAlignment="1">
      <alignment horizontal="center" vertical="center" wrapText="1"/>
    </xf>
    <xf numFmtId="0" fontId="0" fillId="2" borderId="19" xfId="0" applyFill="1" applyBorder="1" applyAlignment="1">
      <alignment horizontal="center" vertical="center" wrapText="1"/>
    </xf>
    <xf numFmtId="0" fontId="0" fillId="2" borderId="41" xfId="0" applyFill="1" applyBorder="1" applyAlignment="1">
      <alignment horizontal="center" vertical="center" wrapText="1"/>
    </xf>
    <xf numFmtId="1" fontId="0" fillId="2" borderId="19" xfId="0" applyNumberFormat="1" applyFill="1" applyBorder="1" applyAlignment="1">
      <alignment horizontal="center" vertical="center" wrapText="1"/>
    </xf>
    <xf numFmtId="1" fontId="0" fillId="2" borderId="41" xfId="0" applyNumberFormat="1" applyFill="1" applyBorder="1" applyAlignment="1">
      <alignment horizontal="center" vertical="center" wrapText="1"/>
    </xf>
    <xf numFmtId="1" fontId="0" fillId="2" borderId="3" xfId="0" applyNumberFormat="1" applyFill="1" applyBorder="1" applyAlignment="1">
      <alignment horizontal="center" vertical="center" wrapText="1"/>
    </xf>
    <xf numFmtId="164" fontId="0" fillId="2" borderId="15" xfId="0" applyNumberFormat="1" applyFill="1" applyBorder="1" applyAlignment="1">
      <alignment horizontal="center" vertical="center" wrapText="1"/>
    </xf>
    <xf numFmtId="164" fontId="0" fillId="2" borderId="16" xfId="0" applyNumberFormat="1" applyFill="1" applyBorder="1" applyAlignment="1">
      <alignment horizontal="center" vertical="center" wrapText="1"/>
    </xf>
    <xf numFmtId="164" fontId="0" fillId="2" borderId="22" xfId="0" applyNumberFormat="1" applyFill="1" applyBorder="1" applyAlignment="1">
      <alignment horizontal="center" vertical="center" wrapText="1"/>
    </xf>
    <xf numFmtId="164" fontId="0" fillId="2" borderId="23" xfId="0" applyNumberFormat="1" applyFill="1" applyBorder="1" applyAlignment="1">
      <alignment horizontal="center" vertical="center" wrapText="1"/>
    </xf>
    <xf numFmtId="164" fontId="0" fillId="2" borderId="38" xfId="0" applyNumberFormat="1" applyFill="1" applyBorder="1" applyAlignment="1">
      <alignment horizontal="center" vertical="center" wrapText="1"/>
    </xf>
    <xf numFmtId="164" fontId="0" fillId="2" borderId="40" xfId="0" applyNumberFormat="1" applyFill="1" applyBorder="1" applyAlignment="1">
      <alignment horizontal="center" vertical="center" wrapText="1"/>
    </xf>
    <xf numFmtId="2" fontId="0" fillId="2" borderId="15" xfId="0" applyNumberFormat="1" applyFill="1" applyBorder="1" applyAlignment="1">
      <alignment horizontal="center" vertical="center" wrapText="1"/>
    </xf>
    <xf numFmtId="2" fontId="0" fillId="2" borderId="28" xfId="0" applyNumberFormat="1" applyFill="1" applyBorder="1" applyAlignment="1">
      <alignment horizontal="center" vertical="center" wrapText="1"/>
    </xf>
    <xf numFmtId="2" fontId="0" fillId="2" borderId="16" xfId="0" applyNumberFormat="1" applyFill="1" applyBorder="1" applyAlignment="1">
      <alignment horizontal="center" vertical="center" wrapText="1"/>
    </xf>
    <xf numFmtId="2" fontId="0" fillId="2" borderId="22" xfId="0" applyNumberFormat="1" applyFill="1" applyBorder="1" applyAlignment="1">
      <alignment horizontal="center" vertical="center" wrapText="1"/>
    </xf>
    <xf numFmtId="2" fontId="0" fillId="2" borderId="23" xfId="0" applyNumberFormat="1" applyFill="1" applyBorder="1" applyAlignment="1">
      <alignment horizontal="center" vertical="center" wrapText="1"/>
    </xf>
    <xf numFmtId="2" fontId="0" fillId="2" borderId="38" xfId="0" applyNumberFormat="1" applyFill="1" applyBorder="1" applyAlignment="1">
      <alignment horizontal="center" vertical="center" wrapText="1"/>
    </xf>
    <xf numFmtId="2" fontId="0" fillId="2" borderId="39" xfId="0" applyNumberFormat="1" applyFill="1" applyBorder="1" applyAlignment="1">
      <alignment horizontal="center" vertical="center" wrapText="1"/>
    </xf>
    <xf numFmtId="2" fontId="0" fillId="2" borderId="40" xfId="0" applyNumberForma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4" fillId="5" borderId="45" xfId="0" applyFont="1" applyFill="1" applyBorder="1" applyAlignment="1">
      <alignment horizontal="center" vertical="center"/>
    </xf>
    <xf numFmtId="0" fontId="4" fillId="5" borderId="47" xfId="0" applyFon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3" fillId="5" borderId="17" xfId="0" applyFont="1" applyFill="1" applyBorder="1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3" fillId="5" borderId="36" xfId="0" applyFont="1" applyFill="1" applyBorder="1" applyAlignment="1">
      <alignment horizontal="center" vertical="center" wrapText="1"/>
    </xf>
    <xf numFmtId="0" fontId="3" fillId="5" borderId="36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1" fontId="0" fillId="2" borderId="11" xfId="0" applyNumberFormat="1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164" fontId="0" fillId="2" borderId="0" xfId="0" applyNumberFormat="1" applyFill="1" applyBorder="1" applyAlignment="1">
      <alignment horizontal="center" vertical="center"/>
    </xf>
    <xf numFmtId="10" fontId="0" fillId="2" borderId="36" xfId="2" applyNumberFormat="1" applyFont="1" applyFill="1" applyBorder="1" applyAlignment="1">
      <alignment horizontal="center" vertical="center"/>
    </xf>
    <xf numFmtId="0" fontId="0" fillId="2" borderId="46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165" fontId="0" fillId="2" borderId="0" xfId="1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14" fontId="2" fillId="3" borderId="2" xfId="0" applyNumberFormat="1" applyFont="1" applyFill="1" applyBorder="1" applyAlignment="1" applyProtection="1">
      <alignment horizontal="center" vertical="center"/>
      <protection locked="0"/>
    </xf>
    <xf numFmtId="0" fontId="0" fillId="2" borderId="0" xfId="0" applyFont="1" applyFill="1" applyAlignment="1">
      <alignment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4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vertical="center"/>
    </xf>
    <xf numFmtId="43" fontId="0" fillId="3" borderId="3" xfId="1" applyNumberFormat="1" applyFont="1" applyFill="1" applyBorder="1" applyAlignment="1" applyProtection="1">
      <alignment horizontal="center" vertical="center"/>
      <protection locked="0"/>
    </xf>
    <xf numFmtId="165" fontId="0" fillId="3" borderId="3" xfId="1" applyNumberFormat="1" applyFont="1" applyFill="1" applyBorder="1" applyAlignment="1" applyProtection="1">
      <alignment horizontal="center" vertical="center"/>
      <protection locked="0"/>
    </xf>
    <xf numFmtId="43" fontId="0" fillId="3" borderId="17" xfId="1" applyFont="1" applyFill="1" applyBorder="1" applyAlignment="1" applyProtection="1">
      <alignment horizontal="center" vertical="center"/>
      <protection locked="0"/>
    </xf>
    <xf numFmtId="0" fontId="0" fillId="2" borderId="0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 wrapText="1"/>
    </xf>
    <xf numFmtId="0" fontId="7" fillId="2" borderId="5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 wrapText="1"/>
    </xf>
    <xf numFmtId="0" fontId="7" fillId="2" borderId="27" xfId="0" applyFont="1" applyFill="1" applyBorder="1" applyAlignment="1">
      <alignment horizontal="center" vertical="center" wrapText="1"/>
    </xf>
    <xf numFmtId="0" fontId="7" fillId="2" borderId="18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wrapText="1"/>
    </xf>
    <xf numFmtId="0" fontId="8" fillId="2" borderId="27" xfId="0" applyFont="1" applyFill="1" applyBorder="1" applyAlignment="1">
      <alignment horizontal="center" vertical="center" wrapText="1"/>
    </xf>
    <xf numFmtId="0" fontId="8" fillId="2" borderId="5" xfId="0" applyFont="1" applyFill="1" applyBorder="1" applyAlignment="1">
      <alignment horizontal="center" vertical="center" wrapText="1"/>
    </xf>
    <xf numFmtId="0" fontId="0" fillId="2" borderId="0" xfId="0" applyFont="1" applyFill="1" applyAlignment="1">
      <alignment vertical="center" wrapText="1"/>
    </xf>
    <xf numFmtId="0" fontId="8" fillId="2" borderId="19" xfId="0" applyFont="1" applyFill="1" applyBorder="1" applyAlignment="1">
      <alignment horizontal="center" vertical="center"/>
    </xf>
    <xf numFmtId="43" fontId="0" fillId="3" borderId="19" xfId="1" applyNumberFormat="1" applyFont="1" applyFill="1" applyBorder="1" applyAlignment="1" applyProtection="1">
      <alignment horizontal="center" vertical="center"/>
      <protection locked="0"/>
    </xf>
    <xf numFmtId="43" fontId="0" fillId="3" borderId="20" xfId="1" applyFont="1" applyFill="1" applyBorder="1" applyAlignment="1" applyProtection="1">
      <alignment horizontal="center" vertical="center"/>
      <protection locked="0"/>
    </xf>
    <xf numFmtId="166" fontId="0" fillId="3" borderId="10" xfId="1" applyNumberFormat="1" applyFont="1" applyFill="1" applyBorder="1" applyAlignment="1" applyProtection="1">
      <alignment horizontal="center" vertical="center"/>
      <protection locked="0"/>
    </xf>
    <xf numFmtId="43" fontId="0" fillId="3" borderId="1" xfId="1" applyFont="1" applyFill="1" applyBorder="1" applyAlignment="1" applyProtection="1">
      <alignment horizontal="center" vertical="center"/>
      <protection locked="0"/>
    </xf>
    <xf numFmtId="43" fontId="0" fillId="3" borderId="25" xfId="1" applyFont="1" applyFill="1" applyBorder="1" applyAlignment="1" applyProtection="1">
      <alignment horizontal="center" vertical="center"/>
      <protection locked="0"/>
    </xf>
    <xf numFmtId="165" fontId="0" fillId="3" borderId="11" xfId="1" applyNumberFormat="1" applyFont="1" applyFill="1" applyBorder="1" applyAlignment="1" applyProtection="1">
      <alignment horizontal="center" vertical="center"/>
      <protection locked="0"/>
    </xf>
    <xf numFmtId="166" fontId="0" fillId="3" borderId="15" xfId="1" applyNumberFormat="1" applyFont="1" applyFill="1" applyBorder="1" applyAlignment="1" applyProtection="1">
      <alignment vertical="center"/>
      <protection locked="0"/>
    </xf>
    <xf numFmtId="166" fontId="0" fillId="3" borderId="49" xfId="1" applyNumberFormat="1" applyFont="1" applyFill="1" applyBorder="1" applyAlignment="1" applyProtection="1">
      <alignment vertical="center"/>
      <protection locked="0"/>
    </xf>
    <xf numFmtId="0" fontId="8" fillId="2" borderId="20" xfId="0" applyFont="1" applyFill="1" applyBorder="1" applyAlignment="1">
      <alignment horizontal="center" vertical="center"/>
    </xf>
    <xf numFmtId="43" fontId="0" fillId="3" borderId="20" xfId="1" applyNumberFormat="1" applyFont="1" applyFill="1" applyBorder="1" applyAlignment="1" applyProtection="1">
      <alignment horizontal="center" vertical="center"/>
      <protection locked="0"/>
    </xf>
    <xf numFmtId="166" fontId="0" fillId="3" borderId="10" xfId="1" applyNumberFormat="1" applyFont="1" applyFill="1" applyBorder="1" applyAlignment="1" applyProtection="1">
      <alignment vertical="center"/>
      <protection locked="0"/>
    </xf>
    <xf numFmtId="166" fontId="0" fillId="3" borderId="25" xfId="1" applyNumberFormat="1" applyFont="1" applyFill="1" applyBorder="1" applyAlignment="1" applyProtection="1">
      <alignment vertical="center"/>
      <protection locked="0"/>
    </xf>
    <xf numFmtId="43" fontId="0" fillId="2" borderId="10" xfId="1" applyFont="1" applyFill="1" applyBorder="1" applyAlignment="1">
      <alignment horizontal="center" vertical="center"/>
    </xf>
    <xf numFmtId="43" fontId="0" fillId="2" borderId="1" xfId="1" applyFont="1" applyFill="1" applyBorder="1" applyAlignment="1">
      <alignment horizontal="center" vertical="center"/>
    </xf>
    <xf numFmtId="166" fontId="0" fillId="3" borderId="25" xfId="1" applyNumberFormat="1" applyFont="1" applyFill="1" applyBorder="1" applyAlignment="1" applyProtection="1">
      <alignment horizontal="center" vertical="center"/>
      <protection locked="0"/>
    </xf>
    <xf numFmtId="164" fontId="0" fillId="2" borderId="0" xfId="0" applyNumberFormat="1" applyFont="1" applyFill="1" applyBorder="1" applyAlignment="1">
      <alignment horizontal="center" vertical="center"/>
    </xf>
    <xf numFmtId="0" fontId="8" fillId="2" borderId="21" xfId="0" applyFont="1" applyFill="1" applyBorder="1" applyAlignment="1">
      <alignment horizontal="center" vertical="center"/>
    </xf>
    <xf numFmtId="43" fontId="0" fillId="3" borderId="21" xfId="1" applyNumberFormat="1" applyFont="1" applyFill="1" applyBorder="1" applyAlignment="1" applyProtection="1">
      <alignment horizontal="center" vertical="center"/>
      <protection locked="0"/>
    </xf>
    <xf numFmtId="43" fontId="0" fillId="3" borderId="21" xfId="1" applyFont="1" applyFill="1" applyBorder="1" applyAlignment="1" applyProtection="1">
      <alignment horizontal="center" vertical="center"/>
      <protection locked="0"/>
    </xf>
    <xf numFmtId="166" fontId="0" fillId="3" borderId="12" xfId="1" applyNumberFormat="1" applyFont="1" applyFill="1" applyBorder="1" applyAlignment="1" applyProtection="1">
      <alignment horizontal="center" vertical="center"/>
      <protection locked="0"/>
    </xf>
    <xf numFmtId="43" fontId="0" fillId="3" borderId="13" xfId="1" applyFont="1" applyFill="1" applyBorder="1" applyAlignment="1" applyProtection="1">
      <alignment horizontal="center" vertical="center"/>
      <protection locked="0"/>
    </xf>
    <xf numFmtId="43" fontId="0" fillId="3" borderId="26" xfId="1" applyFont="1" applyFill="1" applyBorder="1" applyAlignment="1" applyProtection="1">
      <alignment horizontal="center" vertical="center"/>
      <protection locked="0"/>
    </xf>
    <xf numFmtId="165" fontId="0" fillId="3" borderId="14" xfId="1" applyNumberFormat="1" applyFont="1" applyFill="1" applyBorder="1" applyAlignment="1" applyProtection="1">
      <alignment horizontal="center" vertical="center"/>
      <protection locked="0"/>
    </xf>
    <xf numFmtId="166" fontId="0" fillId="3" borderId="26" xfId="1" applyNumberFormat="1" applyFont="1" applyFill="1" applyBorder="1" applyAlignment="1" applyProtection="1">
      <alignment horizontal="center" vertical="center"/>
      <protection locked="0"/>
    </xf>
    <xf numFmtId="43" fontId="0" fillId="2" borderId="12" xfId="1" applyFont="1" applyFill="1" applyBorder="1" applyAlignment="1">
      <alignment horizontal="center" vertical="center"/>
    </xf>
    <xf numFmtId="43" fontId="0" fillId="2" borderId="13" xfId="1" applyFont="1" applyFill="1" applyBorder="1" applyAlignment="1">
      <alignment horizontal="center" vertical="center"/>
    </xf>
    <xf numFmtId="167" fontId="0" fillId="2" borderId="0" xfId="0" applyNumberFormat="1" applyFont="1" applyFill="1" applyAlignment="1">
      <alignment vertical="center"/>
    </xf>
    <xf numFmtId="1" fontId="8" fillId="2" borderId="29" xfId="0" applyNumberFormat="1" applyFont="1" applyFill="1" applyBorder="1" applyAlignment="1">
      <alignment horizontal="center" vertical="center"/>
    </xf>
    <xf numFmtId="166" fontId="0" fillId="3" borderId="15" xfId="1" applyNumberFormat="1" applyFont="1" applyFill="1" applyBorder="1" applyAlignment="1" applyProtection="1">
      <alignment horizontal="center" vertical="center"/>
      <protection locked="0"/>
    </xf>
    <xf numFmtId="43" fontId="0" fillId="3" borderId="28" xfId="1" applyFont="1" applyFill="1" applyBorder="1" applyAlignment="1" applyProtection="1">
      <alignment horizontal="center" vertical="center"/>
      <protection locked="0"/>
    </xf>
    <xf numFmtId="43" fontId="0" fillId="3" borderId="29" xfId="1" applyFont="1" applyFill="1" applyBorder="1" applyAlignment="1" applyProtection="1">
      <alignment horizontal="center" vertical="center"/>
      <protection locked="0"/>
    </xf>
    <xf numFmtId="43" fontId="0" fillId="2" borderId="15" xfId="1" applyFont="1" applyFill="1" applyBorder="1" applyAlignment="1">
      <alignment horizontal="center" vertical="center"/>
    </xf>
    <xf numFmtId="43" fontId="0" fillId="2" borderId="28" xfId="1" applyFont="1" applyFill="1" applyBorder="1" applyAlignment="1">
      <alignment horizontal="center" vertical="center"/>
    </xf>
    <xf numFmtId="43" fontId="0" fillId="2" borderId="16" xfId="1" applyFont="1" applyFill="1" applyBorder="1" applyAlignment="1">
      <alignment horizontal="center" vertical="center"/>
    </xf>
    <xf numFmtId="0" fontId="8" fillId="2" borderId="30" xfId="0" applyFont="1" applyFill="1" applyBorder="1" applyAlignment="1">
      <alignment horizontal="center" vertical="center"/>
    </xf>
    <xf numFmtId="43" fontId="0" fillId="3" borderId="30" xfId="1" applyFont="1" applyFill="1" applyBorder="1" applyAlignment="1" applyProtection="1">
      <alignment horizontal="center" vertical="center"/>
      <protection locked="0"/>
    </xf>
    <xf numFmtId="43" fontId="0" fillId="2" borderId="11" xfId="1" applyFont="1" applyFill="1" applyBorder="1" applyAlignment="1">
      <alignment horizontal="center" vertical="center"/>
    </xf>
    <xf numFmtId="1" fontId="8" fillId="2" borderId="30" xfId="0" applyNumberFormat="1" applyFont="1" applyFill="1" applyBorder="1" applyAlignment="1">
      <alignment horizontal="center" vertical="center"/>
    </xf>
    <xf numFmtId="0" fontId="8" fillId="2" borderId="31" xfId="0" applyFont="1" applyFill="1" applyBorder="1" applyAlignment="1">
      <alignment horizontal="center" vertical="center"/>
    </xf>
    <xf numFmtId="43" fontId="0" fillId="3" borderId="31" xfId="1" applyFont="1" applyFill="1" applyBorder="1" applyAlignment="1" applyProtection="1">
      <alignment horizontal="center" vertical="center"/>
      <protection locked="0"/>
    </xf>
    <xf numFmtId="43" fontId="0" fillId="2" borderId="14" xfId="1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8" fillId="2" borderId="44" xfId="0" applyFont="1" applyFill="1" applyBorder="1" applyAlignment="1">
      <alignment horizontal="center" vertical="center" wrapText="1"/>
    </xf>
    <xf numFmtId="165" fontId="0" fillId="2" borderId="15" xfId="1" applyNumberFormat="1" applyFont="1" applyFill="1" applyBorder="1" applyAlignment="1">
      <alignment horizontal="center" vertical="center" wrapText="1"/>
    </xf>
    <xf numFmtId="165" fontId="0" fillId="2" borderId="43" xfId="1" applyNumberFormat="1" applyFont="1" applyFill="1" applyBorder="1" applyAlignment="1">
      <alignment horizontal="center" vertical="center" wrapText="1"/>
    </xf>
    <xf numFmtId="166" fontId="0" fillId="2" borderId="43" xfId="1" applyNumberFormat="1" applyFont="1" applyFill="1" applyBorder="1" applyAlignment="1">
      <alignment horizontal="center" vertical="center" wrapText="1"/>
    </xf>
    <xf numFmtId="165" fontId="0" fillId="2" borderId="10" xfId="1" applyNumberFormat="1" applyFont="1" applyFill="1" applyBorder="1" applyAlignment="1">
      <alignment horizontal="center" vertical="center" wrapText="1"/>
    </xf>
    <xf numFmtId="165" fontId="0" fillId="2" borderId="34" xfId="1" applyNumberFormat="1" applyFont="1" applyFill="1" applyBorder="1" applyAlignment="1">
      <alignment horizontal="center" vertical="center" wrapText="1"/>
    </xf>
    <xf numFmtId="166" fontId="0" fillId="2" borderId="34" xfId="1" applyNumberFormat="1" applyFont="1" applyFill="1" applyBorder="1" applyAlignment="1">
      <alignment horizontal="center" vertical="center" wrapText="1"/>
    </xf>
    <xf numFmtId="165" fontId="0" fillId="2" borderId="12" xfId="1" applyNumberFormat="1" applyFont="1" applyFill="1" applyBorder="1" applyAlignment="1">
      <alignment horizontal="center" vertical="center" wrapText="1"/>
    </xf>
    <xf numFmtId="165" fontId="0" fillId="2" borderId="35" xfId="1" applyNumberFormat="1" applyFont="1" applyFill="1" applyBorder="1" applyAlignment="1">
      <alignment horizontal="center" vertical="center" wrapText="1"/>
    </xf>
    <xf numFmtId="166" fontId="0" fillId="2" borderId="35" xfId="1" applyNumberFormat="1" applyFont="1" applyFill="1" applyBorder="1" applyAlignment="1">
      <alignment horizontal="center" vertical="center" wrapText="1"/>
    </xf>
    <xf numFmtId="43" fontId="0" fillId="3" borderId="19" xfId="1" applyFont="1" applyFill="1" applyBorder="1" applyAlignment="1" applyProtection="1">
      <alignment horizontal="center" vertical="center"/>
      <protection locked="0"/>
    </xf>
    <xf numFmtId="43" fontId="0" fillId="3" borderId="16" xfId="1" applyFont="1" applyFill="1" applyBorder="1" applyAlignment="1" applyProtection="1">
      <alignment vertical="center"/>
      <protection locked="0"/>
    </xf>
    <xf numFmtId="43" fontId="0" fillId="3" borderId="11" xfId="1" applyFont="1" applyFill="1" applyBorder="1" applyAlignment="1" applyProtection="1">
      <alignment vertical="center"/>
      <protection locked="0"/>
    </xf>
    <xf numFmtId="43" fontId="0" fillId="3" borderId="11" xfId="1" applyFont="1" applyFill="1" applyBorder="1" applyAlignment="1" applyProtection="1">
      <alignment horizontal="center" vertical="center"/>
      <protection locked="0"/>
    </xf>
    <xf numFmtId="43" fontId="0" fillId="3" borderId="14" xfId="1" applyFont="1" applyFill="1" applyBorder="1" applyAlignment="1" applyProtection="1">
      <alignment horizontal="center" vertical="center"/>
      <protection locked="0"/>
    </xf>
    <xf numFmtId="165" fontId="0" fillId="3" borderId="3" xfId="1" applyNumberFormat="1" applyFont="1" applyFill="1" applyBorder="1" applyAlignment="1">
      <alignment horizontal="center" vertical="center"/>
    </xf>
    <xf numFmtId="43" fontId="0" fillId="3" borderId="17" xfId="1" applyFont="1" applyFill="1" applyBorder="1" applyAlignment="1">
      <alignment horizontal="center" vertical="center"/>
    </xf>
    <xf numFmtId="10" fontId="0" fillId="2" borderId="0" xfId="2" applyNumberFormat="1" applyFont="1" applyFill="1" applyBorder="1" applyAlignment="1">
      <alignment horizontal="center" vertical="center"/>
    </xf>
    <xf numFmtId="43" fontId="0" fillId="3" borderId="29" xfId="1" applyFont="1" applyFill="1" applyBorder="1" applyAlignment="1" applyProtection="1">
      <alignment horizontal="center" vertical="center"/>
    </xf>
    <xf numFmtId="43" fontId="0" fillId="3" borderId="30" xfId="1" applyFont="1" applyFill="1" applyBorder="1" applyAlignment="1" applyProtection="1">
      <alignment horizontal="center" vertical="center"/>
    </xf>
    <xf numFmtId="10" fontId="0" fillId="2" borderId="48" xfId="2" applyNumberFormat="1" applyFont="1" applyFill="1" applyBorder="1" applyAlignment="1">
      <alignment horizontal="center" vertical="center"/>
    </xf>
    <xf numFmtId="0" fontId="0" fillId="2" borderId="45" xfId="0" applyFill="1" applyBorder="1" applyAlignment="1">
      <alignment horizontal="center" vertical="center"/>
    </xf>
    <xf numFmtId="0" fontId="0" fillId="2" borderId="47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10" fontId="0" fillId="2" borderId="37" xfId="2" applyNumberFormat="1" applyFont="1" applyFill="1" applyBorder="1" applyAlignment="1">
      <alignment horizontal="center" vertical="center"/>
    </xf>
    <xf numFmtId="166" fontId="0" fillId="2" borderId="0" xfId="0" applyNumberFormat="1" applyFont="1" applyFill="1" applyAlignment="1">
      <alignment vertical="center"/>
    </xf>
    <xf numFmtId="0" fontId="10" fillId="2" borderId="0" xfId="0" applyFont="1" applyFill="1" applyAlignment="1">
      <alignment horizontal="center" vertical="center"/>
    </xf>
    <xf numFmtId="0" fontId="0" fillId="2" borderId="0" xfId="0" applyNumberFormat="1" applyFont="1" applyFill="1" applyAlignment="1">
      <alignment vertical="center"/>
    </xf>
    <xf numFmtId="0" fontId="0" fillId="2" borderId="2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2" fontId="0" fillId="2" borderId="50" xfId="0" applyNumberFormat="1" applyFill="1" applyBorder="1" applyAlignment="1">
      <alignment horizontal="center" vertical="center" wrapText="1"/>
    </xf>
    <xf numFmtId="2" fontId="0" fillId="2" borderId="53" xfId="0" applyNumberFormat="1" applyFill="1" applyBorder="1" applyAlignment="1">
      <alignment horizontal="center" vertical="center" wrapText="1"/>
    </xf>
    <xf numFmtId="164" fontId="0" fillId="2" borderId="28" xfId="0" applyNumberFormat="1" applyFill="1" applyBorder="1" applyAlignment="1">
      <alignment horizontal="center" vertical="center" wrapText="1"/>
    </xf>
    <xf numFmtId="164" fontId="0" fillId="2" borderId="32" xfId="0" applyNumberFormat="1" applyFill="1" applyBorder="1" applyAlignment="1">
      <alignment horizontal="center" vertical="center" wrapText="1"/>
    </xf>
    <xf numFmtId="0" fontId="0" fillId="2" borderId="35" xfId="0" applyFill="1" applyBorder="1" applyAlignment="1">
      <alignment horizontal="center" vertical="center"/>
    </xf>
    <xf numFmtId="164" fontId="0" fillId="2" borderId="51" xfId="0" applyNumberFormat="1" applyFill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164" fontId="0" fillId="2" borderId="1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0" fontId="0" fillId="2" borderId="28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 wrapText="1"/>
    </xf>
    <xf numFmtId="164" fontId="0" fillId="2" borderId="10" xfId="0" applyNumberFormat="1" applyFill="1" applyBorder="1" applyAlignment="1">
      <alignment horizontal="center" vertical="center" wrapText="1"/>
    </xf>
    <xf numFmtId="164" fontId="0" fillId="2" borderId="12" xfId="0" applyNumberFormat="1" applyFill="1" applyBorder="1" applyAlignment="1">
      <alignment horizontal="center" vertical="center" wrapText="1"/>
    </xf>
    <xf numFmtId="164" fontId="0" fillId="2" borderId="13" xfId="0" applyNumberFormat="1" applyFill="1" applyBorder="1" applyAlignment="1">
      <alignment horizontal="center" vertical="center" wrapText="1"/>
    </xf>
    <xf numFmtId="2" fontId="0" fillId="2" borderId="51" xfId="0" applyNumberFormat="1" applyFill="1" applyBorder="1" applyAlignment="1">
      <alignment horizontal="center" vertical="center" wrapText="1"/>
    </xf>
    <xf numFmtId="2" fontId="0" fillId="2" borderId="52" xfId="0" applyNumberFormat="1" applyFill="1" applyBorder="1" applyAlignment="1">
      <alignment horizontal="center" vertical="center" wrapText="1"/>
    </xf>
    <xf numFmtId="164" fontId="0" fillId="2" borderId="11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1" fontId="0" fillId="2" borderId="1" xfId="0" applyNumberFormat="1" applyFill="1" applyBorder="1" applyAlignment="1">
      <alignment horizontal="center" vertical="center" wrapText="1"/>
    </xf>
    <xf numFmtId="0" fontId="0" fillId="2" borderId="10" xfId="0" applyFill="1" applyBorder="1" applyAlignment="1">
      <alignment horizontal="center" vertical="center" wrapText="1"/>
    </xf>
    <xf numFmtId="1" fontId="0" fillId="2" borderId="11" xfId="0" applyNumberFormat="1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1" fontId="0" fillId="2" borderId="13" xfId="0" applyNumberFormat="1" applyFill="1" applyBorder="1" applyAlignment="1">
      <alignment horizontal="center" vertical="center" wrapText="1"/>
    </xf>
    <xf numFmtId="1" fontId="0" fillId="2" borderId="14" xfId="0" applyNumberFormat="1" applyFill="1" applyBorder="1" applyAlignment="1">
      <alignment horizontal="center" vertical="center" wrapText="1"/>
    </xf>
    <xf numFmtId="164" fontId="0" fillId="2" borderId="32" xfId="0" applyNumberFormat="1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1" fontId="0" fillId="2" borderId="32" xfId="0" applyNumberFormat="1" applyFill="1" applyBorder="1" applyAlignment="1">
      <alignment horizontal="center" vertical="center" wrapText="1"/>
    </xf>
    <xf numFmtId="1" fontId="0" fillId="2" borderId="23" xfId="0" applyNumberFormat="1" applyFill="1" applyBorder="1" applyAlignment="1">
      <alignment horizontal="center" vertical="center" wrapText="1"/>
    </xf>
    <xf numFmtId="0" fontId="0" fillId="2" borderId="15" xfId="0" applyFill="1" applyBorder="1" applyAlignment="1">
      <alignment horizontal="center" vertical="center"/>
    </xf>
    <xf numFmtId="164" fontId="0" fillId="2" borderId="53" xfId="0" applyNumberFormat="1" applyFill="1" applyBorder="1" applyAlignment="1">
      <alignment horizontal="center" vertical="center"/>
    </xf>
    <xf numFmtId="164" fontId="0" fillId="2" borderId="23" xfId="0" applyNumberFormat="1" applyFill="1" applyBorder="1" applyAlignment="1">
      <alignment horizontal="center" vertical="center"/>
    </xf>
    <xf numFmtId="2" fontId="0" fillId="2" borderId="32" xfId="0" applyNumberFormat="1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 wrapText="1"/>
    </xf>
    <xf numFmtId="0" fontId="0" fillId="2" borderId="28" xfId="0" applyFill="1" applyBorder="1" applyAlignment="1">
      <alignment horizontal="center" vertical="center" wrapText="1"/>
    </xf>
    <xf numFmtId="1" fontId="0" fillId="2" borderId="28" xfId="0" applyNumberFormat="1" applyFill="1" applyBorder="1" applyAlignment="1">
      <alignment horizontal="center" vertical="center" wrapText="1"/>
    </xf>
    <xf numFmtId="1" fontId="0" fillId="2" borderId="16" xfId="0" applyNumberFormat="1" applyFill="1" applyBorder="1" applyAlignment="1">
      <alignment horizontal="center" vertical="center" wrapText="1"/>
    </xf>
    <xf numFmtId="0" fontId="0" fillId="2" borderId="54" xfId="0" applyFill="1" applyBorder="1" applyAlignment="1">
      <alignment horizontal="center" vertical="center" wrapText="1"/>
    </xf>
    <xf numFmtId="0" fontId="0" fillId="2" borderId="55" xfId="0" applyFill="1" applyBorder="1" applyAlignment="1">
      <alignment horizontal="center" vertical="center" wrapText="1"/>
    </xf>
    <xf numFmtId="1" fontId="0" fillId="2" borderId="55" xfId="0" applyNumberFormat="1" applyFill="1" applyBorder="1" applyAlignment="1">
      <alignment horizontal="center" vertical="center" wrapText="1"/>
    </xf>
    <xf numFmtId="1" fontId="0" fillId="2" borderId="56" xfId="0" applyNumberFormat="1" applyFill="1" applyBorder="1" applyAlignment="1">
      <alignment horizontal="center" vertical="center" wrapText="1"/>
    </xf>
    <xf numFmtId="2" fontId="0" fillId="2" borderId="57" xfId="0" applyNumberFormat="1" applyFill="1" applyBorder="1" applyAlignment="1">
      <alignment horizontal="center" vertical="center" wrapText="1"/>
    </xf>
    <xf numFmtId="164" fontId="0" fillId="2" borderId="55" xfId="0" applyNumberFormat="1" applyFill="1" applyBorder="1" applyAlignment="1">
      <alignment horizontal="center" vertical="center" wrapText="1"/>
    </xf>
    <xf numFmtId="164" fontId="0" fillId="2" borderId="54" xfId="0" applyNumberFormat="1" applyFill="1" applyBorder="1" applyAlignment="1">
      <alignment horizontal="center" vertical="center" wrapText="1"/>
    </xf>
    <xf numFmtId="164" fontId="0" fillId="2" borderId="56" xfId="0" applyNumberFormat="1" applyFill="1" applyBorder="1" applyAlignment="1">
      <alignment horizontal="center" vertical="center" wrapText="1"/>
    </xf>
    <xf numFmtId="164" fontId="0" fillId="2" borderId="57" xfId="0" applyNumberFormat="1" applyFill="1" applyBorder="1" applyAlignment="1">
      <alignment horizontal="center" vertical="center"/>
    </xf>
    <xf numFmtId="164" fontId="0" fillId="2" borderId="56" xfId="0" applyNumberFormat="1" applyFill="1" applyBorder="1" applyAlignment="1">
      <alignment horizontal="center" vertical="center"/>
    </xf>
    <xf numFmtId="2" fontId="0" fillId="2" borderId="55" xfId="0" applyNumberFormat="1" applyFill="1" applyBorder="1" applyAlignment="1">
      <alignment horizontal="center" vertical="center"/>
    </xf>
    <xf numFmtId="164" fontId="0" fillId="2" borderId="55" xfId="0" applyNumberFormat="1" applyFill="1" applyBorder="1" applyAlignment="1">
      <alignment horizontal="center" vertical="center"/>
    </xf>
    <xf numFmtId="0" fontId="0" fillId="2" borderId="42" xfId="0" applyFill="1" applyBorder="1" applyAlignment="1">
      <alignment horizontal="center" vertical="center"/>
    </xf>
    <xf numFmtId="1" fontId="0" fillId="2" borderId="10" xfId="0" applyNumberFormat="1" applyFill="1" applyBorder="1" applyAlignment="1">
      <alignment horizontal="center" vertical="center" wrapText="1"/>
    </xf>
    <xf numFmtId="1" fontId="0" fillId="2" borderId="12" xfId="0" applyNumberFormat="1" applyFill="1" applyBorder="1" applyAlignment="1">
      <alignment horizontal="center" vertical="center" wrapText="1"/>
    </xf>
    <xf numFmtId="1" fontId="0" fillId="2" borderId="15" xfId="0" applyNumberFormat="1" applyFill="1" applyBorder="1" applyAlignment="1">
      <alignment horizontal="center" vertical="center" wrapText="1"/>
    </xf>
    <xf numFmtId="2" fontId="0" fillId="2" borderId="50" xfId="0" quotePrefix="1" applyNumberFormat="1" applyFill="1" applyBorder="1" applyAlignment="1">
      <alignment horizontal="center" vertical="center" wrapText="1"/>
    </xf>
    <xf numFmtId="0" fontId="0" fillId="2" borderId="0" xfId="0" applyFill="1" applyAlignment="1">
      <alignment horizontal="left" vertical="center" wrapText="1"/>
    </xf>
    <xf numFmtId="0" fontId="0" fillId="2" borderId="4" xfId="0" applyFont="1" applyFill="1" applyBorder="1" applyAlignment="1">
      <alignment horizontal="center" vertical="center"/>
    </xf>
    <xf numFmtId="168" fontId="0" fillId="3" borderId="17" xfId="1" applyNumberFormat="1" applyFont="1" applyFill="1" applyBorder="1" applyAlignment="1" applyProtection="1">
      <alignment horizontal="center" vertical="center"/>
      <protection locked="0"/>
    </xf>
    <xf numFmtId="0" fontId="0" fillId="2" borderId="15" xfId="0" applyFill="1" applyBorder="1" applyAlignment="1">
      <alignment horizontal="center" vertical="center"/>
    </xf>
    <xf numFmtId="0" fontId="0" fillId="2" borderId="28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52" xfId="0" applyFill="1" applyBorder="1" applyAlignment="1">
      <alignment horizontal="center" vertical="center"/>
    </xf>
    <xf numFmtId="1" fontId="0" fillId="2" borderId="50" xfId="0" applyNumberFormat="1" applyFill="1" applyBorder="1" applyAlignment="1">
      <alignment horizontal="center" vertical="center" wrapText="1"/>
    </xf>
    <xf numFmtId="1" fontId="0" fillId="2" borderId="51" xfId="0" applyNumberFormat="1" applyFill="1" applyBorder="1" applyAlignment="1">
      <alignment horizontal="center" vertical="center" wrapText="1"/>
    </xf>
    <xf numFmtId="1" fontId="0" fillId="2" borderId="52" xfId="0" applyNumberFormat="1" applyFill="1" applyBorder="1" applyAlignment="1">
      <alignment horizontal="center" vertical="center" wrapText="1"/>
    </xf>
    <xf numFmtId="10" fontId="0" fillId="2" borderId="0" xfId="2" applyNumberFormat="1" applyFont="1" applyFill="1" applyAlignment="1">
      <alignment horizontal="center" vertical="center"/>
    </xf>
    <xf numFmtId="0" fontId="0" fillId="2" borderId="60" xfId="0" applyFill="1" applyBorder="1" applyAlignment="1">
      <alignment horizontal="center" vertical="center"/>
    </xf>
    <xf numFmtId="164" fontId="2" fillId="2" borderId="0" xfId="0" applyNumberFormat="1" applyFont="1" applyFill="1" applyBorder="1" applyAlignment="1">
      <alignment horizontal="center" vertical="center"/>
    </xf>
    <xf numFmtId="10" fontId="2" fillId="2" borderId="36" xfId="2" applyNumberFormat="1" applyFont="1" applyFill="1" applyBorder="1" applyAlignment="1">
      <alignment horizontal="center" vertical="center"/>
    </xf>
    <xf numFmtId="0" fontId="0" fillId="2" borderId="61" xfId="0" applyFill="1" applyBorder="1" applyAlignment="1">
      <alignment horizontal="center" vertical="center"/>
    </xf>
    <xf numFmtId="164" fontId="0" fillId="2" borderId="8" xfId="0" applyNumberForma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1" fillId="2" borderId="15" xfId="3" applyFont="1" applyFill="1" applyBorder="1" applyAlignment="1">
      <alignment horizontal="center" vertical="center" wrapText="1"/>
    </xf>
    <xf numFmtId="0" fontId="11" fillId="2" borderId="19" xfId="3" applyFont="1" applyFill="1" applyBorder="1" applyAlignment="1">
      <alignment horizontal="center" vertical="center" wrapText="1"/>
    </xf>
    <xf numFmtId="0" fontId="12" fillId="2" borderId="8" xfId="3" applyFont="1" applyFill="1" applyBorder="1" applyAlignment="1">
      <alignment horizontal="right" vertical="center"/>
    </xf>
    <xf numFmtId="0" fontId="13" fillId="2" borderId="15" xfId="3" applyFont="1" applyFill="1" applyBorder="1" applyAlignment="1">
      <alignment horizontal="center" vertical="center" wrapText="1"/>
    </xf>
    <xf numFmtId="1" fontId="13" fillId="2" borderId="16" xfId="3" applyNumberFormat="1" applyFont="1" applyFill="1" applyBorder="1" applyAlignment="1">
      <alignment horizontal="center" vertical="center" wrapText="1"/>
    </xf>
    <xf numFmtId="1" fontId="13" fillId="2" borderId="19" xfId="3" applyNumberFormat="1" applyFont="1" applyFill="1" applyBorder="1" applyAlignment="1">
      <alignment horizontal="center" vertical="center" wrapText="1"/>
    </xf>
    <xf numFmtId="0" fontId="14" fillId="2" borderId="15" xfId="3" applyFont="1" applyFill="1" applyBorder="1" applyAlignment="1">
      <alignment horizontal="center" vertical="center" wrapText="1"/>
    </xf>
    <xf numFmtId="1" fontId="14" fillId="2" borderId="16" xfId="3" applyNumberFormat="1" applyFont="1" applyFill="1" applyBorder="1" applyAlignment="1">
      <alignment horizontal="center" vertical="center" wrapText="1"/>
    </xf>
    <xf numFmtId="1" fontId="14" fillId="2" borderId="19" xfId="3" applyNumberFormat="1" applyFont="1" applyFill="1" applyBorder="1" applyAlignment="1">
      <alignment horizontal="center" vertical="center" wrapText="1"/>
    </xf>
    <xf numFmtId="0" fontId="15" fillId="2" borderId="10" xfId="3" applyFont="1" applyFill="1" applyBorder="1" applyAlignment="1">
      <alignment horizontal="center" vertical="center" wrapText="1"/>
    </xf>
    <xf numFmtId="0" fontId="15" fillId="2" borderId="20" xfId="3" applyFont="1" applyFill="1" applyBorder="1" applyAlignment="1">
      <alignment horizontal="center" vertical="center" wrapText="1"/>
    </xf>
    <xf numFmtId="1" fontId="15" fillId="2" borderId="11" xfId="3" applyNumberFormat="1" applyFont="1" applyFill="1" applyBorder="1" applyAlignment="1">
      <alignment horizontal="center" vertical="center" wrapText="1"/>
    </xf>
    <xf numFmtId="1" fontId="15" fillId="2" borderId="20" xfId="3" applyNumberFormat="1" applyFont="1" applyFill="1" applyBorder="1" applyAlignment="1">
      <alignment horizontal="center" vertical="center" wrapText="1"/>
    </xf>
    <xf numFmtId="0" fontId="16" fillId="2" borderId="10" xfId="3" applyFont="1" applyFill="1" applyBorder="1" applyAlignment="1">
      <alignment horizontal="center" vertical="center" wrapText="1"/>
    </xf>
    <xf numFmtId="1" fontId="16" fillId="2" borderId="11" xfId="3" applyNumberFormat="1" applyFont="1" applyFill="1" applyBorder="1" applyAlignment="1">
      <alignment horizontal="center" vertical="center" wrapText="1"/>
    </xf>
    <xf numFmtId="1" fontId="16" fillId="2" borderId="20" xfId="3" applyNumberFormat="1" applyFont="1" applyFill="1" applyBorder="1" applyAlignment="1">
      <alignment horizontal="center" vertical="center" wrapText="1"/>
    </xf>
    <xf numFmtId="0" fontId="14" fillId="2" borderId="10" xfId="3" applyFont="1" applyFill="1" applyBorder="1" applyAlignment="1">
      <alignment horizontal="center" vertical="center" wrapText="1"/>
    </xf>
    <xf numFmtId="0" fontId="14" fillId="2" borderId="20" xfId="3" applyFont="1" applyFill="1" applyBorder="1" applyAlignment="1">
      <alignment horizontal="center" vertical="center" wrapText="1"/>
    </xf>
    <xf numFmtId="0" fontId="12" fillId="2" borderId="10" xfId="3" applyFont="1" applyFill="1" applyBorder="1" applyAlignment="1">
      <alignment horizontal="center" vertical="center" wrapText="1"/>
    </xf>
    <xf numFmtId="1" fontId="12" fillId="2" borderId="11" xfId="3" applyNumberFormat="1" applyFont="1" applyFill="1" applyBorder="1" applyAlignment="1">
      <alignment horizontal="center" vertical="center" wrapText="1"/>
    </xf>
    <xf numFmtId="1" fontId="12" fillId="2" borderId="20" xfId="3" applyNumberFormat="1" applyFont="1" applyFill="1" applyBorder="1" applyAlignment="1">
      <alignment horizontal="center" vertical="center" wrapText="1"/>
    </xf>
    <xf numFmtId="0" fontId="16" fillId="2" borderId="20" xfId="3" applyFont="1" applyFill="1" applyBorder="1" applyAlignment="1">
      <alignment horizontal="center" vertical="center" wrapText="1"/>
    </xf>
    <xf numFmtId="0" fontId="11" fillId="2" borderId="10" xfId="3" applyFont="1" applyFill="1" applyBorder="1" applyAlignment="1">
      <alignment horizontal="center" vertical="center" wrapText="1"/>
    </xf>
    <xf numFmtId="1" fontId="11" fillId="2" borderId="11" xfId="3" applyNumberFormat="1" applyFont="1" applyFill="1" applyBorder="1" applyAlignment="1">
      <alignment horizontal="center" vertical="center" wrapText="1"/>
    </xf>
    <xf numFmtId="1" fontId="11" fillId="2" borderId="20" xfId="3" applyNumberFormat="1" applyFont="1" applyFill="1" applyBorder="1" applyAlignment="1">
      <alignment horizontal="center" vertical="center" wrapText="1"/>
    </xf>
    <xf numFmtId="0" fontId="13" fillId="2" borderId="10" xfId="3" applyFont="1" applyFill="1" applyBorder="1" applyAlignment="1">
      <alignment horizontal="center" vertical="center" wrapText="1"/>
    </xf>
    <xf numFmtId="0" fontId="13" fillId="2" borderId="20" xfId="3" applyFont="1" applyFill="1" applyBorder="1" applyAlignment="1">
      <alignment horizontal="center" vertical="center" wrapText="1"/>
    </xf>
    <xf numFmtId="1" fontId="14" fillId="2" borderId="11" xfId="3" applyNumberFormat="1" applyFont="1" applyFill="1" applyBorder="1" applyAlignment="1">
      <alignment horizontal="center" vertical="center" wrapText="1"/>
    </xf>
    <xf numFmtId="1" fontId="14" fillId="2" borderId="20" xfId="3" applyNumberFormat="1" applyFont="1" applyFill="1" applyBorder="1" applyAlignment="1">
      <alignment horizontal="center" vertical="center" wrapText="1"/>
    </xf>
    <xf numFmtId="0" fontId="16" fillId="2" borderId="12" xfId="3" applyFont="1" applyFill="1" applyBorder="1" applyAlignment="1">
      <alignment horizontal="center" vertical="center" wrapText="1"/>
    </xf>
    <xf numFmtId="1" fontId="16" fillId="2" borderId="14" xfId="3" applyNumberFormat="1" applyFont="1" applyFill="1" applyBorder="1" applyAlignment="1">
      <alignment horizontal="center" vertical="center" wrapText="1"/>
    </xf>
    <xf numFmtId="1" fontId="16" fillId="2" borderId="21" xfId="3" applyNumberFormat="1" applyFont="1" applyFill="1" applyBorder="1" applyAlignment="1">
      <alignment horizontal="center" vertical="center" wrapText="1"/>
    </xf>
    <xf numFmtId="0" fontId="13" fillId="2" borderId="12" xfId="3" applyFont="1" applyFill="1" applyBorder="1" applyAlignment="1">
      <alignment horizontal="center" vertical="center" wrapText="1"/>
    </xf>
    <xf numFmtId="1" fontId="13" fillId="2" borderId="14" xfId="3" applyNumberFormat="1" applyFont="1" applyFill="1" applyBorder="1" applyAlignment="1">
      <alignment horizontal="center" vertical="center" wrapText="1"/>
    </xf>
    <xf numFmtId="1" fontId="13" fillId="2" borderId="21" xfId="3" applyNumberFormat="1" applyFont="1" applyFill="1" applyBorder="1" applyAlignment="1">
      <alignment horizontal="center" vertical="center" wrapText="1"/>
    </xf>
    <xf numFmtId="0" fontId="16" fillId="2" borderId="15" xfId="3" applyFont="1" applyFill="1" applyBorder="1" applyAlignment="1">
      <alignment horizontal="center" vertical="center" wrapText="1"/>
    </xf>
    <xf numFmtId="0" fontId="16" fillId="2" borderId="19" xfId="3" applyFont="1" applyFill="1" applyBorder="1" applyAlignment="1">
      <alignment horizontal="center" vertical="center" wrapText="1"/>
    </xf>
    <xf numFmtId="0" fontId="12" fillId="2" borderId="15" xfId="3" applyFont="1" applyFill="1" applyBorder="1" applyAlignment="1">
      <alignment horizontal="center" vertical="center" wrapText="1"/>
    </xf>
    <xf numFmtId="1" fontId="12" fillId="2" borderId="16" xfId="3" applyNumberFormat="1" applyFont="1" applyFill="1" applyBorder="1" applyAlignment="1">
      <alignment horizontal="center" vertical="center" wrapText="1"/>
    </xf>
    <xf numFmtId="1" fontId="12" fillId="2" borderId="19" xfId="3" applyNumberFormat="1" applyFont="1" applyFill="1" applyBorder="1" applyAlignment="1">
      <alignment horizontal="center" vertical="center" wrapText="1"/>
    </xf>
    <xf numFmtId="1" fontId="11" fillId="2" borderId="16" xfId="3" applyNumberFormat="1" applyFont="1" applyFill="1" applyBorder="1" applyAlignment="1">
      <alignment horizontal="center" vertical="center" wrapText="1"/>
    </xf>
    <xf numFmtId="1" fontId="11" fillId="2" borderId="19" xfId="3" applyNumberFormat="1" applyFont="1" applyFill="1" applyBorder="1" applyAlignment="1">
      <alignment horizontal="center" vertical="center" wrapText="1"/>
    </xf>
    <xf numFmtId="1" fontId="13" fillId="2" borderId="11" xfId="3" applyNumberFormat="1" applyFont="1" applyFill="1" applyBorder="1" applyAlignment="1">
      <alignment horizontal="center" vertical="center" wrapText="1"/>
    </xf>
    <xf numFmtId="1" fontId="13" fillId="2" borderId="20" xfId="3" applyNumberFormat="1" applyFont="1" applyFill="1" applyBorder="1" applyAlignment="1">
      <alignment horizontal="center" vertical="center" wrapText="1"/>
    </xf>
    <xf numFmtId="0" fontId="12" fillId="2" borderId="20" xfId="3" applyFont="1" applyFill="1" applyBorder="1" applyAlignment="1">
      <alignment horizontal="center" vertical="center" wrapText="1"/>
    </xf>
    <xf numFmtId="0" fontId="11" fillId="2" borderId="12" xfId="3" applyFont="1" applyFill="1" applyBorder="1" applyAlignment="1">
      <alignment horizontal="center" vertical="center" wrapText="1"/>
    </xf>
    <xf numFmtId="0" fontId="11" fillId="2" borderId="21" xfId="3" applyFont="1" applyFill="1" applyBorder="1" applyAlignment="1">
      <alignment horizontal="center" vertical="center" wrapText="1"/>
    </xf>
    <xf numFmtId="0" fontId="12" fillId="2" borderId="36" xfId="3" applyFont="1" applyFill="1" applyBorder="1" applyAlignment="1">
      <alignment horizontal="right" vertical="center"/>
    </xf>
    <xf numFmtId="0" fontId="12" fillId="2" borderId="12" xfId="3" applyFont="1" applyFill="1" applyBorder="1" applyAlignment="1">
      <alignment horizontal="center" vertical="center" wrapText="1"/>
    </xf>
    <xf numFmtId="1" fontId="12" fillId="2" borderId="14" xfId="3" applyNumberFormat="1" applyFont="1" applyFill="1" applyBorder="1" applyAlignment="1">
      <alignment horizontal="center" vertical="center" wrapText="1"/>
    </xf>
    <xf numFmtId="1" fontId="12" fillId="2" borderId="21" xfId="3" applyNumberFormat="1" applyFont="1" applyFill="1" applyBorder="1" applyAlignment="1">
      <alignment horizontal="center" vertical="center" wrapText="1"/>
    </xf>
    <xf numFmtId="0" fontId="15" fillId="2" borderId="15" xfId="3" applyFont="1" applyFill="1" applyBorder="1" applyAlignment="1">
      <alignment horizontal="center" vertical="center" wrapText="1"/>
    </xf>
    <xf numFmtId="1" fontId="15" fillId="2" borderId="16" xfId="3" applyNumberFormat="1" applyFont="1" applyFill="1" applyBorder="1" applyAlignment="1">
      <alignment horizontal="center" vertical="center" wrapText="1"/>
    </xf>
    <xf numFmtId="1" fontId="15" fillId="2" borderId="19" xfId="3" applyNumberFormat="1" applyFont="1" applyFill="1" applyBorder="1" applyAlignment="1">
      <alignment horizontal="center" vertical="center" wrapText="1"/>
    </xf>
    <xf numFmtId="0" fontId="11" fillId="2" borderId="20" xfId="3" applyFont="1" applyFill="1" applyBorder="1" applyAlignment="1">
      <alignment horizontal="center" vertical="center" wrapText="1"/>
    </xf>
    <xf numFmtId="0" fontId="12" fillId="2" borderId="21" xfId="3" applyFont="1" applyFill="1" applyBorder="1" applyAlignment="1">
      <alignment horizontal="center" vertical="center" wrapText="1"/>
    </xf>
    <xf numFmtId="1" fontId="11" fillId="2" borderId="14" xfId="3" applyNumberFormat="1" applyFont="1" applyFill="1" applyBorder="1" applyAlignment="1">
      <alignment horizontal="center" vertical="center" wrapText="1"/>
    </xf>
    <xf numFmtId="1" fontId="11" fillId="2" borderId="21" xfId="3" applyNumberFormat="1" applyFont="1" applyFill="1" applyBorder="1" applyAlignment="1">
      <alignment horizontal="center" vertical="center" wrapText="1"/>
    </xf>
    <xf numFmtId="0" fontId="10" fillId="2" borderId="28" xfId="0" applyFont="1" applyFill="1" applyBorder="1" applyAlignment="1">
      <alignment horizontal="center" vertical="center"/>
    </xf>
    <xf numFmtId="0" fontId="10" fillId="2" borderId="13" xfId="0" applyFont="1" applyFill="1" applyBorder="1" applyAlignment="1">
      <alignment horizontal="center" vertical="center"/>
    </xf>
    <xf numFmtId="0" fontId="2" fillId="2" borderId="44" xfId="0" applyFont="1" applyFill="1" applyBorder="1" applyAlignment="1">
      <alignment horizontal="center" vertical="center"/>
    </xf>
    <xf numFmtId="10" fontId="0" fillId="2" borderId="43" xfId="2" applyNumberFormat="1" applyFont="1" applyFill="1" applyBorder="1" applyAlignment="1">
      <alignment horizontal="center" vertical="center"/>
    </xf>
    <xf numFmtId="10" fontId="0" fillId="2" borderId="34" xfId="2" applyNumberFormat="1" applyFont="1" applyFill="1" applyBorder="1" applyAlignment="1">
      <alignment horizontal="center" vertical="center"/>
    </xf>
    <xf numFmtId="10" fontId="0" fillId="2" borderId="35" xfId="2" applyNumberFormat="1" applyFont="1" applyFill="1" applyBorder="1" applyAlignment="1">
      <alignment horizontal="center" vertical="center"/>
    </xf>
    <xf numFmtId="1" fontId="0" fillId="2" borderId="11" xfId="2" applyNumberFormat="1" applyFont="1" applyFill="1" applyBorder="1" applyAlignment="1">
      <alignment horizontal="center" vertical="center"/>
    </xf>
    <xf numFmtId="1" fontId="0" fillId="2" borderId="14" xfId="2" applyNumberFormat="1" applyFont="1" applyFill="1" applyBorder="1" applyAlignment="1">
      <alignment horizontal="center" vertical="center"/>
    </xf>
    <xf numFmtId="1" fontId="0" fillId="2" borderId="16" xfId="2" applyNumberFormat="1" applyFont="1" applyFill="1" applyBorder="1" applyAlignment="1">
      <alignment horizontal="center" vertical="center" wrapText="1"/>
    </xf>
    <xf numFmtId="0" fontId="0" fillId="2" borderId="29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 wrapText="1"/>
    </xf>
    <xf numFmtId="164" fontId="0" fillId="2" borderId="0" xfId="1" applyNumberFormat="1" applyFont="1" applyFill="1" applyBorder="1" applyAlignment="1">
      <alignment horizontal="center" vertical="center"/>
    </xf>
    <xf numFmtId="164" fontId="0" fillId="2" borderId="0" xfId="1" quotePrefix="1" applyNumberFormat="1" applyFont="1" applyFill="1" applyBorder="1" applyAlignment="1">
      <alignment horizontal="center" vertical="center"/>
    </xf>
    <xf numFmtId="164" fontId="0" fillId="2" borderId="36" xfId="0" applyNumberFormat="1" applyFill="1" applyBorder="1" applyAlignment="1">
      <alignment horizontal="center" vertical="center"/>
    </xf>
    <xf numFmtId="164" fontId="0" fillId="2" borderId="36" xfId="1" quotePrefix="1" applyNumberFormat="1" applyFont="1" applyFill="1" applyBorder="1" applyAlignment="1">
      <alignment horizontal="center" vertical="center"/>
    </xf>
    <xf numFmtId="164" fontId="0" fillId="2" borderId="36" xfId="1" applyNumberFormat="1" applyFont="1" applyFill="1" applyBorder="1" applyAlignment="1">
      <alignment horizontal="center" vertical="center"/>
    </xf>
    <xf numFmtId="164" fontId="0" fillId="2" borderId="48" xfId="1" quotePrefix="1" applyNumberFormat="1" applyFont="1" applyFill="1" applyBorder="1" applyAlignment="1">
      <alignment horizontal="center" vertical="center"/>
    </xf>
    <xf numFmtId="164" fontId="0" fillId="2" borderId="48" xfId="1" applyNumberFormat="1" applyFont="1" applyFill="1" applyBorder="1" applyAlignment="1">
      <alignment horizontal="center" vertical="center"/>
    </xf>
    <xf numFmtId="164" fontId="0" fillId="2" borderId="37" xfId="1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0" fillId="2" borderId="29" xfId="0" applyFill="1" applyBorder="1" applyAlignment="1">
      <alignment horizontal="center" vertical="center"/>
    </xf>
    <xf numFmtId="164" fontId="0" fillId="2" borderId="16" xfId="0" applyNumberFormat="1" applyFill="1" applyBorder="1" applyAlignment="1">
      <alignment horizontal="center" vertical="center"/>
    </xf>
    <xf numFmtId="164" fontId="0" fillId="2" borderId="28" xfId="0" applyNumberFormat="1" applyFill="1" applyBorder="1" applyAlignment="1">
      <alignment horizontal="center" vertical="center"/>
    </xf>
    <xf numFmtId="2" fontId="0" fillId="2" borderId="13" xfId="0" applyNumberFormat="1" applyFill="1" applyBorder="1" applyAlignment="1">
      <alignment horizontal="center" vertical="center"/>
    </xf>
    <xf numFmtId="164" fontId="0" fillId="2" borderId="14" xfId="0" applyNumberFormat="1" applyFill="1" applyBorder="1" applyAlignment="1">
      <alignment horizontal="center" vertical="center"/>
    </xf>
    <xf numFmtId="164" fontId="0" fillId="2" borderId="13" xfId="0" applyNumberFormat="1" applyFill="1" applyBorder="1" applyAlignment="1">
      <alignment horizontal="center" vertical="center"/>
    </xf>
    <xf numFmtId="2" fontId="0" fillId="2" borderId="28" xfId="0" applyNumberFormat="1" applyFill="1" applyBorder="1" applyAlignment="1">
      <alignment horizontal="center" vertical="center"/>
    </xf>
    <xf numFmtId="0" fontId="2" fillId="2" borderId="6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 wrapText="1"/>
    </xf>
    <xf numFmtId="0" fontId="2" fillId="2" borderId="18" xfId="0" applyFont="1" applyFill="1" applyBorder="1" applyAlignment="1">
      <alignment horizontal="center" vertical="center" wrapText="1"/>
    </xf>
    <xf numFmtId="2" fontId="0" fillId="2" borderId="10" xfId="0" applyNumberFormat="1" applyFill="1" applyBorder="1" applyAlignment="1">
      <alignment horizontal="center" vertical="center"/>
    </xf>
    <xf numFmtId="2" fontId="0" fillId="2" borderId="11" xfId="0" applyNumberFormat="1" applyFill="1" applyBorder="1" applyAlignment="1">
      <alignment horizontal="center" vertical="center"/>
    </xf>
    <xf numFmtId="2" fontId="0" fillId="2" borderId="12" xfId="0" applyNumberFormat="1" applyFill="1" applyBorder="1" applyAlignment="1">
      <alignment horizontal="center" vertical="center"/>
    </xf>
    <xf numFmtId="2" fontId="0" fillId="2" borderId="14" xfId="0" applyNumberFormat="1" applyFill="1" applyBorder="1" applyAlignment="1">
      <alignment horizontal="center" vertical="center"/>
    </xf>
    <xf numFmtId="2" fontId="0" fillId="2" borderId="15" xfId="0" applyNumberFormat="1" applyFill="1" applyBorder="1" applyAlignment="1">
      <alignment horizontal="center" vertical="center"/>
    </xf>
    <xf numFmtId="2" fontId="0" fillId="2" borderId="16" xfId="0" applyNumberFormat="1" applyFill="1" applyBorder="1" applyAlignment="1">
      <alignment horizontal="center" vertical="center"/>
    </xf>
    <xf numFmtId="2" fontId="0" fillId="2" borderId="10" xfId="0" applyNumberFormat="1" applyFill="1" applyBorder="1" applyAlignment="1">
      <alignment horizontal="center" vertical="center" wrapText="1"/>
    </xf>
    <xf numFmtId="2" fontId="0" fillId="2" borderId="54" xfId="0" applyNumberFormat="1" applyFill="1" applyBorder="1" applyAlignment="1">
      <alignment horizontal="center" vertical="center" wrapText="1"/>
    </xf>
    <xf numFmtId="164" fontId="0" fillId="2" borderId="43" xfId="0" applyNumberFormat="1" applyFill="1" applyBorder="1" applyAlignment="1">
      <alignment horizontal="center" vertical="center" wrapText="1"/>
    </xf>
    <xf numFmtId="164" fontId="0" fillId="2" borderId="34" xfId="0" applyNumberFormat="1" applyFill="1" applyBorder="1" applyAlignment="1">
      <alignment horizontal="center" vertical="center" wrapText="1"/>
    </xf>
    <xf numFmtId="164" fontId="0" fillId="2" borderId="35" xfId="0" applyNumberFormat="1" applyFill="1" applyBorder="1" applyAlignment="1">
      <alignment horizontal="center" vertical="center" wrapText="1"/>
    </xf>
    <xf numFmtId="164" fontId="0" fillId="2" borderId="33" xfId="0" applyNumberFormat="1" applyFill="1" applyBorder="1" applyAlignment="1">
      <alignment horizontal="center" vertical="center" wrapText="1"/>
    </xf>
    <xf numFmtId="164" fontId="0" fillId="2" borderId="58" xfId="0" applyNumberFormat="1" applyFill="1" applyBorder="1" applyAlignment="1">
      <alignment horizontal="center" vertical="center" wrapText="1"/>
    </xf>
    <xf numFmtId="0" fontId="2" fillId="2" borderId="19" xfId="0" applyFont="1" applyFill="1" applyBorder="1" applyAlignment="1">
      <alignment horizontal="center" vertical="center" wrapText="1"/>
    </xf>
    <xf numFmtId="0" fontId="0" fillId="2" borderId="19" xfId="0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2" fontId="0" fillId="2" borderId="19" xfId="0" applyNumberFormat="1" applyFill="1" applyBorder="1" applyAlignment="1">
      <alignment horizontal="center" vertical="center" wrapText="1"/>
    </xf>
    <xf numFmtId="2" fontId="0" fillId="2" borderId="20" xfId="0" applyNumberFormat="1" applyFill="1" applyBorder="1" applyAlignment="1">
      <alignment horizontal="center" vertical="center" wrapText="1"/>
    </xf>
    <xf numFmtId="2" fontId="0" fillId="2" borderId="21" xfId="0" applyNumberFormat="1" applyFill="1" applyBorder="1" applyAlignment="1">
      <alignment horizontal="center" vertical="center" wrapText="1"/>
    </xf>
    <xf numFmtId="2" fontId="0" fillId="2" borderId="41" xfId="0" applyNumberFormat="1" applyFill="1" applyBorder="1" applyAlignment="1">
      <alignment horizontal="center" vertical="center" wrapText="1"/>
    </xf>
    <xf numFmtId="2" fontId="0" fillId="2" borderId="62" xfId="0" applyNumberFormat="1" applyFill="1" applyBorder="1" applyAlignment="1">
      <alignment horizontal="center" vertical="center" wrapText="1"/>
    </xf>
    <xf numFmtId="1" fontId="0" fillId="2" borderId="14" xfId="0" applyNumberFormat="1" applyFill="1" applyBorder="1" applyAlignment="1">
      <alignment horizontal="center" vertical="center"/>
    </xf>
    <xf numFmtId="0" fontId="0" fillId="2" borderId="50" xfId="0" applyFill="1" applyBorder="1" applyAlignment="1">
      <alignment horizontal="center" vertical="center"/>
    </xf>
    <xf numFmtId="0" fontId="0" fillId="2" borderId="51" xfId="0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1" fontId="0" fillId="2" borderId="19" xfId="0" applyNumberFormat="1" applyFill="1" applyBorder="1" applyAlignment="1">
      <alignment horizontal="center" vertical="center"/>
    </xf>
    <xf numFmtId="1" fontId="0" fillId="2" borderId="20" xfId="0" applyNumberFormat="1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164" fontId="0" fillId="2" borderId="48" xfId="0" applyNumberFormat="1" applyFill="1" applyBorder="1" applyAlignment="1">
      <alignment horizontal="center" vertical="center"/>
    </xf>
    <xf numFmtId="164" fontId="2" fillId="2" borderId="48" xfId="0" applyNumberFormat="1" applyFont="1" applyFill="1" applyBorder="1" applyAlignment="1">
      <alignment horizontal="center" vertical="center"/>
    </xf>
    <xf numFmtId="10" fontId="2" fillId="2" borderId="37" xfId="2" applyNumberFormat="1" applyFont="1" applyFill="1" applyBorder="1" applyAlignment="1">
      <alignment horizontal="center" vertical="center"/>
    </xf>
    <xf numFmtId="1" fontId="0" fillId="2" borderId="0" xfId="0" applyNumberFormat="1" applyFill="1" applyAlignment="1">
      <alignment horizontal="center" vertical="center"/>
    </xf>
    <xf numFmtId="1" fontId="0" fillId="2" borderId="8" xfId="0" applyNumberFormat="1" applyFill="1" applyBorder="1" applyAlignment="1">
      <alignment horizontal="center" vertical="center"/>
    </xf>
    <xf numFmtId="1" fontId="0" fillId="2" borderId="0" xfId="0" applyNumberFormat="1" applyFill="1" applyBorder="1" applyAlignment="1">
      <alignment horizontal="center" vertical="center"/>
    </xf>
    <xf numFmtId="1" fontId="0" fillId="2" borderId="9" xfId="0" applyNumberFormat="1" applyFill="1" applyBorder="1" applyAlignment="1">
      <alignment horizontal="center" vertical="center"/>
    </xf>
    <xf numFmtId="1" fontId="0" fillId="2" borderId="48" xfId="0" applyNumberFormat="1" applyFill="1" applyBorder="1" applyAlignment="1">
      <alignment horizontal="center" vertical="center"/>
    </xf>
    <xf numFmtId="10" fontId="2" fillId="2" borderId="59" xfId="2" applyNumberFormat="1" applyFont="1" applyFill="1" applyBorder="1" applyAlignment="1">
      <alignment horizontal="center" vertical="center"/>
    </xf>
    <xf numFmtId="1" fontId="0" fillId="2" borderId="67" xfId="0" applyNumberFormat="1" applyFill="1" applyBorder="1" applyAlignment="1">
      <alignment horizontal="center" vertical="center"/>
    </xf>
    <xf numFmtId="1" fontId="0" fillId="2" borderId="68" xfId="0" applyNumberFormat="1" applyFill="1" applyBorder="1" applyAlignment="1">
      <alignment horizontal="center" vertical="center"/>
    </xf>
    <xf numFmtId="1" fontId="2" fillId="2" borderId="68" xfId="0" applyNumberFormat="1" applyFont="1" applyFill="1" applyBorder="1" applyAlignment="1">
      <alignment horizontal="center" vertical="center"/>
    </xf>
    <xf numFmtId="43" fontId="0" fillId="3" borderId="65" xfId="1" applyNumberFormat="1" applyFont="1" applyFill="1" applyBorder="1" applyAlignment="1" applyProtection="1">
      <alignment horizontal="center" vertical="center"/>
      <protection locked="0"/>
    </xf>
    <xf numFmtId="43" fontId="0" fillId="3" borderId="30" xfId="1" applyNumberFormat="1" applyFont="1" applyFill="1" applyBorder="1" applyAlignment="1" applyProtection="1">
      <alignment horizontal="center" vertical="center"/>
      <protection locked="0"/>
    </xf>
    <xf numFmtId="43" fontId="0" fillId="3" borderId="31" xfId="1" applyNumberFormat="1" applyFont="1" applyFill="1" applyBorder="1" applyAlignment="1" applyProtection="1">
      <alignment horizontal="center" vertical="center"/>
      <protection locked="0"/>
    </xf>
    <xf numFmtId="43" fontId="0" fillId="3" borderId="15" xfId="1" applyNumberFormat="1" applyFont="1" applyFill="1" applyBorder="1" applyAlignment="1" applyProtection="1">
      <alignment horizontal="center" vertical="center"/>
      <protection locked="0"/>
    </xf>
    <xf numFmtId="43" fontId="0" fillId="3" borderId="10" xfId="1" applyNumberFormat="1" applyFont="1" applyFill="1" applyBorder="1" applyAlignment="1" applyProtection="1">
      <alignment horizontal="center" vertical="center"/>
      <protection locked="0"/>
    </xf>
    <xf numFmtId="43" fontId="0" fillId="3" borderId="12" xfId="1" applyNumberFormat="1" applyFont="1" applyFill="1" applyBorder="1" applyAlignment="1" applyProtection="1">
      <alignment horizontal="center" vertical="center"/>
      <protection locked="0"/>
    </xf>
    <xf numFmtId="0" fontId="6" fillId="2" borderId="45" xfId="0" applyFont="1" applyFill="1" applyBorder="1" applyAlignment="1">
      <alignment horizontal="center" vertical="center" wrapText="1"/>
    </xf>
    <xf numFmtId="0" fontId="6" fillId="2" borderId="17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6" fillId="2" borderId="3" xfId="0" applyFont="1" applyFill="1" applyBorder="1" applyAlignment="1">
      <alignment horizontal="center" vertical="center" wrapText="1"/>
    </xf>
    <xf numFmtId="1" fontId="0" fillId="0" borderId="1" xfId="0" applyNumberFormat="1" applyFill="1" applyBorder="1" applyAlignment="1">
      <alignment horizontal="center" vertical="center" wrapText="1"/>
    </xf>
    <xf numFmtId="1" fontId="8" fillId="2" borderId="42" xfId="0" applyNumberFormat="1" applyFont="1" applyFill="1" applyBorder="1" applyAlignment="1">
      <alignment horizontal="center" vertical="center"/>
    </xf>
    <xf numFmtId="0" fontId="8" fillId="2" borderId="69" xfId="0" applyFont="1" applyFill="1" applyBorder="1" applyAlignment="1">
      <alignment horizontal="center" vertical="center"/>
    </xf>
    <xf numFmtId="0" fontId="8" fillId="2" borderId="70" xfId="0" applyFont="1" applyFill="1" applyBorder="1" applyAlignment="1">
      <alignment horizontal="center" vertical="center"/>
    </xf>
    <xf numFmtId="166" fontId="0" fillId="3" borderId="19" xfId="1" applyNumberFormat="1" applyFont="1" applyFill="1" applyBorder="1" applyAlignment="1" applyProtection="1">
      <alignment horizontal="center" vertical="center"/>
      <protection locked="0"/>
    </xf>
    <xf numFmtId="166" fontId="0" fillId="3" borderId="20" xfId="1" applyNumberFormat="1" applyFont="1" applyFill="1" applyBorder="1" applyAlignment="1" applyProtection="1">
      <alignment horizontal="center" vertical="center"/>
      <protection locked="0"/>
    </xf>
    <xf numFmtId="166" fontId="0" fillId="3" borderId="21" xfId="1" applyNumberFormat="1" applyFont="1" applyFill="1" applyBorder="1" applyAlignment="1" applyProtection="1">
      <alignment horizontal="center" vertical="center"/>
      <protection locked="0"/>
    </xf>
    <xf numFmtId="0" fontId="17" fillId="6" borderId="0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1" fontId="2" fillId="2" borderId="0" xfId="0" applyNumberFormat="1" applyFont="1" applyFill="1" applyBorder="1" applyAlignment="1">
      <alignment horizontal="center" vertical="center"/>
    </xf>
    <xf numFmtId="1" fontId="2" fillId="2" borderId="48" xfId="0" applyNumberFormat="1" applyFont="1" applyFill="1" applyBorder="1" applyAlignment="1">
      <alignment horizontal="center" vertical="center"/>
    </xf>
    <xf numFmtId="0" fontId="11" fillId="2" borderId="16" xfId="3" applyFont="1" applyFill="1" applyBorder="1" applyAlignment="1">
      <alignment horizontal="center" vertical="center" wrapText="1"/>
    </xf>
    <xf numFmtId="0" fontId="13" fillId="2" borderId="11" xfId="3" applyFont="1" applyFill="1" applyBorder="1" applyAlignment="1">
      <alignment horizontal="center" vertical="center" wrapText="1"/>
    </xf>
    <xf numFmtId="0" fontId="16" fillId="2" borderId="11" xfId="3" applyFont="1" applyFill="1" applyBorder="1" applyAlignment="1">
      <alignment horizontal="center" vertical="center" wrapText="1"/>
    </xf>
    <xf numFmtId="0" fontId="15" fillId="2" borderId="11" xfId="3" applyFont="1" applyFill="1" applyBorder="1" applyAlignment="1">
      <alignment horizontal="center" vertical="center" wrapText="1"/>
    </xf>
    <xf numFmtId="0" fontId="14" fillId="2" borderId="11" xfId="3" applyFont="1" applyFill="1" applyBorder="1" applyAlignment="1">
      <alignment horizontal="center" vertical="center" wrapText="1"/>
    </xf>
    <xf numFmtId="0" fontId="12" fillId="2" borderId="14" xfId="3" applyFont="1" applyFill="1" applyBorder="1" applyAlignment="1">
      <alignment horizontal="center" vertical="center" wrapText="1"/>
    </xf>
    <xf numFmtId="0" fontId="16" fillId="2" borderId="16" xfId="3" applyFont="1" applyFill="1" applyBorder="1" applyAlignment="1">
      <alignment horizontal="center" vertical="center" wrapText="1"/>
    </xf>
    <xf numFmtId="0" fontId="12" fillId="2" borderId="11" xfId="3" applyFont="1" applyFill="1" applyBorder="1" applyAlignment="1">
      <alignment horizontal="center" vertical="center" wrapText="1"/>
    </xf>
    <xf numFmtId="0" fontId="11" fillId="2" borderId="14" xfId="3" applyFont="1" applyFill="1" applyBorder="1" applyAlignment="1">
      <alignment horizontal="center" vertical="center" wrapText="1"/>
    </xf>
    <xf numFmtId="0" fontId="11" fillId="2" borderId="11" xfId="3" applyFont="1" applyFill="1" applyBorder="1" applyAlignment="1">
      <alignment horizontal="center" vertical="center" wrapText="1"/>
    </xf>
    <xf numFmtId="166" fontId="0" fillId="3" borderId="10" xfId="9" applyNumberFormat="1" applyFont="1" applyFill="1" applyBorder="1" applyAlignment="1" applyProtection="1">
      <alignment horizontal="center" vertical="center"/>
      <protection locked="0"/>
    </xf>
    <xf numFmtId="165" fontId="0" fillId="3" borderId="11" xfId="9" applyNumberFormat="1" applyFont="1" applyFill="1" applyBorder="1" applyAlignment="1" applyProtection="1">
      <alignment horizontal="center" vertical="center"/>
      <protection locked="0"/>
    </xf>
    <xf numFmtId="43" fontId="0" fillId="3" borderId="1" xfId="9" applyFont="1" applyFill="1" applyBorder="1" applyAlignment="1" applyProtection="1">
      <alignment horizontal="center" vertical="center"/>
      <protection locked="0"/>
    </xf>
    <xf numFmtId="43" fontId="0" fillId="3" borderId="25" xfId="9" applyFont="1" applyFill="1" applyBorder="1" applyAlignment="1" applyProtection="1">
      <alignment horizontal="center" vertical="center"/>
      <protection locked="0"/>
    </xf>
    <xf numFmtId="166" fontId="0" fillId="3" borderId="12" xfId="9" applyNumberFormat="1" applyFont="1" applyFill="1" applyBorder="1" applyAlignment="1" applyProtection="1">
      <alignment horizontal="center" vertical="center"/>
      <protection locked="0"/>
    </xf>
    <xf numFmtId="165" fontId="0" fillId="3" borderId="14" xfId="9" applyNumberFormat="1" applyFont="1" applyFill="1" applyBorder="1" applyAlignment="1" applyProtection="1">
      <alignment horizontal="center" vertical="center"/>
      <protection locked="0"/>
    </xf>
    <xf numFmtId="166" fontId="0" fillId="3" borderId="19" xfId="9" applyNumberFormat="1" applyFont="1" applyFill="1" applyBorder="1" applyAlignment="1" applyProtection="1">
      <alignment horizontal="center" vertical="center"/>
      <protection locked="0"/>
    </xf>
    <xf numFmtId="43" fontId="0" fillId="3" borderId="19" xfId="9" applyNumberFormat="1" applyFont="1" applyFill="1" applyBorder="1" applyAlignment="1" applyProtection="1">
      <alignment horizontal="center" vertical="center"/>
      <protection locked="0"/>
    </xf>
    <xf numFmtId="43" fontId="0" fillId="3" borderId="20" xfId="9" applyFont="1" applyFill="1" applyBorder="1" applyAlignment="1" applyProtection="1">
      <alignment horizontal="center" vertical="center"/>
      <protection locked="0"/>
    </xf>
    <xf numFmtId="166" fontId="0" fillId="3" borderId="15" xfId="9" applyNumberFormat="1" applyFont="1" applyFill="1" applyBorder="1" applyAlignment="1" applyProtection="1">
      <alignment vertical="center"/>
      <protection locked="0"/>
    </xf>
    <xf numFmtId="165" fontId="0" fillId="3" borderId="16" xfId="9" applyNumberFormat="1" applyFont="1" applyFill="1" applyBorder="1" applyAlignment="1" applyProtection="1">
      <alignment vertical="center"/>
      <protection locked="0"/>
    </xf>
    <xf numFmtId="166" fontId="0" fillId="3" borderId="49" xfId="9" applyNumberFormat="1" applyFont="1" applyFill="1" applyBorder="1" applyAlignment="1" applyProtection="1">
      <alignment vertical="center"/>
      <protection locked="0"/>
    </xf>
    <xf numFmtId="166" fontId="0" fillId="3" borderId="20" xfId="9" applyNumberFormat="1" applyFont="1" applyFill="1" applyBorder="1" applyAlignment="1" applyProtection="1">
      <alignment horizontal="center" vertical="center"/>
      <protection locked="0"/>
    </xf>
    <xf numFmtId="43" fontId="0" fillId="3" borderId="20" xfId="9" applyNumberFormat="1" applyFont="1" applyFill="1" applyBorder="1" applyAlignment="1" applyProtection="1">
      <alignment horizontal="center" vertical="center"/>
      <protection locked="0"/>
    </xf>
    <xf numFmtId="166" fontId="0" fillId="3" borderId="10" xfId="9" applyNumberFormat="1" applyFont="1" applyFill="1" applyBorder="1" applyAlignment="1" applyProtection="1">
      <alignment vertical="center"/>
      <protection locked="0"/>
    </xf>
    <xf numFmtId="165" fontId="0" fillId="3" borderId="11" xfId="9" applyNumberFormat="1" applyFont="1" applyFill="1" applyBorder="1" applyAlignment="1" applyProtection="1">
      <alignment vertical="center"/>
      <protection locked="0"/>
    </xf>
    <xf numFmtId="166" fontId="0" fillId="3" borderId="25" xfId="9" applyNumberFormat="1" applyFont="1" applyFill="1" applyBorder="1" applyAlignment="1" applyProtection="1">
      <alignment vertical="center"/>
      <protection locked="0"/>
    </xf>
    <xf numFmtId="166" fontId="0" fillId="3" borderId="25" xfId="9" applyNumberFormat="1" applyFont="1" applyFill="1" applyBorder="1" applyAlignment="1" applyProtection="1">
      <alignment horizontal="center" vertical="center"/>
      <protection locked="0"/>
    </xf>
    <xf numFmtId="166" fontId="0" fillId="3" borderId="21" xfId="9" applyNumberFormat="1" applyFont="1" applyFill="1" applyBorder="1" applyAlignment="1" applyProtection="1">
      <alignment horizontal="center" vertical="center"/>
      <protection locked="0"/>
    </xf>
    <xf numFmtId="43" fontId="0" fillId="3" borderId="21" xfId="9" applyNumberFormat="1" applyFont="1" applyFill="1" applyBorder="1" applyAlignment="1" applyProtection="1">
      <alignment horizontal="center" vertical="center"/>
      <protection locked="0"/>
    </xf>
    <xf numFmtId="166" fontId="0" fillId="3" borderId="26" xfId="9" applyNumberFormat="1" applyFont="1" applyFill="1" applyBorder="1" applyAlignment="1" applyProtection="1">
      <alignment horizontal="center" vertical="center"/>
      <protection locked="0"/>
    </xf>
    <xf numFmtId="168" fontId="0" fillId="3" borderId="17" xfId="9" applyNumberFormat="1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64" fontId="0" fillId="2" borderId="0" xfId="0" applyNumberFormat="1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166" fontId="0" fillId="3" borderId="10" xfId="13" applyNumberFormat="1" applyFont="1" applyFill="1" applyBorder="1" applyAlignment="1" applyProtection="1">
      <alignment horizontal="center" vertical="center"/>
      <protection locked="0"/>
    </xf>
    <xf numFmtId="43" fontId="0" fillId="3" borderId="1" xfId="13" applyFont="1" applyFill="1" applyBorder="1" applyAlignment="1" applyProtection="1">
      <alignment horizontal="center" vertical="center"/>
      <protection locked="0"/>
    </xf>
    <xf numFmtId="166" fontId="0" fillId="3" borderId="25" xfId="13" applyNumberFormat="1" applyFont="1" applyFill="1" applyBorder="1" applyAlignment="1" applyProtection="1">
      <alignment horizontal="center" vertical="center"/>
      <protection locked="0"/>
    </xf>
    <xf numFmtId="166" fontId="0" fillId="3" borderId="12" xfId="13" applyNumberFormat="1" applyFont="1" applyFill="1" applyBorder="1" applyAlignment="1" applyProtection="1">
      <alignment horizontal="center" vertical="center"/>
      <protection locked="0"/>
    </xf>
    <xf numFmtId="43" fontId="0" fillId="3" borderId="13" xfId="13" applyFont="1" applyFill="1" applyBorder="1" applyAlignment="1" applyProtection="1">
      <alignment horizontal="center" vertical="center"/>
      <protection locked="0"/>
    </xf>
    <xf numFmtId="166" fontId="0" fillId="3" borderId="15" xfId="13" applyNumberFormat="1" applyFont="1" applyFill="1" applyBorder="1" applyAlignment="1" applyProtection="1">
      <alignment horizontal="center" vertical="center"/>
      <protection locked="0"/>
    </xf>
    <xf numFmtId="43" fontId="0" fillId="3" borderId="28" xfId="13" applyFont="1" applyFill="1" applyBorder="1" applyAlignment="1" applyProtection="1">
      <alignment horizontal="center" vertical="center"/>
      <protection locked="0"/>
    </xf>
    <xf numFmtId="43" fontId="0" fillId="3" borderId="29" xfId="13" applyFont="1" applyFill="1" applyBorder="1" applyAlignment="1" applyProtection="1">
      <alignment horizontal="center" vertical="center"/>
      <protection locked="0"/>
    </xf>
    <xf numFmtId="43" fontId="0" fillId="3" borderId="30" xfId="13" applyFont="1" applyFill="1" applyBorder="1" applyAlignment="1" applyProtection="1">
      <alignment horizontal="center" vertical="center"/>
      <protection locked="0"/>
    </xf>
    <xf numFmtId="43" fontId="0" fillId="3" borderId="31" xfId="13" applyFont="1" applyFill="1" applyBorder="1" applyAlignment="1" applyProtection="1">
      <alignment horizontal="center" vertical="center"/>
      <protection locked="0"/>
    </xf>
    <xf numFmtId="0" fontId="0" fillId="2" borderId="45" xfId="0" applyFill="1" applyBorder="1" applyAlignment="1">
      <alignment horizontal="center" vertical="center"/>
    </xf>
    <xf numFmtId="0" fontId="0" fillId="2" borderId="47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164" fontId="0" fillId="2" borderId="33" xfId="0" applyNumberFormat="1" applyFill="1" applyBorder="1" applyAlignment="1">
      <alignment horizontal="center" vertical="center"/>
    </xf>
    <xf numFmtId="164" fontId="0" fillId="2" borderId="46" xfId="0" applyNumberFormat="1" applyFill="1" applyBorder="1" applyAlignment="1">
      <alignment horizontal="center" vertical="center"/>
    </xf>
    <xf numFmtId="0" fontId="0" fillId="2" borderId="60" xfId="0" applyFill="1" applyBorder="1" applyAlignment="1">
      <alignment horizontal="center" vertical="center"/>
    </xf>
    <xf numFmtId="164" fontId="2" fillId="2" borderId="0" xfId="0" applyNumberFormat="1" applyFont="1" applyFill="1" applyBorder="1" applyAlignment="1">
      <alignment horizontal="center" vertical="center"/>
    </xf>
    <xf numFmtId="10" fontId="2" fillId="2" borderId="36" xfId="2" applyNumberFormat="1" applyFont="1" applyFill="1" applyBorder="1" applyAlignment="1">
      <alignment horizontal="center" vertical="center"/>
    </xf>
    <xf numFmtId="0" fontId="0" fillId="2" borderId="61" xfId="0" applyFill="1" applyBorder="1" applyAlignment="1">
      <alignment horizontal="center" vertical="center"/>
    </xf>
    <xf numFmtId="164" fontId="0" fillId="2" borderId="8" xfId="0" applyNumberForma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164" fontId="0" fillId="2" borderId="48" xfId="0" applyNumberFormat="1" applyFill="1" applyBorder="1" applyAlignment="1">
      <alignment horizontal="center" vertical="center"/>
    </xf>
    <xf numFmtId="164" fontId="0" fillId="2" borderId="65" xfId="0" applyNumberFormat="1" applyFill="1" applyBorder="1" applyAlignment="1">
      <alignment horizontal="center" vertical="center"/>
    </xf>
    <xf numFmtId="164" fontId="2" fillId="2" borderId="48" xfId="0" applyNumberFormat="1" applyFont="1" applyFill="1" applyBorder="1" applyAlignment="1">
      <alignment horizontal="center" vertical="center"/>
    </xf>
    <xf numFmtId="10" fontId="2" fillId="2" borderId="37" xfId="2" applyNumberFormat="1" applyFont="1" applyFill="1" applyBorder="1" applyAlignment="1">
      <alignment horizontal="center" vertical="center"/>
    </xf>
    <xf numFmtId="0" fontId="0" fillId="2" borderId="66" xfId="0" applyFill="1" applyBorder="1" applyAlignment="1">
      <alignment horizontal="center" vertical="center"/>
    </xf>
    <xf numFmtId="1" fontId="0" fillId="2" borderId="8" xfId="0" applyNumberFormat="1" applyFill="1" applyBorder="1" applyAlignment="1">
      <alignment horizontal="center" vertical="center"/>
    </xf>
    <xf numFmtId="1" fontId="0" fillId="2" borderId="0" xfId="0" applyNumberFormat="1" applyFill="1" applyBorder="1" applyAlignment="1">
      <alignment horizontal="center" vertical="center"/>
    </xf>
    <xf numFmtId="1" fontId="0" fillId="2" borderId="46" xfId="0" applyNumberFormat="1" applyFill="1" applyBorder="1" applyAlignment="1">
      <alignment horizontal="center" vertical="center"/>
    </xf>
    <xf numFmtId="1" fontId="0" fillId="2" borderId="9" xfId="0" applyNumberFormat="1" applyFill="1" applyBorder="1" applyAlignment="1">
      <alignment horizontal="center" vertical="center"/>
    </xf>
    <xf numFmtId="1" fontId="0" fillId="2" borderId="48" xfId="0" applyNumberFormat="1" applyFill="1" applyBorder="1" applyAlignment="1">
      <alignment horizontal="center" vertical="center"/>
    </xf>
    <xf numFmtId="1" fontId="0" fillId="2" borderId="65" xfId="0" applyNumberFormat="1" applyFill="1" applyBorder="1" applyAlignment="1">
      <alignment horizontal="center" vertical="center"/>
    </xf>
    <xf numFmtId="10" fontId="2" fillId="2" borderId="59" xfId="2" applyNumberFormat="1" applyFont="1" applyFill="1" applyBorder="1" applyAlignment="1">
      <alignment horizontal="center" vertical="center"/>
    </xf>
    <xf numFmtId="1" fontId="0" fillId="2" borderId="67" xfId="0" applyNumberFormat="1" applyFill="1" applyBorder="1" applyAlignment="1">
      <alignment horizontal="center" vertical="center"/>
    </xf>
    <xf numFmtId="1" fontId="0" fillId="2" borderId="68" xfId="0" applyNumberFormat="1" applyFill="1" applyBorder="1" applyAlignment="1">
      <alignment horizontal="center" vertical="center"/>
    </xf>
    <xf numFmtId="1" fontId="0" fillId="2" borderId="33" xfId="0" applyNumberFormat="1" applyFill="1" applyBorder="1" applyAlignment="1">
      <alignment horizontal="center" vertical="center"/>
    </xf>
    <xf numFmtId="1" fontId="2" fillId="2" borderId="68" xfId="0" applyNumberFormat="1" applyFont="1" applyFill="1" applyBorder="1" applyAlignment="1">
      <alignment horizontal="center" vertical="center"/>
    </xf>
    <xf numFmtId="1" fontId="2" fillId="2" borderId="0" xfId="0" applyNumberFormat="1" applyFont="1" applyFill="1" applyBorder="1" applyAlignment="1">
      <alignment horizontal="center" vertical="center"/>
    </xf>
    <xf numFmtId="1" fontId="2" fillId="2" borderId="48" xfId="0" applyNumberFormat="1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0" fillId="2" borderId="36" xfId="0" applyFill="1" applyBorder="1" applyAlignment="1">
      <alignment horizontal="center" vertical="center"/>
    </xf>
    <xf numFmtId="0" fontId="2" fillId="2" borderId="64" xfId="0" applyFont="1" applyFill="1" applyBorder="1" applyAlignment="1">
      <alignment horizontal="center" vertical="center"/>
    </xf>
    <xf numFmtId="0" fontId="2" fillId="2" borderId="57" xfId="0" applyFont="1" applyFill="1" applyBorder="1" applyAlignment="1">
      <alignment horizontal="center" vertical="center"/>
    </xf>
    <xf numFmtId="14" fontId="2" fillId="3" borderId="2" xfId="0" applyNumberFormat="1" applyFont="1" applyFill="1" applyBorder="1" applyAlignment="1" applyProtection="1">
      <alignment horizontal="center" vertical="center"/>
      <protection locked="0"/>
    </xf>
    <xf numFmtId="166" fontId="0" fillId="3" borderId="19" xfId="16" applyNumberFormat="1" applyFont="1" applyFill="1" applyBorder="1" applyAlignment="1" applyProtection="1">
      <alignment horizontal="center" vertical="center"/>
      <protection locked="0"/>
    </xf>
    <xf numFmtId="166" fontId="0" fillId="3" borderId="20" xfId="16" applyNumberFormat="1" applyFont="1" applyFill="1" applyBorder="1" applyAlignment="1" applyProtection="1">
      <alignment horizontal="center" vertical="center"/>
      <protection locked="0"/>
    </xf>
    <xf numFmtId="166" fontId="0" fillId="3" borderId="21" xfId="16" applyNumberFormat="1" applyFont="1" applyFill="1" applyBorder="1" applyAlignment="1" applyProtection="1">
      <alignment horizontal="center" vertical="center"/>
      <protection locked="0"/>
    </xf>
    <xf numFmtId="43" fontId="0" fillId="3" borderId="20" xfId="16" applyFont="1" applyFill="1" applyBorder="1" applyAlignment="1">
      <alignment horizontal="center" vertical="center"/>
    </xf>
    <xf numFmtId="43" fontId="0" fillId="3" borderId="19" xfId="16" applyNumberFormat="1" applyFont="1" applyFill="1" applyBorder="1" applyAlignment="1">
      <alignment horizontal="center" vertical="center"/>
    </xf>
    <xf numFmtId="166" fontId="0" fillId="3" borderId="10" xfId="16" applyNumberFormat="1" applyFont="1" applyFill="1" applyBorder="1" applyAlignment="1">
      <alignment horizontal="center" vertical="center"/>
    </xf>
    <xf numFmtId="43" fontId="0" fillId="3" borderId="1" xfId="16" applyFont="1" applyFill="1" applyBorder="1" applyAlignment="1">
      <alignment horizontal="center" vertical="center"/>
    </xf>
    <xf numFmtId="43" fontId="0" fillId="3" borderId="25" xfId="16" applyFont="1" applyFill="1" applyBorder="1" applyAlignment="1">
      <alignment horizontal="center" vertical="center"/>
    </xf>
    <xf numFmtId="43" fontId="0" fillId="3" borderId="11" xfId="16" applyFont="1" applyFill="1" applyBorder="1" applyAlignment="1">
      <alignment horizontal="center" vertical="center"/>
    </xf>
    <xf numFmtId="166" fontId="0" fillId="3" borderId="15" xfId="16" applyNumberFormat="1" applyFont="1" applyFill="1" applyBorder="1" applyAlignment="1">
      <alignment vertical="center"/>
    </xf>
    <xf numFmtId="43" fontId="0" fillId="3" borderId="16" xfId="16" applyFont="1" applyFill="1" applyBorder="1" applyAlignment="1">
      <alignment vertical="center"/>
    </xf>
    <xf numFmtId="43" fontId="0" fillId="3" borderId="49" xfId="16" applyFont="1" applyFill="1" applyBorder="1" applyAlignment="1">
      <alignment vertical="center"/>
    </xf>
    <xf numFmtId="43" fontId="0" fillId="3" borderId="20" xfId="16" applyNumberFormat="1" applyFont="1" applyFill="1" applyBorder="1" applyAlignment="1">
      <alignment horizontal="center" vertical="center"/>
    </xf>
    <xf numFmtId="166" fontId="0" fillId="3" borderId="10" xfId="16" applyNumberFormat="1" applyFont="1" applyFill="1" applyBorder="1" applyAlignment="1">
      <alignment vertical="center"/>
    </xf>
    <xf numFmtId="43" fontId="0" fillId="3" borderId="11" xfId="16" applyFont="1" applyFill="1" applyBorder="1" applyAlignment="1">
      <alignment vertical="center"/>
    </xf>
    <xf numFmtId="43" fontId="0" fillId="3" borderId="25" xfId="16" applyFont="1" applyFill="1" applyBorder="1" applyAlignment="1">
      <alignment vertical="center"/>
    </xf>
    <xf numFmtId="43" fontId="0" fillId="3" borderId="21" xfId="16" applyNumberFormat="1" applyFont="1" applyFill="1" applyBorder="1" applyAlignment="1">
      <alignment horizontal="center" vertical="center"/>
    </xf>
    <xf numFmtId="166" fontId="0" fillId="3" borderId="12" xfId="16" applyNumberFormat="1" applyFont="1" applyFill="1" applyBorder="1" applyAlignment="1">
      <alignment horizontal="center" vertical="center"/>
    </xf>
    <xf numFmtId="43" fontId="0" fillId="3" borderId="14" xfId="16" applyFont="1" applyFill="1" applyBorder="1" applyAlignment="1">
      <alignment horizontal="center" vertical="center"/>
    </xf>
    <xf numFmtId="43" fontId="0" fillId="3" borderId="26" xfId="16" applyFont="1" applyFill="1" applyBorder="1" applyAlignment="1">
      <alignment horizontal="center" vertical="center"/>
    </xf>
    <xf numFmtId="14" fontId="2" fillId="3" borderId="4" xfId="0" applyNumberFormat="1" applyFont="1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10" fontId="0" fillId="2" borderId="5" xfId="2" applyNumberFormat="1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14" fillId="2" borderId="16" xfId="3" applyFont="1" applyFill="1" applyBorder="1" applyAlignment="1">
      <alignment horizontal="center" vertical="center" wrapText="1"/>
    </xf>
    <xf numFmtId="0" fontId="14" fillId="2" borderId="19" xfId="3" applyFont="1" applyFill="1" applyBorder="1" applyAlignment="1">
      <alignment horizontal="center" vertical="center" wrapText="1"/>
    </xf>
    <xf numFmtId="0" fontId="12" fillId="2" borderId="0" xfId="3" applyFont="1" applyFill="1" applyAlignment="1">
      <alignment horizontal="right" vertical="center"/>
    </xf>
    <xf numFmtId="0" fontId="12" fillId="2" borderId="38" xfId="3" applyFont="1" applyFill="1" applyBorder="1" applyAlignment="1">
      <alignment horizontal="center" vertical="center" wrapText="1"/>
    </xf>
    <xf numFmtId="0" fontId="12" fillId="2" borderId="40" xfId="3" applyFont="1" applyFill="1" applyBorder="1" applyAlignment="1">
      <alignment horizontal="center" vertical="center" wrapText="1"/>
    </xf>
    <xf numFmtId="0" fontId="12" fillId="2" borderId="3" xfId="3" applyFont="1" applyFill="1" applyBorder="1" applyAlignment="1">
      <alignment horizontal="center" vertical="center" wrapText="1"/>
    </xf>
    <xf numFmtId="0" fontId="0" fillId="2" borderId="28" xfId="0" applyFill="1" applyBorder="1" applyAlignment="1">
      <alignment horizontal="center" vertical="center"/>
    </xf>
    <xf numFmtId="0" fontId="5" fillId="2" borderId="8" xfId="0" applyFont="1" applyFill="1" applyBorder="1" applyAlignment="1">
      <alignment horizontal="left" vertical="center" wrapText="1"/>
    </xf>
    <xf numFmtId="0" fontId="5" fillId="2" borderId="8" xfId="0" applyFont="1" applyFill="1" applyBorder="1" applyAlignment="1">
      <alignment horizontal="left" vertical="center"/>
    </xf>
    <xf numFmtId="0" fontId="5" fillId="2" borderId="0" xfId="0" applyFont="1" applyFill="1" applyBorder="1" applyAlignment="1">
      <alignment horizontal="left" vertical="center" wrapText="1"/>
    </xf>
    <xf numFmtId="0" fontId="5" fillId="2" borderId="0" xfId="0" applyFont="1" applyFill="1" applyBorder="1" applyAlignment="1">
      <alignment horizontal="left" vertical="center"/>
    </xf>
    <xf numFmtId="0" fontId="3" fillId="5" borderId="9" xfId="0" applyFont="1" applyFill="1" applyBorder="1" applyAlignment="1">
      <alignment horizontal="center" vertical="center" textRotation="90"/>
    </xf>
    <xf numFmtId="0" fontId="3" fillId="5" borderId="48" xfId="0" applyFont="1" applyFill="1" applyBorder="1" applyAlignment="1">
      <alignment horizontal="center" vertical="center" textRotation="90"/>
    </xf>
    <xf numFmtId="0" fontId="3" fillId="5" borderId="37" xfId="0" applyFont="1" applyFill="1" applyBorder="1" applyAlignment="1">
      <alignment horizontal="center" vertical="center" textRotation="90"/>
    </xf>
    <xf numFmtId="0" fontId="2" fillId="2" borderId="4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6" fillId="2" borderId="45" xfId="0" applyFont="1" applyFill="1" applyBorder="1" applyAlignment="1">
      <alignment horizontal="center" vertical="center" wrapText="1"/>
    </xf>
    <xf numFmtId="0" fontId="6" fillId="2" borderId="17" xfId="0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2" fillId="4" borderId="24" xfId="0" applyFont="1" applyFill="1" applyBorder="1" applyAlignment="1">
      <alignment horizontal="center" vertical="center" wrapText="1"/>
    </xf>
    <xf numFmtId="0" fontId="2" fillId="4" borderId="18" xfId="0" applyFont="1" applyFill="1" applyBorder="1" applyAlignment="1">
      <alignment horizontal="center" vertical="center" wrapText="1"/>
    </xf>
    <xf numFmtId="0" fontId="0" fillId="2" borderId="45" xfId="0" applyFont="1" applyFill="1" applyBorder="1" applyAlignment="1">
      <alignment horizontal="center" vertical="center"/>
    </xf>
    <xf numFmtId="0" fontId="0" fillId="2" borderId="8" xfId="0" applyFont="1" applyFill="1" applyBorder="1" applyAlignment="1">
      <alignment horizontal="center" vertical="center"/>
    </xf>
    <xf numFmtId="0" fontId="0" fillId="2" borderId="9" xfId="0" applyFont="1" applyFill="1" applyBorder="1" applyAlignment="1">
      <alignment horizontal="center" vertical="center"/>
    </xf>
    <xf numFmtId="0" fontId="0" fillId="2" borderId="17" xfId="0" applyFont="1" applyFill="1" applyBorder="1" applyAlignment="1">
      <alignment horizontal="center" vertical="center"/>
    </xf>
    <xf numFmtId="0" fontId="0" fillId="2" borderId="36" xfId="0" applyFont="1" applyFill="1" applyBorder="1" applyAlignment="1">
      <alignment horizontal="center" vertical="center"/>
    </xf>
    <xf numFmtId="0" fontId="0" fillId="2" borderId="37" xfId="0" applyFont="1" applyFill="1" applyBorder="1" applyAlignment="1">
      <alignment horizontal="center" vertical="center"/>
    </xf>
    <xf numFmtId="0" fontId="7" fillId="2" borderId="45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37" xfId="0" applyFont="1" applyFill="1" applyBorder="1" applyAlignment="1">
      <alignment horizontal="center" vertical="center"/>
    </xf>
    <xf numFmtId="0" fontId="0" fillId="2" borderId="4" xfId="0" applyFont="1" applyFill="1" applyBorder="1" applyAlignment="1">
      <alignment horizontal="center" vertical="center"/>
    </xf>
    <xf numFmtId="0" fontId="0" fillId="2" borderId="24" xfId="0" applyFont="1" applyFill="1" applyBorder="1" applyAlignment="1">
      <alignment horizontal="center" vertical="center"/>
    </xf>
    <xf numFmtId="0" fontId="0" fillId="2" borderId="18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 wrapText="1"/>
    </xf>
    <xf numFmtId="0" fontId="6" fillId="2" borderId="3" xfId="0" applyFont="1" applyFill="1" applyBorder="1" applyAlignment="1">
      <alignment horizontal="center" vertical="center" wrapText="1"/>
    </xf>
    <xf numFmtId="0" fontId="7" fillId="2" borderId="45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 wrapText="1"/>
    </xf>
    <xf numFmtId="0" fontId="7" fillId="2" borderId="17" xfId="0" applyFont="1" applyFill="1" applyBorder="1" applyAlignment="1">
      <alignment horizontal="center" vertical="center" wrapText="1"/>
    </xf>
    <xf numFmtId="0" fontId="7" fillId="2" borderId="36" xfId="0" applyFont="1" applyFill="1" applyBorder="1" applyAlignment="1">
      <alignment horizontal="center" vertical="center" wrapText="1"/>
    </xf>
    <xf numFmtId="0" fontId="7" fillId="2" borderId="37" xfId="0" applyFont="1" applyFill="1" applyBorder="1" applyAlignment="1">
      <alignment horizontal="center" vertical="center" wrapText="1"/>
    </xf>
    <xf numFmtId="0" fontId="7" fillId="2" borderId="44" xfId="0" applyFont="1" applyFill="1" applyBorder="1" applyAlignment="1">
      <alignment horizontal="center" vertical="center" wrapText="1"/>
    </xf>
    <xf numFmtId="0" fontId="7" fillId="2" borderId="18" xfId="0" applyFont="1" applyFill="1" applyBorder="1" applyAlignment="1">
      <alignment horizontal="center" vertical="center" wrapText="1"/>
    </xf>
    <xf numFmtId="43" fontId="0" fillId="3" borderId="4" xfId="1" applyNumberFormat="1" applyFont="1" applyFill="1" applyBorder="1" applyAlignment="1" applyProtection="1">
      <alignment horizontal="center" vertical="center"/>
      <protection locked="0"/>
    </xf>
    <xf numFmtId="43" fontId="0" fillId="3" borderId="18" xfId="1" applyNumberFormat="1" applyFont="1" applyFill="1" applyBorder="1" applyAlignment="1" applyProtection="1">
      <alignment horizontal="center" vertical="center"/>
      <protection locked="0"/>
    </xf>
    <xf numFmtId="43" fontId="0" fillId="3" borderId="4" xfId="1" applyNumberFormat="1" applyFont="1" applyFill="1" applyBorder="1" applyAlignment="1">
      <alignment horizontal="center" vertical="center"/>
    </xf>
    <xf numFmtId="43" fontId="0" fillId="3" borderId="18" xfId="1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 wrapText="1"/>
    </xf>
    <xf numFmtId="0" fontId="2" fillId="2" borderId="18" xfId="0" applyFont="1" applyFill="1" applyBorder="1" applyAlignment="1">
      <alignment horizontal="center" vertical="center" wrapText="1"/>
    </xf>
    <xf numFmtId="0" fontId="2" fillId="2" borderId="24" xfId="0" applyFont="1" applyFill="1" applyBorder="1" applyAlignment="1">
      <alignment horizontal="center" vertical="center" wrapText="1"/>
    </xf>
    <xf numFmtId="0" fontId="0" fillId="2" borderId="15" xfId="0" applyFill="1" applyBorder="1" applyAlignment="1">
      <alignment horizontal="center" vertical="center"/>
    </xf>
    <xf numFmtId="0" fontId="0" fillId="2" borderId="43" xfId="0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24" xfId="0" applyFont="1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 wrapText="1"/>
    </xf>
    <xf numFmtId="0" fontId="2" fillId="2" borderId="27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2" borderId="28" xfId="0" applyFill="1" applyBorder="1" applyAlignment="1">
      <alignment horizontal="center" vertical="center"/>
    </xf>
    <xf numFmtId="0" fontId="2" fillId="2" borderId="63" xfId="0" applyFont="1" applyFill="1" applyBorder="1" applyAlignment="1">
      <alignment horizontal="center" vertical="center" wrapText="1"/>
    </xf>
    <xf numFmtId="0" fontId="2" fillId="2" borderId="43" xfId="0" applyFont="1" applyFill="1" applyBorder="1" applyAlignment="1">
      <alignment horizontal="center" vertical="center"/>
    </xf>
    <xf numFmtId="0" fontId="2" fillId="2" borderId="50" xfId="0" applyFont="1" applyFill="1" applyBorder="1" applyAlignment="1">
      <alignment horizontal="center" vertical="center"/>
    </xf>
    <xf numFmtId="0" fontId="2" fillId="2" borderId="42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2" fillId="4" borderId="18" xfId="0" applyFont="1" applyFill="1" applyBorder="1" applyAlignment="1">
      <alignment horizontal="center" vertical="center"/>
    </xf>
    <xf numFmtId="0" fontId="2" fillId="4" borderId="45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2" borderId="64" xfId="0" applyFont="1" applyFill="1" applyBorder="1" applyAlignment="1">
      <alignment horizontal="center" vertical="center"/>
    </xf>
    <xf numFmtId="0" fontId="2" fillId="2" borderId="57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0" fillId="2" borderId="36" xfId="0" applyFill="1" applyBorder="1" applyAlignment="1">
      <alignment horizontal="center" vertical="center"/>
    </xf>
    <xf numFmtId="0" fontId="2" fillId="2" borderId="71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</cellXfs>
  <cellStyles count="18">
    <cellStyle name="Normal" xfId="0" builtinId="0"/>
    <cellStyle name="Normal 7" xfId="3" xr:uid="{00000000-0005-0000-0000-000001000000}"/>
    <cellStyle name="Porcentagem" xfId="2" builtinId="5"/>
    <cellStyle name="Vírgula" xfId="1" builtinId="3"/>
    <cellStyle name="Vírgula 2" xfId="5" xr:uid="{00000000-0005-0000-0000-000004000000}"/>
    <cellStyle name="Vírgula 2 2" xfId="7" xr:uid="{00000000-0005-0000-0000-000005000000}"/>
    <cellStyle name="Vírgula 2 2 2" xfId="13" xr:uid="{00000000-0005-0000-0000-000005000000}"/>
    <cellStyle name="Vírgula 2 3" xfId="11" xr:uid="{00000000-0005-0000-0000-000004000000}"/>
    <cellStyle name="Vírgula 3" xfId="4" xr:uid="{00000000-0005-0000-0000-000006000000}"/>
    <cellStyle name="Vírgula 3 2" xfId="10" xr:uid="{00000000-0005-0000-0000-000006000000}"/>
    <cellStyle name="Vírgula 4" xfId="6" xr:uid="{00000000-0005-0000-0000-000007000000}"/>
    <cellStyle name="Vírgula 4 2" xfId="12" xr:uid="{00000000-0005-0000-0000-000007000000}"/>
    <cellStyle name="Vírgula 5" xfId="8" xr:uid="{00000000-0005-0000-0000-000008000000}"/>
    <cellStyle name="Vírgula 5 2" xfId="14" xr:uid="{00000000-0005-0000-0000-000008000000}"/>
    <cellStyle name="Vírgula 6" xfId="9" xr:uid="{00000000-0005-0000-0000-000035000000}"/>
    <cellStyle name="Vírgula 7" xfId="15" xr:uid="{00000000-0005-0000-0000-00003B000000}"/>
    <cellStyle name="Vírgula 8" xfId="16" xr:uid="{00000000-0005-0000-0000-00003C000000}"/>
    <cellStyle name="Vírgula 9" xfId="17" xr:uid="{E0F2EF8E-5F56-41E5-AFCA-4A3001EABCB3}"/>
  </cellStyles>
  <dxfs count="7">
    <dxf>
      <font>
        <b/>
        <i val="0"/>
        <color theme="7" tint="-0.499984740745262"/>
      </font>
      <fill>
        <patternFill patternType="none">
          <bgColor auto="1"/>
        </patternFill>
      </fill>
    </dxf>
    <dxf>
      <font>
        <b/>
        <i val="0"/>
        <color theme="7" tint="-0.499984740745262"/>
      </font>
      <fill>
        <patternFill patternType="none">
          <bgColor auto="1"/>
        </patternFill>
      </fill>
    </dxf>
    <dxf>
      <font>
        <b/>
        <i val="0"/>
        <color theme="7" tint="-0.499984740745262"/>
      </font>
      <fill>
        <patternFill patternType="none">
          <bgColor auto="1"/>
        </patternFill>
      </fill>
    </dxf>
    <dxf>
      <font>
        <b/>
        <i val="0"/>
        <color theme="7" tint="-0.499984740745262"/>
      </font>
      <fill>
        <patternFill patternType="none">
          <bgColor auto="1"/>
        </patternFill>
      </fill>
    </dxf>
    <dxf>
      <font>
        <b/>
        <i val="0"/>
        <color theme="7" tint="-0.499984740745262"/>
      </font>
      <fill>
        <patternFill patternType="none">
          <bgColor auto="1"/>
        </patternFill>
      </fill>
    </dxf>
    <dxf>
      <font>
        <b/>
        <i val="0"/>
        <color theme="7" tint="-0.499984740745262"/>
      </font>
      <fill>
        <patternFill patternType="none">
          <bgColor auto="1"/>
        </patternFill>
      </fill>
    </dxf>
    <dxf>
      <font>
        <b/>
        <i val="0"/>
        <color theme="7" tint="-0.499984740745262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Feed Intake (Kg)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Summary!$N$3</c:f>
              <c:strCache>
                <c:ptCount val="1"/>
                <c:pt idx="0">
                  <c:v>T1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Summary!$O$4:$R$4</c:f>
                <c:numCache>
                  <c:formatCode>General</c:formatCode>
                  <c:ptCount val="4"/>
                  <c:pt idx="0">
                    <c:v>1.7359172263887505E-2</c:v>
                  </c:pt>
                  <c:pt idx="1">
                    <c:v>2.6474486699823638E-2</c:v>
                  </c:pt>
                  <c:pt idx="2">
                    <c:v>5.3190777081738562E-2</c:v>
                  </c:pt>
                  <c:pt idx="3">
                    <c:v>5.8968797819434995E-2</c:v>
                  </c:pt>
                </c:numCache>
              </c:numRef>
            </c:plus>
            <c:minus>
              <c:numRef>
                <c:f>Summary!$O$4:$R$4</c:f>
                <c:numCache>
                  <c:formatCode>General</c:formatCode>
                  <c:ptCount val="4"/>
                  <c:pt idx="0">
                    <c:v>1.7359172263887505E-2</c:v>
                  </c:pt>
                  <c:pt idx="1">
                    <c:v>2.6474486699823638E-2</c:v>
                  </c:pt>
                  <c:pt idx="2">
                    <c:v>5.3190777081738562E-2</c:v>
                  </c:pt>
                  <c:pt idx="3">
                    <c:v>5.8968797819434995E-2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Summary!$O$3:$R$3</c:f>
              <c:numCache>
                <c:formatCode>0.000</c:formatCode>
                <c:ptCount val="4"/>
                <c:pt idx="0">
                  <c:v>0.41367500920132499</c:v>
                </c:pt>
                <c:pt idx="1">
                  <c:v>0.83685500245368682</c:v>
                </c:pt>
                <c:pt idx="2">
                  <c:v>1.4097951152687995</c:v>
                </c:pt>
                <c:pt idx="3">
                  <c:v>1.4307244103296735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Summary!$O$2:$R$2</c15:sqref>
                        </c15:formulaRef>
                      </c:ext>
                    </c:extLst>
                    <c:strCache>
                      <c:ptCount val="4"/>
                      <c:pt idx="0">
                        <c:v>14 days</c:v>
                      </c:pt>
                      <c:pt idx="1">
                        <c:v>23 days</c:v>
                      </c:pt>
                      <c:pt idx="2">
                        <c:v>32 days</c:v>
                      </c:pt>
                      <c:pt idx="3">
                        <c:v>39 days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AE81-4AE0-AD83-D3EBC630CFEE}"/>
            </c:ext>
          </c:extLst>
        </c:ser>
        <c:ser>
          <c:idx val="2"/>
          <c:order val="1"/>
          <c:tx>
            <c:strRef>
              <c:f>Summary!$N$5</c:f>
              <c:strCache>
                <c:ptCount val="1"/>
                <c:pt idx="0">
                  <c:v>T2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Summary!$O$6:$R$6</c:f>
                <c:numCache>
                  <c:formatCode>General</c:formatCode>
                  <c:ptCount val="4"/>
                  <c:pt idx="0">
                    <c:v>2.1968056575959041E-2</c:v>
                  </c:pt>
                  <c:pt idx="1">
                    <c:v>4.5737777159922742E-2</c:v>
                  </c:pt>
                  <c:pt idx="2">
                    <c:v>5.2117099315556581E-2</c:v>
                  </c:pt>
                  <c:pt idx="3">
                    <c:v>3.3820227687135114E-2</c:v>
                  </c:pt>
                </c:numCache>
              </c:numRef>
            </c:plus>
            <c:minus>
              <c:numRef>
                <c:f>Summary!$O$6:$R$6</c:f>
                <c:numCache>
                  <c:formatCode>General</c:formatCode>
                  <c:ptCount val="4"/>
                  <c:pt idx="0">
                    <c:v>2.1968056575959041E-2</c:v>
                  </c:pt>
                  <c:pt idx="1">
                    <c:v>4.5737777159922742E-2</c:v>
                  </c:pt>
                  <c:pt idx="2">
                    <c:v>5.2117099315556581E-2</c:v>
                  </c:pt>
                  <c:pt idx="3">
                    <c:v>3.3820227687135114E-2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Summary!$O$5:$R$5</c:f>
              <c:numCache>
                <c:formatCode>0.000</c:formatCode>
                <c:ptCount val="4"/>
                <c:pt idx="0">
                  <c:v>0.41430377055377049</c:v>
                </c:pt>
                <c:pt idx="1">
                  <c:v>0.81357055219555219</c:v>
                </c:pt>
                <c:pt idx="2">
                  <c:v>1.4027930170824907</c:v>
                </c:pt>
                <c:pt idx="3">
                  <c:v>1.4070652327618272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Summary!$O$2:$R$2</c15:sqref>
                        </c15:formulaRef>
                      </c:ext>
                    </c:extLst>
                    <c:strCache>
                      <c:ptCount val="4"/>
                      <c:pt idx="0">
                        <c:v>14 days</c:v>
                      </c:pt>
                      <c:pt idx="1">
                        <c:v>23 days</c:v>
                      </c:pt>
                      <c:pt idx="2">
                        <c:v>32 days</c:v>
                      </c:pt>
                      <c:pt idx="3">
                        <c:v>39 days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AE81-4AE0-AD83-D3EBC630CFEE}"/>
            </c:ext>
          </c:extLst>
        </c:ser>
        <c:ser>
          <c:idx val="4"/>
          <c:order val="2"/>
          <c:tx>
            <c:strRef>
              <c:f>Summary!$N$7</c:f>
              <c:strCache>
                <c:ptCount val="1"/>
                <c:pt idx="0">
                  <c:v>T3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Summary!$O$8:$R$8</c:f>
                <c:numCache>
                  <c:formatCode>General</c:formatCode>
                  <c:ptCount val="4"/>
                  <c:pt idx="0">
                    <c:v>1.4498187713991043E-2</c:v>
                  </c:pt>
                  <c:pt idx="1">
                    <c:v>2.7717459827184397E-2</c:v>
                  </c:pt>
                  <c:pt idx="2">
                    <c:v>4.017276965077049E-2</c:v>
                  </c:pt>
                  <c:pt idx="3">
                    <c:v>3.6949497401034558E-2</c:v>
                  </c:pt>
                </c:numCache>
              </c:numRef>
            </c:plus>
            <c:minus>
              <c:numRef>
                <c:f>Summary!$O$8:$R$8</c:f>
                <c:numCache>
                  <c:formatCode>General</c:formatCode>
                  <c:ptCount val="4"/>
                  <c:pt idx="0">
                    <c:v>1.4498187713991043E-2</c:v>
                  </c:pt>
                  <c:pt idx="1">
                    <c:v>2.7717459827184397E-2</c:v>
                  </c:pt>
                  <c:pt idx="2">
                    <c:v>4.017276965077049E-2</c:v>
                  </c:pt>
                  <c:pt idx="3">
                    <c:v>3.6949497401034558E-2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Summary!$O$7:$R$7</c:f>
              <c:numCache>
                <c:formatCode>0.000</c:formatCode>
                <c:ptCount val="4"/>
                <c:pt idx="0">
                  <c:v>0.40400298531877488</c:v>
                </c:pt>
                <c:pt idx="1">
                  <c:v>0.82762907564571642</c:v>
                </c:pt>
                <c:pt idx="2">
                  <c:v>1.395852424692982</c:v>
                </c:pt>
                <c:pt idx="3">
                  <c:v>1.4164089142456016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Summary!$O$2:$R$2</c15:sqref>
                        </c15:formulaRef>
                      </c:ext>
                    </c:extLst>
                    <c:strCache>
                      <c:ptCount val="4"/>
                      <c:pt idx="0">
                        <c:v>14 days</c:v>
                      </c:pt>
                      <c:pt idx="1">
                        <c:v>23 days</c:v>
                      </c:pt>
                      <c:pt idx="2">
                        <c:v>32 days</c:v>
                      </c:pt>
                      <c:pt idx="3">
                        <c:v>39 days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AE81-4AE0-AD83-D3EBC630CFEE}"/>
            </c:ext>
          </c:extLst>
        </c:ser>
        <c:ser>
          <c:idx val="6"/>
          <c:order val="3"/>
          <c:tx>
            <c:strRef>
              <c:f>Summary!$N$9</c:f>
              <c:strCache>
                <c:ptCount val="1"/>
                <c:pt idx="0">
                  <c:v>T4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Summary!$O$10:$R$10</c:f>
                <c:numCache>
                  <c:formatCode>General</c:formatCode>
                  <c:ptCount val="4"/>
                  <c:pt idx="0">
                    <c:v>1.7937775394237705E-2</c:v>
                  </c:pt>
                  <c:pt idx="1">
                    <c:v>1.9590200133163087E-2</c:v>
                  </c:pt>
                  <c:pt idx="2">
                    <c:v>4.1400885337247513E-2</c:v>
                  </c:pt>
                  <c:pt idx="3">
                    <c:v>4.8393644694676455E-2</c:v>
                  </c:pt>
                </c:numCache>
              </c:numRef>
            </c:plus>
            <c:minus>
              <c:numRef>
                <c:f>Summary!$O$10:$R$10</c:f>
                <c:numCache>
                  <c:formatCode>General</c:formatCode>
                  <c:ptCount val="4"/>
                  <c:pt idx="0">
                    <c:v>1.7937775394237705E-2</c:v>
                  </c:pt>
                  <c:pt idx="1">
                    <c:v>1.9590200133163087E-2</c:v>
                  </c:pt>
                  <c:pt idx="2">
                    <c:v>4.1400885337247513E-2</c:v>
                  </c:pt>
                  <c:pt idx="3">
                    <c:v>4.8393644694676455E-2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Summary!$O$9:$R$9</c:f>
              <c:numCache>
                <c:formatCode>0.000</c:formatCode>
                <c:ptCount val="4"/>
                <c:pt idx="0">
                  <c:v>0.41310109520635835</c:v>
                </c:pt>
                <c:pt idx="1">
                  <c:v>0.8428904213377898</c:v>
                </c:pt>
                <c:pt idx="2">
                  <c:v>1.4069081346442027</c:v>
                </c:pt>
                <c:pt idx="3">
                  <c:v>1.4064272011475958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Summary!$O$2:$R$2</c15:sqref>
                        </c15:formulaRef>
                      </c:ext>
                    </c:extLst>
                    <c:strCache>
                      <c:ptCount val="4"/>
                      <c:pt idx="0">
                        <c:v>14 days</c:v>
                      </c:pt>
                      <c:pt idx="1">
                        <c:v>23 days</c:v>
                      </c:pt>
                      <c:pt idx="2">
                        <c:v>32 days</c:v>
                      </c:pt>
                      <c:pt idx="3">
                        <c:v>39 days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AE81-4AE0-AD83-D3EBC630CFEE}"/>
            </c:ext>
          </c:extLst>
        </c:ser>
        <c:ser>
          <c:idx val="8"/>
          <c:order val="4"/>
          <c:tx>
            <c:strRef>
              <c:f>Summary!$N$11</c:f>
              <c:strCache>
                <c:ptCount val="1"/>
                <c:pt idx="0">
                  <c:v>T5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Summary!$O$12:$R$12</c:f>
                <c:numCache>
                  <c:formatCode>General</c:formatCode>
                  <c:ptCount val="4"/>
                  <c:pt idx="0">
                    <c:v>1.246257769315885E-2</c:v>
                  </c:pt>
                  <c:pt idx="1">
                    <c:v>3.67750377850838E-2</c:v>
                  </c:pt>
                  <c:pt idx="2">
                    <c:v>3.4860727481190901E-2</c:v>
                  </c:pt>
                  <c:pt idx="3">
                    <c:v>4.1173663278456479E-2</c:v>
                  </c:pt>
                </c:numCache>
              </c:numRef>
            </c:plus>
            <c:minus>
              <c:numRef>
                <c:f>Summary!$O$12:$R$12</c:f>
                <c:numCache>
                  <c:formatCode>General</c:formatCode>
                  <c:ptCount val="4"/>
                  <c:pt idx="0">
                    <c:v>1.246257769315885E-2</c:v>
                  </c:pt>
                  <c:pt idx="1">
                    <c:v>3.67750377850838E-2</c:v>
                  </c:pt>
                  <c:pt idx="2">
                    <c:v>3.4860727481190901E-2</c:v>
                  </c:pt>
                  <c:pt idx="3">
                    <c:v>4.1173663278456479E-2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Summary!$O$11:$R$11</c:f>
              <c:numCache>
                <c:formatCode>0.000</c:formatCode>
                <c:ptCount val="4"/>
                <c:pt idx="0">
                  <c:v>0.40498259623259619</c:v>
                </c:pt>
                <c:pt idx="1">
                  <c:v>0.83064934427434423</c:v>
                </c:pt>
                <c:pt idx="2">
                  <c:v>1.398038988473199</c:v>
                </c:pt>
                <c:pt idx="3">
                  <c:v>1.3921908627171786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Summary!$O$2:$R$2</c15:sqref>
                        </c15:formulaRef>
                      </c:ext>
                    </c:extLst>
                    <c:strCache>
                      <c:ptCount val="4"/>
                      <c:pt idx="0">
                        <c:v>14 days</c:v>
                      </c:pt>
                      <c:pt idx="1">
                        <c:v>23 days</c:v>
                      </c:pt>
                      <c:pt idx="2">
                        <c:v>32 days</c:v>
                      </c:pt>
                      <c:pt idx="3">
                        <c:v>39 days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AE81-4AE0-AD83-D3EBC630CFEE}"/>
            </c:ext>
          </c:extLst>
        </c:ser>
        <c:ser>
          <c:idx val="10"/>
          <c:order val="5"/>
          <c:tx>
            <c:strRef>
              <c:f>Summary!$N$13</c:f>
              <c:strCache>
                <c:ptCount val="1"/>
                <c:pt idx="0">
                  <c:v>T6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Summary!$O$14:$R$14</c:f>
                <c:numCache>
                  <c:formatCode>General</c:formatCode>
                  <c:ptCount val="4"/>
                  <c:pt idx="0">
                    <c:v>1.9906754664288349E-2</c:v>
                  </c:pt>
                  <c:pt idx="1">
                    <c:v>3.7724365664550952E-2</c:v>
                  </c:pt>
                  <c:pt idx="2">
                    <c:v>6.0519323470422735E-2</c:v>
                  </c:pt>
                  <c:pt idx="3">
                    <c:v>5.3954944812983005E-2</c:v>
                  </c:pt>
                </c:numCache>
              </c:numRef>
            </c:plus>
            <c:minus>
              <c:numRef>
                <c:f>Summary!$O$14:$R$14</c:f>
                <c:numCache>
                  <c:formatCode>General</c:formatCode>
                  <c:ptCount val="4"/>
                  <c:pt idx="0">
                    <c:v>1.9906754664288349E-2</c:v>
                  </c:pt>
                  <c:pt idx="1">
                    <c:v>3.7724365664550952E-2</c:v>
                  </c:pt>
                  <c:pt idx="2">
                    <c:v>6.0519323470422735E-2</c:v>
                  </c:pt>
                  <c:pt idx="3">
                    <c:v>5.3954944812983005E-2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Summary!$O$13:$R$13</c:f>
              <c:numCache>
                <c:formatCode>0.000</c:formatCode>
                <c:ptCount val="4"/>
                <c:pt idx="0">
                  <c:v>0.39615430622009579</c:v>
                </c:pt>
                <c:pt idx="1">
                  <c:v>0.83872994111151999</c:v>
                </c:pt>
                <c:pt idx="2">
                  <c:v>1.4084490959490961</c:v>
                </c:pt>
                <c:pt idx="3">
                  <c:v>1.4240151819099189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Summary!$O$2:$R$2</c15:sqref>
                        </c15:formulaRef>
                      </c:ext>
                    </c:extLst>
                    <c:strCache>
                      <c:ptCount val="4"/>
                      <c:pt idx="0">
                        <c:v>14 days</c:v>
                      </c:pt>
                      <c:pt idx="1">
                        <c:v>23 days</c:v>
                      </c:pt>
                      <c:pt idx="2">
                        <c:v>32 days</c:v>
                      </c:pt>
                      <c:pt idx="3">
                        <c:v>39 days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5-AE81-4AE0-AD83-D3EBC630CFEE}"/>
            </c:ext>
          </c:extLst>
        </c:ser>
        <c:ser>
          <c:idx val="12"/>
          <c:order val="6"/>
          <c:tx>
            <c:strRef>
              <c:f>Summary!$N$15</c:f>
              <c:strCache>
                <c:ptCount val="1"/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Summary!$O$16:$R$16</c:f>
                <c:extLst xmlns:c15="http://schemas.microsoft.com/office/drawing/2012/chart"/>
              </c:numRef>
            </c:plus>
            <c:minus>
              <c:numRef>
                <c:f>Summary!$O$16:$R$16</c:f>
                <c:extLst xmlns:c15="http://schemas.microsoft.com/office/drawing/2012/chart"/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Summary!$O$15:$R$15</c:f>
              <c:extLst xmlns:c15="http://schemas.microsoft.com/office/drawing/2012/chart"/>
            </c:numRef>
          </c:val>
          <c:extLst xmlns:c15="http://schemas.microsoft.com/office/drawing/2012/chart"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Summary!$O$2:$R$2</c15:sqref>
                        </c15:formulaRef>
                      </c:ext>
                    </c:extLst>
                    <c:strCache>
                      <c:ptCount val="4"/>
                      <c:pt idx="0">
                        <c:v>14 days</c:v>
                      </c:pt>
                      <c:pt idx="1">
                        <c:v>23 days</c:v>
                      </c:pt>
                      <c:pt idx="2">
                        <c:v>32 days</c:v>
                      </c:pt>
                      <c:pt idx="3">
                        <c:v>39 days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6-AE81-4AE0-AD83-D3EBC630CFEE}"/>
            </c:ext>
          </c:extLst>
        </c:ser>
        <c:ser>
          <c:idx val="14"/>
          <c:order val="7"/>
          <c:tx>
            <c:strRef>
              <c:f>Summary!$N$17</c:f>
              <c:strCache>
                <c:ptCount val="1"/>
              </c:strCache>
              <c:extLst xmlns:c15="http://schemas.microsoft.com/office/drawing/2012/chart"/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errBars>
            <c:errBarType val="plus"/>
            <c:errValType val="cust"/>
            <c:noEndCap val="0"/>
            <c:plus>
              <c:numRef>
                <c:f>Summary!$O$18:$R$18</c:f>
                <c:extLst xmlns:c15="http://schemas.microsoft.com/office/drawing/2012/chart"/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Summary!$O$17:$R$17</c:f>
              <c:extLst xmlns:c15="http://schemas.microsoft.com/office/drawing/2012/chart"/>
            </c:numRef>
          </c:val>
          <c:extLst xmlns:c15="http://schemas.microsoft.com/office/drawing/2012/chart"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Summary!$O$2:$R$2</c15:sqref>
                        </c15:formulaRef>
                      </c:ext>
                    </c:extLst>
                    <c:strCache>
                      <c:ptCount val="4"/>
                      <c:pt idx="0">
                        <c:v>14 days</c:v>
                      </c:pt>
                      <c:pt idx="1">
                        <c:v>23 days</c:v>
                      </c:pt>
                      <c:pt idx="2">
                        <c:v>32 days</c:v>
                      </c:pt>
                      <c:pt idx="3">
                        <c:v>39 days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7-AE81-4AE0-AD83-D3EBC630CF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2074720"/>
        <c:axId val="92083736"/>
        <c:extLst/>
      </c:barChart>
      <c:catAx>
        <c:axId val="92074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083736"/>
        <c:crosses val="autoZero"/>
        <c:auto val="1"/>
        <c:lblAlgn val="ctr"/>
        <c:lblOffset val="100"/>
        <c:noMultiLvlLbl val="0"/>
      </c:catAx>
      <c:valAx>
        <c:axId val="92083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07472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Feed Conversion Ratio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Summary!$T$3</c:f>
              <c:strCache>
                <c:ptCount val="1"/>
                <c:pt idx="0">
                  <c:v>T1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Summary!$U$4:$X$4</c:f>
                <c:numCache>
                  <c:formatCode>General</c:formatCode>
                  <c:ptCount val="4"/>
                  <c:pt idx="0">
                    <c:v>1.8997296078379994E-2</c:v>
                  </c:pt>
                  <c:pt idx="1">
                    <c:v>2.4431571986129476E-2</c:v>
                  </c:pt>
                  <c:pt idx="2">
                    <c:v>3.1835257445119856E-2</c:v>
                  </c:pt>
                  <c:pt idx="3">
                    <c:v>2.3043127667458942E-2</c:v>
                  </c:pt>
                </c:numCache>
              </c:numRef>
            </c:plus>
            <c:minus>
              <c:numRef>
                <c:f>Summary!$U$4:$X$4</c:f>
                <c:numCache>
                  <c:formatCode>General</c:formatCode>
                  <c:ptCount val="4"/>
                  <c:pt idx="0">
                    <c:v>1.8997296078379994E-2</c:v>
                  </c:pt>
                  <c:pt idx="1">
                    <c:v>2.4431571986129476E-2</c:v>
                  </c:pt>
                  <c:pt idx="2">
                    <c:v>3.1835257445119856E-2</c:v>
                  </c:pt>
                  <c:pt idx="3">
                    <c:v>2.3043127667458942E-2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Summary!$U$3:$X$3</c:f>
              <c:numCache>
                <c:formatCode>0.000</c:formatCode>
                <c:ptCount val="4"/>
                <c:pt idx="0">
                  <c:v>1.138436058792015</c:v>
                </c:pt>
                <c:pt idx="1">
                  <c:v>1.2723653898300842</c:v>
                </c:pt>
                <c:pt idx="2">
                  <c:v>1.791379783747127</c:v>
                </c:pt>
                <c:pt idx="3">
                  <c:v>1.7586059473440385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Summary!$U$2:$X$2</c15:sqref>
                        </c15:formulaRef>
                      </c:ext>
                    </c:extLst>
                    <c:strCache>
                      <c:ptCount val="4"/>
                      <c:pt idx="0">
                        <c:v>14 days</c:v>
                      </c:pt>
                      <c:pt idx="1">
                        <c:v>23 days</c:v>
                      </c:pt>
                      <c:pt idx="2">
                        <c:v>32 days</c:v>
                      </c:pt>
                      <c:pt idx="3">
                        <c:v>39 days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244-4A7C-A7F9-AF4D88747A4E}"/>
            </c:ext>
          </c:extLst>
        </c:ser>
        <c:ser>
          <c:idx val="2"/>
          <c:order val="1"/>
          <c:tx>
            <c:strRef>
              <c:f>Summary!$T$5</c:f>
              <c:strCache>
                <c:ptCount val="1"/>
                <c:pt idx="0">
                  <c:v>T2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Summary!$U$6:$X$6</c:f>
                <c:numCache>
                  <c:formatCode>General</c:formatCode>
                  <c:ptCount val="4"/>
                  <c:pt idx="0">
                    <c:v>2.2768006750455937E-2</c:v>
                  </c:pt>
                  <c:pt idx="1">
                    <c:v>2.2806033192635695E-2</c:v>
                  </c:pt>
                  <c:pt idx="2">
                    <c:v>3.5248274781032388E-2</c:v>
                  </c:pt>
                  <c:pt idx="3">
                    <c:v>2.7062554163442769E-2</c:v>
                  </c:pt>
                </c:numCache>
              </c:numRef>
            </c:plus>
            <c:minus>
              <c:numRef>
                <c:f>Summary!$U$6:$X$6</c:f>
                <c:numCache>
                  <c:formatCode>General</c:formatCode>
                  <c:ptCount val="4"/>
                  <c:pt idx="0">
                    <c:v>2.2768006750455937E-2</c:v>
                  </c:pt>
                  <c:pt idx="1">
                    <c:v>2.2806033192635695E-2</c:v>
                  </c:pt>
                  <c:pt idx="2">
                    <c:v>3.5248274781032388E-2</c:v>
                  </c:pt>
                  <c:pt idx="3">
                    <c:v>2.7062554163442769E-2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Summary!$U$5:$X$5</c:f>
              <c:numCache>
                <c:formatCode>0.000</c:formatCode>
                <c:ptCount val="4"/>
                <c:pt idx="0">
                  <c:v>1.1467248349884895</c:v>
                </c:pt>
                <c:pt idx="1">
                  <c:v>1.2780451849640015</c:v>
                </c:pt>
                <c:pt idx="2">
                  <c:v>1.7837140967366367</c:v>
                </c:pt>
                <c:pt idx="3">
                  <c:v>1.749826969288879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Summary!$U$2:$X$2</c15:sqref>
                        </c15:formulaRef>
                      </c:ext>
                    </c:extLst>
                    <c:strCache>
                      <c:ptCount val="4"/>
                      <c:pt idx="0">
                        <c:v>14 days</c:v>
                      </c:pt>
                      <c:pt idx="1">
                        <c:v>23 days</c:v>
                      </c:pt>
                      <c:pt idx="2">
                        <c:v>32 days</c:v>
                      </c:pt>
                      <c:pt idx="3">
                        <c:v>39 days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244-4A7C-A7F9-AF4D88747A4E}"/>
            </c:ext>
          </c:extLst>
        </c:ser>
        <c:ser>
          <c:idx val="4"/>
          <c:order val="2"/>
          <c:tx>
            <c:strRef>
              <c:f>Summary!$T$7</c:f>
              <c:strCache>
                <c:ptCount val="1"/>
                <c:pt idx="0">
                  <c:v>T3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Summary!$U$8:$X$8</c:f>
                <c:numCache>
                  <c:formatCode>General</c:formatCode>
                  <c:ptCount val="4"/>
                  <c:pt idx="0">
                    <c:v>2.9598874580614006E-2</c:v>
                  </c:pt>
                  <c:pt idx="1">
                    <c:v>1.7393636594672936E-2</c:v>
                  </c:pt>
                  <c:pt idx="2">
                    <c:v>2.7022848764426E-2</c:v>
                  </c:pt>
                  <c:pt idx="3">
                    <c:v>1.5991605137089419E-2</c:v>
                  </c:pt>
                </c:numCache>
              </c:numRef>
            </c:plus>
            <c:minus>
              <c:numRef>
                <c:f>Summary!$U$8:$X$8</c:f>
                <c:numCache>
                  <c:formatCode>General</c:formatCode>
                  <c:ptCount val="4"/>
                  <c:pt idx="0">
                    <c:v>2.9598874580614006E-2</c:v>
                  </c:pt>
                  <c:pt idx="1">
                    <c:v>1.7393636594672936E-2</c:v>
                  </c:pt>
                  <c:pt idx="2">
                    <c:v>2.7022848764426E-2</c:v>
                  </c:pt>
                  <c:pt idx="3">
                    <c:v>1.5991605137089419E-2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Summary!$U$7:$X$7</c:f>
              <c:numCache>
                <c:formatCode>0.000</c:formatCode>
                <c:ptCount val="4"/>
                <c:pt idx="0">
                  <c:v>1.1404130278350424</c:v>
                </c:pt>
                <c:pt idx="1">
                  <c:v>1.2778342630542663</c:v>
                </c:pt>
                <c:pt idx="2">
                  <c:v>1.7970580204156257</c:v>
                </c:pt>
                <c:pt idx="3">
                  <c:v>1.7478586159346856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Summary!$U$2:$X$2</c15:sqref>
                        </c15:formulaRef>
                      </c:ext>
                    </c:extLst>
                    <c:strCache>
                      <c:ptCount val="4"/>
                      <c:pt idx="0">
                        <c:v>14 days</c:v>
                      </c:pt>
                      <c:pt idx="1">
                        <c:v>23 days</c:v>
                      </c:pt>
                      <c:pt idx="2">
                        <c:v>32 days</c:v>
                      </c:pt>
                      <c:pt idx="3">
                        <c:v>39 days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8244-4A7C-A7F9-AF4D88747A4E}"/>
            </c:ext>
          </c:extLst>
        </c:ser>
        <c:ser>
          <c:idx val="6"/>
          <c:order val="3"/>
          <c:tx>
            <c:strRef>
              <c:f>Summary!$T$9</c:f>
              <c:strCache>
                <c:ptCount val="1"/>
                <c:pt idx="0">
                  <c:v>T4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Summary!$U$10:$X$10</c:f>
                <c:numCache>
                  <c:formatCode>General</c:formatCode>
                  <c:ptCount val="4"/>
                  <c:pt idx="0">
                    <c:v>2.5327358751437913E-2</c:v>
                  </c:pt>
                  <c:pt idx="1">
                    <c:v>1.711139943475402E-2</c:v>
                  </c:pt>
                  <c:pt idx="2">
                    <c:v>4.463962926770261E-2</c:v>
                  </c:pt>
                  <c:pt idx="3">
                    <c:v>3.11597248815642E-2</c:v>
                  </c:pt>
                </c:numCache>
              </c:numRef>
            </c:plus>
            <c:minus>
              <c:numRef>
                <c:f>Summary!$U$10:$X$10</c:f>
                <c:numCache>
                  <c:formatCode>General</c:formatCode>
                  <c:ptCount val="4"/>
                  <c:pt idx="0">
                    <c:v>2.5327358751437913E-2</c:v>
                  </c:pt>
                  <c:pt idx="1">
                    <c:v>1.711139943475402E-2</c:v>
                  </c:pt>
                  <c:pt idx="2">
                    <c:v>4.463962926770261E-2</c:v>
                  </c:pt>
                  <c:pt idx="3">
                    <c:v>3.11597248815642E-2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Summary!$U$9:$X$9</c:f>
              <c:numCache>
                <c:formatCode>0.000</c:formatCode>
                <c:ptCount val="4"/>
                <c:pt idx="0">
                  <c:v>1.1474765419179798</c:v>
                </c:pt>
                <c:pt idx="1">
                  <c:v>1.2809433939814312</c:v>
                </c:pt>
                <c:pt idx="2">
                  <c:v>1.8186110950479895</c:v>
                </c:pt>
                <c:pt idx="3">
                  <c:v>1.7747679487818631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Summary!$U$2:$X$2</c15:sqref>
                        </c15:formulaRef>
                      </c:ext>
                    </c:extLst>
                    <c:strCache>
                      <c:ptCount val="4"/>
                      <c:pt idx="0">
                        <c:v>14 days</c:v>
                      </c:pt>
                      <c:pt idx="1">
                        <c:v>23 days</c:v>
                      </c:pt>
                      <c:pt idx="2">
                        <c:v>32 days</c:v>
                      </c:pt>
                      <c:pt idx="3">
                        <c:v>39 days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8244-4A7C-A7F9-AF4D88747A4E}"/>
            </c:ext>
          </c:extLst>
        </c:ser>
        <c:ser>
          <c:idx val="8"/>
          <c:order val="4"/>
          <c:tx>
            <c:strRef>
              <c:f>Summary!$T$11</c:f>
              <c:strCache>
                <c:ptCount val="1"/>
                <c:pt idx="0">
                  <c:v>T5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Summary!$U$12:$X$12</c:f>
                <c:numCache>
                  <c:formatCode>General</c:formatCode>
                  <c:ptCount val="4"/>
                  <c:pt idx="0">
                    <c:v>2.8070060897280921E-2</c:v>
                  </c:pt>
                  <c:pt idx="1">
                    <c:v>1.8147042381371877E-2</c:v>
                  </c:pt>
                  <c:pt idx="2">
                    <c:v>3.4348888679753602E-2</c:v>
                  </c:pt>
                  <c:pt idx="3">
                    <c:v>2.3989711277022849E-2</c:v>
                  </c:pt>
                </c:numCache>
              </c:numRef>
            </c:plus>
            <c:minus>
              <c:numRef>
                <c:f>Summary!$U$12:$X$12</c:f>
                <c:numCache>
                  <c:formatCode>General</c:formatCode>
                  <c:ptCount val="4"/>
                  <c:pt idx="0">
                    <c:v>2.8070060897280921E-2</c:v>
                  </c:pt>
                  <c:pt idx="1">
                    <c:v>1.8147042381371877E-2</c:v>
                  </c:pt>
                  <c:pt idx="2">
                    <c:v>3.4348888679753602E-2</c:v>
                  </c:pt>
                  <c:pt idx="3">
                    <c:v>2.3989711277022849E-2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Summary!$U$11:$X$11</c:f>
              <c:numCache>
                <c:formatCode>0.000</c:formatCode>
                <c:ptCount val="4"/>
                <c:pt idx="0">
                  <c:v>1.1302547107422707</c:v>
                </c:pt>
                <c:pt idx="1">
                  <c:v>1.2725125752921711</c:v>
                </c:pt>
                <c:pt idx="2">
                  <c:v>1.8049763425762164</c:v>
                </c:pt>
                <c:pt idx="3">
                  <c:v>1.7591574027066814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Summary!$U$2:$X$2</c15:sqref>
                        </c15:formulaRef>
                      </c:ext>
                    </c:extLst>
                    <c:strCache>
                      <c:ptCount val="4"/>
                      <c:pt idx="0">
                        <c:v>14 days</c:v>
                      </c:pt>
                      <c:pt idx="1">
                        <c:v>23 days</c:v>
                      </c:pt>
                      <c:pt idx="2">
                        <c:v>32 days</c:v>
                      </c:pt>
                      <c:pt idx="3">
                        <c:v>39 days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8244-4A7C-A7F9-AF4D88747A4E}"/>
            </c:ext>
          </c:extLst>
        </c:ser>
        <c:ser>
          <c:idx val="10"/>
          <c:order val="5"/>
          <c:tx>
            <c:strRef>
              <c:f>Summary!$T$13</c:f>
              <c:strCache>
                <c:ptCount val="1"/>
                <c:pt idx="0">
                  <c:v>T6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Summary!$U$14:$X$14</c:f>
                <c:numCache>
                  <c:formatCode>General</c:formatCode>
                  <c:ptCount val="4"/>
                  <c:pt idx="0">
                    <c:v>1.5414079906616154E-2</c:v>
                  </c:pt>
                  <c:pt idx="1">
                    <c:v>2.6652014715895234E-2</c:v>
                  </c:pt>
                  <c:pt idx="2">
                    <c:v>2.0376494512333535E-2</c:v>
                  </c:pt>
                  <c:pt idx="3">
                    <c:v>2.3243416664527939E-2</c:v>
                  </c:pt>
                </c:numCache>
              </c:numRef>
            </c:plus>
            <c:minus>
              <c:numRef>
                <c:f>Summary!$U$14:$X$14</c:f>
                <c:numCache>
                  <c:formatCode>General</c:formatCode>
                  <c:ptCount val="4"/>
                  <c:pt idx="0">
                    <c:v>1.5414079906616154E-2</c:v>
                  </c:pt>
                  <c:pt idx="1">
                    <c:v>2.6652014715895234E-2</c:v>
                  </c:pt>
                  <c:pt idx="2">
                    <c:v>2.0376494512333535E-2</c:v>
                  </c:pt>
                  <c:pt idx="3">
                    <c:v>2.3243416664527939E-2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Summary!$U$13:$X$13</c:f>
              <c:numCache>
                <c:formatCode>0.000</c:formatCode>
                <c:ptCount val="4"/>
                <c:pt idx="0">
                  <c:v>1.1339164088807392</c:v>
                </c:pt>
                <c:pt idx="1">
                  <c:v>1.2739308927848343</c:v>
                </c:pt>
                <c:pt idx="2">
                  <c:v>1.7912721743634483</c:v>
                </c:pt>
                <c:pt idx="3">
                  <c:v>1.7463125237525192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Summary!$U$2:$X$2</c15:sqref>
                        </c15:formulaRef>
                      </c:ext>
                    </c:extLst>
                    <c:strCache>
                      <c:ptCount val="4"/>
                      <c:pt idx="0">
                        <c:v>14 days</c:v>
                      </c:pt>
                      <c:pt idx="1">
                        <c:v>23 days</c:v>
                      </c:pt>
                      <c:pt idx="2">
                        <c:v>32 days</c:v>
                      </c:pt>
                      <c:pt idx="3">
                        <c:v>39 days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5-8244-4A7C-A7F9-AF4D88747A4E}"/>
            </c:ext>
          </c:extLst>
        </c:ser>
        <c:ser>
          <c:idx val="12"/>
          <c:order val="6"/>
          <c:tx>
            <c:strRef>
              <c:f>Summary!$T$15</c:f>
              <c:strCache>
                <c:ptCount val="1"/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Summary!$U$16:$X$16</c:f>
                <c:extLst xmlns:c15="http://schemas.microsoft.com/office/drawing/2012/chart"/>
              </c:numRef>
            </c:plus>
            <c:minus>
              <c:numRef>
                <c:f>Summary!$U$16:$X$16</c:f>
                <c:extLst xmlns:c15="http://schemas.microsoft.com/office/drawing/2012/chart"/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Summary!$U$15:$X$15</c:f>
              <c:extLst xmlns:c15="http://schemas.microsoft.com/office/drawing/2012/chart"/>
            </c:numRef>
          </c:val>
          <c:extLst xmlns:c15="http://schemas.microsoft.com/office/drawing/2012/chart"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Summary!$U$2:$X$2</c15:sqref>
                        </c15:formulaRef>
                      </c:ext>
                    </c:extLst>
                    <c:strCache>
                      <c:ptCount val="4"/>
                      <c:pt idx="0">
                        <c:v>14 days</c:v>
                      </c:pt>
                      <c:pt idx="1">
                        <c:v>23 days</c:v>
                      </c:pt>
                      <c:pt idx="2">
                        <c:v>32 days</c:v>
                      </c:pt>
                      <c:pt idx="3">
                        <c:v>39 days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6-8244-4A7C-A7F9-AF4D88747A4E}"/>
            </c:ext>
          </c:extLst>
        </c:ser>
        <c:ser>
          <c:idx val="14"/>
          <c:order val="7"/>
          <c:tx>
            <c:strRef>
              <c:f>Summary!$T$17</c:f>
              <c:strCache>
                <c:ptCount val="1"/>
              </c:strCache>
              <c:extLst xmlns:c15="http://schemas.microsoft.com/office/drawing/2012/chart"/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errBars>
            <c:errBarType val="plus"/>
            <c:errValType val="cust"/>
            <c:noEndCap val="0"/>
            <c:plus>
              <c:numRef>
                <c:f>Summary!$U$18:$X$18</c:f>
                <c:extLst xmlns:c15="http://schemas.microsoft.com/office/drawing/2012/chart"/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Summary!$U$17:$X$17</c:f>
              <c:extLst xmlns:c15="http://schemas.microsoft.com/office/drawing/2012/chart"/>
            </c:numRef>
          </c:val>
          <c:extLst xmlns:c15="http://schemas.microsoft.com/office/drawing/2012/chart"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Summary!$U$2:$X$2</c15:sqref>
                        </c15:formulaRef>
                      </c:ext>
                    </c:extLst>
                    <c:strCache>
                      <c:ptCount val="4"/>
                      <c:pt idx="0">
                        <c:v>14 days</c:v>
                      </c:pt>
                      <c:pt idx="1">
                        <c:v>23 days</c:v>
                      </c:pt>
                      <c:pt idx="2">
                        <c:v>32 days</c:v>
                      </c:pt>
                      <c:pt idx="3">
                        <c:v>39 days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7-8244-4A7C-A7F9-AF4D88747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2074328"/>
        <c:axId val="92077464"/>
        <c:extLst/>
      </c:barChart>
      <c:catAx>
        <c:axId val="92074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077464"/>
        <c:crosses val="autoZero"/>
        <c:auto val="1"/>
        <c:lblAlgn val="ctr"/>
        <c:lblOffset val="100"/>
        <c:noMultiLvlLbl val="0"/>
      </c:catAx>
      <c:valAx>
        <c:axId val="92077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0743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Body Weight Gain</a:t>
            </a:r>
            <a:r>
              <a:rPr lang="pt-BR" baseline="0"/>
              <a:t> (Kg)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Summary!$H$3</c:f>
              <c:strCache>
                <c:ptCount val="1"/>
                <c:pt idx="0">
                  <c:v>T1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Summary!$I$4:$L$4</c:f>
                <c:numCache>
                  <c:formatCode>General</c:formatCode>
                  <c:ptCount val="4"/>
                  <c:pt idx="0">
                    <c:v>1.3558886393724013E-2</c:v>
                  </c:pt>
                  <c:pt idx="1">
                    <c:v>2.7260508239430443E-2</c:v>
                  </c:pt>
                  <c:pt idx="2">
                    <c:v>3.8867392067994132E-2</c:v>
                  </c:pt>
                  <c:pt idx="3">
                    <c:v>3.2198353253633016E-2</c:v>
                  </c:pt>
                </c:numCache>
              </c:numRef>
            </c:plus>
            <c:minus>
              <c:numRef>
                <c:f>Summary!$I$4:$L$4</c:f>
                <c:numCache>
                  <c:formatCode>General</c:formatCode>
                  <c:ptCount val="4"/>
                  <c:pt idx="0">
                    <c:v>1.3558886393724013E-2</c:v>
                  </c:pt>
                  <c:pt idx="1">
                    <c:v>2.7260508239430443E-2</c:v>
                  </c:pt>
                  <c:pt idx="2">
                    <c:v>3.8867392067994132E-2</c:v>
                  </c:pt>
                  <c:pt idx="3">
                    <c:v>3.2198353253633016E-2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Summary!$I$3:$L$3</c:f>
              <c:numCache>
                <c:formatCode>0.000</c:formatCode>
                <c:ptCount val="4"/>
                <c:pt idx="0">
                  <c:v>0.31372019690835484</c:v>
                </c:pt>
                <c:pt idx="1">
                  <c:v>0.61950904796957429</c:v>
                </c:pt>
                <c:pt idx="2">
                  <c:v>0.49232579594421683</c:v>
                </c:pt>
                <c:pt idx="3">
                  <c:v>0.82690989743621335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Summary!$I$2:$L$2</c15:sqref>
                        </c15:formulaRef>
                      </c:ext>
                    </c:extLst>
                    <c:strCache>
                      <c:ptCount val="4"/>
                      <c:pt idx="0">
                        <c:v>14 days</c:v>
                      </c:pt>
                      <c:pt idx="1">
                        <c:v>23 days</c:v>
                      </c:pt>
                      <c:pt idx="2">
                        <c:v>32 days</c:v>
                      </c:pt>
                      <c:pt idx="3">
                        <c:v>39 days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66A5-48A1-A846-D9F59C5E48EC}"/>
            </c:ext>
          </c:extLst>
        </c:ser>
        <c:ser>
          <c:idx val="2"/>
          <c:order val="1"/>
          <c:tx>
            <c:strRef>
              <c:f>Summary!$H$5</c:f>
              <c:strCache>
                <c:ptCount val="1"/>
                <c:pt idx="0">
                  <c:v>T2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Summary!$I$6:$L$6</c:f>
                <c:numCache>
                  <c:formatCode>General</c:formatCode>
                  <c:ptCount val="4"/>
                  <c:pt idx="0">
                    <c:v>1.7236279525330335E-2</c:v>
                  </c:pt>
                  <c:pt idx="1">
                    <c:v>3.669237698014513E-2</c:v>
                  </c:pt>
                  <c:pt idx="2">
                    <c:v>5.186336882686856E-2</c:v>
                  </c:pt>
                  <c:pt idx="3">
                    <c:v>4.1492214775774923E-2</c:v>
                  </c:pt>
                </c:numCache>
              </c:numRef>
            </c:plus>
            <c:minus>
              <c:numRef>
                <c:f>Summary!$I$6:$L$6</c:f>
                <c:numCache>
                  <c:formatCode>General</c:formatCode>
                  <c:ptCount val="4"/>
                  <c:pt idx="0">
                    <c:v>1.7236279525330335E-2</c:v>
                  </c:pt>
                  <c:pt idx="1">
                    <c:v>3.669237698014513E-2</c:v>
                  </c:pt>
                  <c:pt idx="2">
                    <c:v>5.186336882686856E-2</c:v>
                  </c:pt>
                  <c:pt idx="3">
                    <c:v>4.1492214775774923E-2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Summary!$I$5:$L$5</c:f>
              <c:numCache>
                <c:formatCode>0.000</c:formatCode>
                <c:ptCount val="4"/>
                <c:pt idx="0">
                  <c:v>0.31120947835947838</c:v>
                </c:pt>
                <c:pt idx="1">
                  <c:v>0.59887571662571659</c:v>
                </c:pt>
                <c:pt idx="2">
                  <c:v>0.50310743804164859</c:v>
                </c:pt>
                <c:pt idx="3">
                  <c:v>0.82341430048860387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Summary!$I$2:$L$2</c15:sqref>
                        </c15:formulaRef>
                      </c:ext>
                    </c:extLst>
                    <c:strCache>
                      <c:ptCount val="4"/>
                      <c:pt idx="0">
                        <c:v>14 days</c:v>
                      </c:pt>
                      <c:pt idx="1">
                        <c:v>23 days</c:v>
                      </c:pt>
                      <c:pt idx="2">
                        <c:v>32 days</c:v>
                      </c:pt>
                      <c:pt idx="3">
                        <c:v>39 days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66A5-48A1-A846-D9F59C5E48EC}"/>
            </c:ext>
          </c:extLst>
        </c:ser>
        <c:ser>
          <c:idx val="4"/>
          <c:order val="2"/>
          <c:tx>
            <c:strRef>
              <c:f>Summary!$H$7</c:f>
              <c:strCache>
                <c:ptCount val="1"/>
                <c:pt idx="0">
                  <c:v>T3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Summary!$I$8:$L$8</c:f>
                <c:numCache>
                  <c:formatCode>General</c:formatCode>
                  <c:ptCount val="4"/>
                  <c:pt idx="0">
                    <c:v>1.2864470550052286E-2</c:v>
                  </c:pt>
                  <c:pt idx="1">
                    <c:v>2.6347353296224313E-2</c:v>
                  </c:pt>
                  <c:pt idx="2">
                    <c:v>3.5295932743135194E-2</c:v>
                  </c:pt>
                  <c:pt idx="3">
                    <c:v>2.5242751594622408E-2</c:v>
                  </c:pt>
                </c:numCache>
              </c:numRef>
            </c:plus>
            <c:minus>
              <c:numRef>
                <c:f>Summary!$I$8:$L$8</c:f>
                <c:numCache>
                  <c:formatCode>General</c:formatCode>
                  <c:ptCount val="4"/>
                  <c:pt idx="0">
                    <c:v>1.2864470550052286E-2</c:v>
                  </c:pt>
                  <c:pt idx="1">
                    <c:v>2.6347353296224313E-2</c:v>
                  </c:pt>
                  <c:pt idx="2">
                    <c:v>3.5295932743135194E-2</c:v>
                  </c:pt>
                  <c:pt idx="3">
                    <c:v>2.5242751594622408E-2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Summary!$I$7:$L$7</c:f>
              <c:numCache>
                <c:formatCode>0.000</c:formatCode>
                <c:ptCount val="4"/>
                <c:pt idx="0">
                  <c:v>0.30329181082075823</c:v>
                </c:pt>
                <c:pt idx="1">
                  <c:v>0.60783238433393239</c:v>
                </c:pt>
                <c:pt idx="2">
                  <c:v>0.49427055996328434</c:v>
                </c:pt>
                <c:pt idx="3">
                  <c:v>0.84388888807619467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Summary!$I$2:$L$2</c15:sqref>
                        </c15:formulaRef>
                      </c:ext>
                    </c:extLst>
                    <c:strCache>
                      <c:ptCount val="4"/>
                      <c:pt idx="0">
                        <c:v>14 days</c:v>
                      </c:pt>
                      <c:pt idx="1">
                        <c:v>23 days</c:v>
                      </c:pt>
                      <c:pt idx="2">
                        <c:v>32 days</c:v>
                      </c:pt>
                      <c:pt idx="3">
                        <c:v>39 days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66A5-48A1-A846-D9F59C5E48EC}"/>
            </c:ext>
          </c:extLst>
        </c:ser>
        <c:ser>
          <c:idx val="6"/>
          <c:order val="3"/>
          <c:tx>
            <c:strRef>
              <c:f>Summary!$H$9</c:f>
              <c:strCache>
                <c:ptCount val="1"/>
                <c:pt idx="0">
                  <c:v>T4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Summary!$I$10:$L$10</c:f>
                <c:numCache>
                  <c:formatCode>General</c:formatCode>
                  <c:ptCount val="4"/>
                  <c:pt idx="0">
                    <c:v>1.7068387251369176E-2</c:v>
                  </c:pt>
                  <c:pt idx="1">
                    <c:v>1.8237512284656251E-2</c:v>
                  </c:pt>
                  <c:pt idx="2">
                    <c:v>4.1795942944111424E-2</c:v>
                  </c:pt>
                  <c:pt idx="3">
                    <c:v>4.2690296897251991E-2</c:v>
                  </c:pt>
                </c:numCache>
              </c:numRef>
            </c:plus>
            <c:minus>
              <c:numRef>
                <c:f>Summary!$I$10:$L$10</c:f>
                <c:numCache>
                  <c:formatCode>General</c:formatCode>
                  <c:ptCount val="4"/>
                  <c:pt idx="0">
                    <c:v>1.7068387251369176E-2</c:v>
                  </c:pt>
                  <c:pt idx="1">
                    <c:v>1.8237512284656251E-2</c:v>
                  </c:pt>
                  <c:pt idx="2">
                    <c:v>4.1795942944111424E-2</c:v>
                  </c:pt>
                  <c:pt idx="3">
                    <c:v>4.2690296897251991E-2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Summary!$I$9:$L$9</c:f>
              <c:numCache>
                <c:formatCode>0.000</c:formatCode>
                <c:ptCount val="4"/>
                <c:pt idx="0">
                  <c:v>0.30708930118009065</c:v>
                </c:pt>
                <c:pt idx="1">
                  <c:v>0.61892445546392916</c:v>
                </c:pt>
                <c:pt idx="2">
                  <c:v>0.47276997323049952</c:v>
                </c:pt>
                <c:pt idx="3">
                  <c:v>0.82093297152507672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Summary!$I$2:$L$2</c15:sqref>
                        </c15:formulaRef>
                      </c:ext>
                    </c:extLst>
                    <c:strCache>
                      <c:ptCount val="4"/>
                      <c:pt idx="0">
                        <c:v>14 days</c:v>
                      </c:pt>
                      <c:pt idx="1">
                        <c:v>23 days</c:v>
                      </c:pt>
                      <c:pt idx="2">
                        <c:v>32 days</c:v>
                      </c:pt>
                      <c:pt idx="3">
                        <c:v>39 days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66A5-48A1-A846-D9F59C5E48EC}"/>
            </c:ext>
          </c:extLst>
        </c:ser>
        <c:ser>
          <c:idx val="8"/>
          <c:order val="4"/>
          <c:tx>
            <c:strRef>
              <c:f>Summary!$H$11</c:f>
              <c:strCache>
                <c:ptCount val="1"/>
                <c:pt idx="0">
                  <c:v>T5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Summary!$I$12:$L$12</c:f>
                <c:numCache>
                  <c:formatCode>General</c:formatCode>
                  <c:ptCount val="4"/>
                  <c:pt idx="0">
                    <c:v>8.7564104860836899E-3</c:v>
                  </c:pt>
                  <c:pt idx="1">
                    <c:v>2.9114602641784122E-2</c:v>
                  </c:pt>
                  <c:pt idx="2">
                    <c:v>3.4824892805550671E-2</c:v>
                  </c:pt>
                  <c:pt idx="3">
                    <c:v>4.4121017352313809E-2</c:v>
                  </c:pt>
                </c:numCache>
              </c:numRef>
            </c:plus>
            <c:minus>
              <c:numRef>
                <c:f>Summary!$I$12:$L$12</c:f>
                <c:numCache>
                  <c:formatCode>General</c:formatCode>
                  <c:ptCount val="4"/>
                  <c:pt idx="0">
                    <c:v>8.7564104860836899E-3</c:v>
                  </c:pt>
                  <c:pt idx="1">
                    <c:v>2.9114602641784122E-2</c:v>
                  </c:pt>
                  <c:pt idx="2">
                    <c:v>3.4824892805550671E-2</c:v>
                  </c:pt>
                  <c:pt idx="3">
                    <c:v>4.4121017352313809E-2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Summary!$I$11:$L$11</c:f>
              <c:numCache>
                <c:formatCode>0.000</c:formatCode>
                <c:ptCount val="4"/>
                <c:pt idx="0">
                  <c:v>0.30817341239841239</c:v>
                </c:pt>
                <c:pt idx="1">
                  <c:v>0.61149951174951178</c:v>
                </c:pt>
                <c:pt idx="2">
                  <c:v>0.48112890586574797</c:v>
                </c:pt>
                <c:pt idx="3">
                  <c:v>0.81714376385429044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Summary!$I$2:$L$2</c15:sqref>
                        </c15:formulaRef>
                      </c:ext>
                    </c:extLst>
                    <c:strCache>
                      <c:ptCount val="4"/>
                      <c:pt idx="0">
                        <c:v>14 days</c:v>
                      </c:pt>
                      <c:pt idx="1">
                        <c:v>23 days</c:v>
                      </c:pt>
                      <c:pt idx="2">
                        <c:v>32 days</c:v>
                      </c:pt>
                      <c:pt idx="3">
                        <c:v>39 days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66A5-48A1-A846-D9F59C5E48EC}"/>
            </c:ext>
          </c:extLst>
        </c:ser>
        <c:ser>
          <c:idx val="10"/>
          <c:order val="5"/>
          <c:tx>
            <c:strRef>
              <c:f>Summary!$H$13</c:f>
              <c:strCache>
                <c:ptCount val="1"/>
                <c:pt idx="0">
                  <c:v>T6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Summary!$I$14:$L$14</c:f>
                <c:numCache>
                  <c:formatCode>General</c:formatCode>
                  <c:ptCount val="4"/>
                  <c:pt idx="0">
                    <c:v>1.5412532768201939E-2</c:v>
                  </c:pt>
                  <c:pt idx="1">
                    <c:v>3.3720675852339364E-2</c:v>
                  </c:pt>
                  <c:pt idx="2">
                    <c:v>4.0484088706363053E-2</c:v>
                  </c:pt>
                  <c:pt idx="3">
                    <c:v>3.9386727978411119E-2</c:v>
                  </c:pt>
                </c:numCache>
              </c:numRef>
            </c:plus>
            <c:minus>
              <c:numRef>
                <c:f>Summary!$I$14:$L$14</c:f>
                <c:numCache>
                  <c:formatCode>General</c:formatCode>
                  <c:ptCount val="4"/>
                  <c:pt idx="0">
                    <c:v>1.5412532768201939E-2</c:v>
                  </c:pt>
                  <c:pt idx="1">
                    <c:v>3.3720675852339364E-2</c:v>
                  </c:pt>
                  <c:pt idx="2">
                    <c:v>4.0484088706363053E-2</c:v>
                  </c:pt>
                  <c:pt idx="3">
                    <c:v>3.9386727978411119E-2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Summary!$I$13:$L$13</c:f>
              <c:numCache>
                <c:formatCode>0.000</c:formatCode>
                <c:ptCount val="4"/>
                <c:pt idx="0">
                  <c:v>0.30279928229665071</c:v>
                </c:pt>
                <c:pt idx="1">
                  <c:v>0.6190947123052386</c:v>
                </c:pt>
                <c:pt idx="2">
                  <c:v>0.49718562968562968</c:v>
                </c:pt>
                <c:pt idx="3">
                  <c:v>0.8410225987857568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Summary!$I$2:$L$2</c15:sqref>
                        </c15:formulaRef>
                      </c:ext>
                    </c:extLst>
                    <c:strCache>
                      <c:ptCount val="4"/>
                      <c:pt idx="0">
                        <c:v>14 days</c:v>
                      </c:pt>
                      <c:pt idx="1">
                        <c:v>23 days</c:v>
                      </c:pt>
                      <c:pt idx="2">
                        <c:v>32 days</c:v>
                      </c:pt>
                      <c:pt idx="3">
                        <c:v>39 days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5-66A5-48A1-A846-D9F59C5E48EC}"/>
            </c:ext>
          </c:extLst>
        </c:ser>
        <c:ser>
          <c:idx val="12"/>
          <c:order val="6"/>
          <c:tx>
            <c:strRef>
              <c:f>Summary!$H$15</c:f>
              <c:strCache>
                <c:ptCount val="1"/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Summary!$I$16:$L$16</c:f>
              </c:numRef>
            </c:plus>
            <c:minus>
              <c:numRef>
                <c:f>Summary!$I$16:$L$16</c:f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Summary!$I$15:$L$15</c:f>
              <c:extLst xmlns:c15="http://schemas.microsoft.com/office/drawing/2012/chart"/>
            </c:numRef>
          </c:val>
          <c:extLst xmlns:c15="http://schemas.microsoft.com/office/drawing/2012/chart"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Summary!$I$2:$L$2</c15:sqref>
                        </c15:formulaRef>
                      </c:ext>
                    </c:extLst>
                    <c:strCache>
                      <c:ptCount val="4"/>
                      <c:pt idx="0">
                        <c:v>14 days</c:v>
                      </c:pt>
                      <c:pt idx="1">
                        <c:v>23 days</c:v>
                      </c:pt>
                      <c:pt idx="2">
                        <c:v>32 days</c:v>
                      </c:pt>
                      <c:pt idx="3">
                        <c:v>39 days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6-66A5-48A1-A846-D9F59C5E48EC}"/>
            </c:ext>
          </c:extLst>
        </c:ser>
        <c:ser>
          <c:idx val="14"/>
          <c:order val="7"/>
          <c:tx>
            <c:strRef>
              <c:f>Summary!$H$17</c:f>
              <c:strCache>
                <c:ptCount val="1"/>
              </c:strCache>
              <c:extLst xmlns:c15="http://schemas.microsoft.com/office/drawing/2012/chart"/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errBars>
            <c:errBarType val="plus"/>
            <c:errValType val="cust"/>
            <c:noEndCap val="0"/>
            <c:plus>
              <c:numRef>
                <c:f>Summary!$I$18:$L$18</c:f>
                <c:extLst xmlns:c15="http://schemas.microsoft.com/office/drawing/2012/chart"/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Summary!$I$17:$L$17</c:f>
              <c:extLst xmlns:c15="http://schemas.microsoft.com/office/drawing/2012/chart"/>
            </c:numRef>
          </c:val>
          <c:extLst xmlns:c15="http://schemas.microsoft.com/office/drawing/2012/chart"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Summary!$I$2:$L$2</c15:sqref>
                        </c15:formulaRef>
                      </c:ext>
                    </c:extLst>
                    <c:strCache>
                      <c:ptCount val="4"/>
                      <c:pt idx="0">
                        <c:v>14 days</c:v>
                      </c:pt>
                      <c:pt idx="1">
                        <c:v>23 days</c:v>
                      </c:pt>
                      <c:pt idx="2">
                        <c:v>32 days</c:v>
                      </c:pt>
                      <c:pt idx="3">
                        <c:v>39 days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7-66A5-48A1-A846-D9F59C5E4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2075896"/>
        <c:axId val="92085696"/>
        <c:extLst/>
      </c:barChart>
      <c:catAx>
        <c:axId val="92075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085696"/>
        <c:crosses val="autoZero"/>
        <c:auto val="1"/>
        <c:lblAlgn val="ctr"/>
        <c:lblOffset val="100"/>
        <c:noMultiLvlLbl val="0"/>
      </c:catAx>
      <c:valAx>
        <c:axId val="9208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07589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Body Weight (Kg)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Summary!$A$3</c:f>
              <c:strCache>
                <c:ptCount val="1"/>
                <c:pt idx="0">
                  <c:v>T1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Summary!$B$4:$F$4</c:f>
                <c:numCache>
                  <c:formatCode>General</c:formatCode>
                  <c:ptCount val="5"/>
                  <c:pt idx="0">
                    <c:v>2.3088269355198263E-4</c:v>
                  </c:pt>
                  <c:pt idx="1">
                    <c:v>1.3532244076068652E-2</c:v>
                  </c:pt>
                  <c:pt idx="2">
                    <c:v>3.9000590866663201E-2</c:v>
                  </c:pt>
                  <c:pt idx="3">
                    <c:v>6.3753422981905533E-2</c:v>
                  </c:pt>
                  <c:pt idx="4">
                    <c:v>8.5759765636406471E-2</c:v>
                  </c:pt>
                </c:numCache>
              </c:numRef>
            </c:plus>
            <c:minus>
              <c:numRef>
                <c:f>Summary!$B$4:$F$4</c:f>
                <c:numCache>
                  <c:formatCode>General</c:formatCode>
                  <c:ptCount val="5"/>
                  <c:pt idx="0">
                    <c:v>2.3088269355198263E-4</c:v>
                  </c:pt>
                  <c:pt idx="1">
                    <c:v>1.3532244076068652E-2</c:v>
                  </c:pt>
                  <c:pt idx="2">
                    <c:v>3.9000590866663201E-2</c:v>
                  </c:pt>
                  <c:pt idx="3">
                    <c:v>6.3753422981905533E-2</c:v>
                  </c:pt>
                  <c:pt idx="4">
                    <c:v>8.5759765636406471E-2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Summary!$B$2:$F$2</c:f>
              <c:strCache>
                <c:ptCount val="5"/>
                <c:pt idx="0">
                  <c:v>1 day</c:v>
                </c:pt>
                <c:pt idx="1">
                  <c:v>14 days</c:v>
                </c:pt>
                <c:pt idx="2">
                  <c:v>23 days</c:v>
                </c:pt>
                <c:pt idx="3">
                  <c:v>32 days</c:v>
                </c:pt>
                <c:pt idx="4">
                  <c:v>39 days</c:v>
                </c:pt>
              </c:strCache>
            </c:strRef>
          </c:cat>
          <c:val>
            <c:numRef>
              <c:f>Summary!$B$3:$F$3</c:f>
              <c:numCache>
                <c:formatCode>0.000</c:formatCode>
                <c:ptCount val="5"/>
                <c:pt idx="0">
                  <c:v>4.5697727272727272E-2</c:v>
                </c:pt>
                <c:pt idx="1">
                  <c:v>0.35941792418108204</c:v>
                </c:pt>
                <c:pt idx="2">
                  <c:v>0.97892697215065638</c:v>
                </c:pt>
                <c:pt idx="3">
                  <c:v>1.4712527680948733</c:v>
                </c:pt>
                <c:pt idx="4">
                  <c:v>2.2981626655310863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81-4F6E-A3C7-1C1FD5106A85}"/>
            </c:ext>
          </c:extLst>
        </c:ser>
        <c:ser>
          <c:idx val="1"/>
          <c:order val="1"/>
          <c:tx>
            <c:strRef>
              <c:f>Summary!$A$5</c:f>
              <c:strCache>
                <c:ptCount val="1"/>
                <c:pt idx="0">
                  <c:v>T2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Summary!$B$6:$F$6</c:f>
                <c:numCache>
                  <c:formatCode>General</c:formatCode>
                  <c:ptCount val="5"/>
                  <c:pt idx="0">
                    <c:v>1.5922397032882042E-4</c:v>
                  </c:pt>
                  <c:pt idx="1">
                    <c:v>1.7242836490997501E-2</c:v>
                  </c:pt>
                  <c:pt idx="2">
                    <c:v>4.9369475964709808E-2</c:v>
                  </c:pt>
                  <c:pt idx="3">
                    <c:v>6.7971340475540487E-2</c:v>
                  </c:pt>
                  <c:pt idx="4">
                    <c:v>8.8281823265193335E-2</c:v>
                  </c:pt>
                </c:numCache>
              </c:numRef>
            </c:plus>
            <c:minus>
              <c:numRef>
                <c:f>Summary!$B$6:$F$6</c:f>
                <c:numCache>
                  <c:formatCode>General</c:formatCode>
                  <c:ptCount val="5"/>
                  <c:pt idx="0">
                    <c:v>1.5922397032882042E-4</c:v>
                  </c:pt>
                  <c:pt idx="1">
                    <c:v>1.7242836490997501E-2</c:v>
                  </c:pt>
                  <c:pt idx="2">
                    <c:v>4.9369475964709808E-2</c:v>
                  </c:pt>
                  <c:pt idx="3">
                    <c:v>6.7971340475540487E-2</c:v>
                  </c:pt>
                  <c:pt idx="4">
                    <c:v>8.8281823265193335E-2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Summary!$B$2:$F$2</c:f>
              <c:strCache>
                <c:ptCount val="5"/>
                <c:pt idx="0">
                  <c:v>1 day</c:v>
                </c:pt>
                <c:pt idx="1">
                  <c:v>14 days</c:v>
                </c:pt>
                <c:pt idx="2">
                  <c:v>23 days</c:v>
                </c:pt>
                <c:pt idx="3">
                  <c:v>32 days</c:v>
                </c:pt>
                <c:pt idx="4">
                  <c:v>39 days</c:v>
                </c:pt>
              </c:strCache>
            </c:strRef>
          </c:cat>
          <c:val>
            <c:numRef>
              <c:f>Summary!$B$5:$F$5</c:f>
              <c:numCache>
                <c:formatCode>0.000</c:formatCode>
                <c:ptCount val="5"/>
                <c:pt idx="0">
                  <c:v>4.5695454545454546E-2</c:v>
                </c:pt>
                <c:pt idx="1">
                  <c:v>0.35690493290493291</c:v>
                </c:pt>
                <c:pt idx="2">
                  <c:v>0.95578064953064945</c:v>
                </c:pt>
                <c:pt idx="3">
                  <c:v>1.4588880875722978</c:v>
                </c:pt>
                <c:pt idx="4">
                  <c:v>2.2823023880609017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81-4F6E-A3C7-1C1FD5106A85}"/>
            </c:ext>
          </c:extLst>
        </c:ser>
        <c:ser>
          <c:idx val="2"/>
          <c:order val="2"/>
          <c:tx>
            <c:strRef>
              <c:f>Summary!$A$7</c:f>
              <c:strCache>
                <c:ptCount val="1"/>
                <c:pt idx="0">
                  <c:v>T3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Summary!$B$8:$F$8</c:f>
                <c:numCache>
                  <c:formatCode>General</c:formatCode>
                  <c:ptCount val="5"/>
                  <c:pt idx="0">
                    <c:v>1.5259125436633403E-4</c:v>
                  </c:pt>
                  <c:pt idx="1">
                    <c:v>1.2863052576866846E-2</c:v>
                  </c:pt>
                  <c:pt idx="2">
                    <c:v>3.4793018395718786E-2</c:v>
                  </c:pt>
                  <c:pt idx="3">
                    <c:v>5.2426251726070544E-2</c:v>
                  </c:pt>
                  <c:pt idx="4">
                    <c:v>6.2145356260847405E-2</c:v>
                  </c:pt>
                </c:numCache>
              </c:numRef>
            </c:plus>
            <c:minus>
              <c:numRef>
                <c:f>Summary!$B$8:$F$8</c:f>
                <c:numCache>
                  <c:formatCode>General</c:formatCode>
                  <c:ptCount val="5"/>
                  <c:pt idx="0">
                    <c:v>1.5259125436633403E-4</c:v>
                  </c:pt>
                  <c:pt idx="1">
                    <c:v>1.2863052576866846E-2</c:v>
                  </c:pt>
                  <c:pt idx="2">
                    <c:v>3.4793018395718786E-2</c:v>
                  </c:pt>
                  <c:pt idx="3">
                    <c:v>5.2426251726070544E-2</c:v>
                  </c:pt>
                  <c:pt idx="4">
                    <c:v>6.2145356260847405E-2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Summary!$B$2:$F$2</c:f>
              <c:strCache>
                <c:ptCount val="5"/>
                <c:pt idx="0">
                  <c:v>1 day</c:v>
                </c:pt>
                <c:pt idx="1">
                  <c:v>14 days</c:v>
                </c:pt>
                <c:pt idx="2">
                  <c:v>23 days</c:v>
                </c:pt>
                <c:pt idx="3">
                  <c:v>32 days</c:v>
                </c:pt>
                <c:pt idx="4">
                  <c:v>39 days</c:v>
                </c:pt>
              </c:strCache>
            </c:strRef>
          </c:cat>
          <c:val>
            <c:numRef>
              <c:f>Summary!$B$7:$F$7</c:f>
              <c:numCache>
                <c:formatCode>0.000</c:formatCode>
                <c:ptCount val="5"/>
                <c:pt idx="0">
                  <c:v>4.5609090909090912E-2</c:v>
                </c:pt>
                <c:pt idx="1">
                  <c:v>0.34890090172984911</c:v>
                </c:pt>
                <c:pt idx="2">
                  <c:v>0.9567332860637815</c:v>
                </c:pt>
                <c:pt idx="3">
                  <c:v>1.4510038460270656</c:v>
                </c:pt>
                <c:pt idx="4">
                  <c:v>2.2948927341032608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81-4F6E-A3C7-1C1FD5106A85}"/>
            </c:ext>
          </c:extLst>
        </c:ser>
        <c:ser>
          <c:idx val="3"/>
          <c:order val="3"/>
          <c:tx>
            <c:strRef>
              <c:f>Summary!$A$9</c:f>
              <c:strCache>
                <c:ptCount val="1"/>
                <c:pt idx="0">
                  <c:v>T4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Summary!$B$10:$F$10</c:f>
                <c:numCache>
                  <c:formatCode>General</c:formatCode>
                  <c:ptCount val="5"/>
                  <c:pt idx="0">
                    <c:v>2.6463954902676833E-4</c:v>
                  </c:pt>
                  <c:pt idx="1">
                    <c:v>1.705791225046463E-2</c:v>
                  </c:pt>
                  <c:pt idx="2">
                    <c:v>3.1726132569291091E-2</c:v>
                  </c:pt>
                  <c:pt idx="3">
                    <c:v>6.2145398914213397E-2</c:v>
                  </c:pt>
                  <c:pt idx="4">
                    <c:v>9.4799405324699312E-2</c:v>
                  </c:pt>
                </c:numCache>
              </c:numRef>
            </c:plus>
            <c:minus>
              <c:numRef>
                <c:f>Summary!$B$10:$F$10</c:f>
                <c:numCache>
                  <c:formatCode>General</c:formatCode>
                  <c:ptCount val="5"/>
                  <c:pt idx="0">
                    <c:v>2.6463954902676833E-4</c:v>
                  </c:pt>
                  <c:pt idx="1">
                    <c:v>1.705791225046463E-2</c:v>
                  </c:pt>
                  <c:pt idx="2">
                    <c:v>3.1726132569291091E-2</c:v>
                  </c:pt>
                  <c:pt idx="3">
                    <c:v>6.2145398914213397E-2</c:v>
                  </c:pt>
                  <c:pt idx="4">
                    <c:v>9.4799405324699312E-2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Summary!$B$2:$F$2</c:f>
              <c:strCache>
                <c:ptCount val="5"/>
                <c:pt idx="0">
                  <c:v>1 day</c:v>
                </c:pt>
                <c:pt idx="1">
                  <c:v>14 days</c:v>
                </c:pt>
                <c:pt idx="2">
                  <c:v>23 days</c:v>
                </c:pt>
                <c:pt idx="3">
                  <c:v>32 days</c:v>
                </c:pt>
                <c:pt idx="4">
                  <c:v>39 days</c:v>
                </c:pt>
              </c:strCache>
            </c:strRef>
          </c:cat>
          <c:val>
            <c:numRef>
              <c:f>Summary!$B$9:$F$9</c:f>
              <c:numCache>
                <c:formatCode>0.000</c:formatCode>
                <c:ptCount val="5"/>
                <c:pt idx="0">
                  <c:v>4.568409090909091E-2</c:v>
                </c:pt>
                <c:pt idx="1">
                  <c:v>0.35277339208918151</c:v>
                </c:pt>
                <c:pt idx="2">
                  <c:v>0.97169784755311062</c:v>
                </c:pt>
                <c:pt idx="3">
                  <c:v>1.4444678207836104</c:v>
                </c:pt>
                <c:pt idx="4">
                  <c:v>2.2654007923086872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481-4F6E-A3C7-1C1FD5106A85}"/>
            </c:ext>
          </c:extLst>
        </c:ser>
        <c:ser>
          <c:idx val="4"/>
          <c:order val="4"/>
          <c:tx>
            <c:strRef>
              <c:f>Summary!$A$11</c:f>
              <c:strCache>
                <c:ptCount val="1"/>
                <c:pt idx="0">
                  <c:v>T5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Summary!$B$12:$F$12</c:f>
                <c:numCache>
                  <c:formatCode>General</c:formatCode>
                  <c:ptCount val="5"/>
                  <c:pt idx="0">
                    <c:v>1.8753787496251126E-4</c:v>
                  </c:pt>
                  <c:pt idx="1">
                    <c:v>8.6196200928925753E-3</c:v>
                  </c:pt>
                  <c:pt idx="2">
                    <c:v>3.3928933343015458E-2</c:v>
                  </c:pt>
                  <c:pt idx="3">
                    <c:v>4.9430397486273016E-2</c:v>
                  </c:pt>
                  <c:pt idx="4">
                    <c:v>5.65516835285792E-2</c:v>
                  </c:pt>
                </c:numCache>
              </c:numRef>
            </c:plus>
            <c:minus>
              <c:numRef>
                <c:f>Summary!$B$12:$F$12</c:f>
                <c:numCache>
                  <c:formatCode>General</c:formatCode>
                  <c:ptCount val="5"/>
                  <c:pt idx="0">
                    <c:v>1.8753787496251126E-4</c:v>
                  </c:pt>
                  <c:pt idx="1">
                    <c:v>8.6196200928925753E-3</c:v>
                  </c:pt>
                  <c:pt idx="2">
                    <c:v>3.3928933343015458E-2</c:v>
                  </c:pt>
                  <c:pt idx="3">
                    <c:v>4.9430397486273016E-2</c:v>
                  </c:pt>
                  <c:pt idx="4">
                    <c:v>5.65516835285792E-2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Summary!$B$2:$F$2</c:f>
              <c:strCache>
                <c:ptCount val="5"/>
                <c:pt idx="0">
                  <c:v>1 day</c:v>
                </c:pt>
                <c:pt idx="1">
                  <c:v>14 days</c:v>
                </c:pt>
                <c:pt idx="2">
                  <c:v>23 days</c:v>
                </c:pt>
                <c:pt idx="3">
                  <c:v>32 days</c:v>
                </c:pt>
                <c:pt idx="4">
                  <c:v>39 days</c:v>
                </c:pt>
              </c:strCache>
            </c:strRef>
          </c:cat>
          <c:val>
            <c:numRef>
              <c:f>Summary!$B$11:$F$11</c:f>
              <c:numCache>
                <c:formatCode>0.000</c:formatCode>
                <c:ptCount val="5"/>
                <c:pt idx="0">
                  <c:v>4.5611363636363637E-2</c:v>
                </c:pt>
                <c:pt idx="1">
                  <c:v>0.35378477603477598</c:v>
                </c:pt>
                <c:pt idx="2">
                  <c:v>0.96528428778428788</c:v>
                </c:pt>
                <c:pt idx="3">
                  <c:v>1.4464131936500357</c:v>
                </c:pt>
                <c:pt idx="4">
                  <c:v>2.263556957504326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481-4F6E-A3C7-1C1FD5106A85}"/>
            </c:ext>
          </c:extLst>
        </c:ser>
        <c:ser>
          <c:idx val="5"/>
          <c:order val="5"/>
          <c:tx>
            <c:strRef>
              <c:f>Summary!$A$13</c:f>
              <c:strCache>
                <c:ptCount val="1"/>
                <c:pt idx="0">
                  <c:v>T6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Summary!$B$14:$F$14</c:f>
                <c:numCache>
                  <c:formatCode>General</c:formatCode>
                  <c:ptCount val="5"/>
                  <c:pt idx="0">
                    <c:v>2.1458204618619693E-4</c:v>
                  </c:pt>
                  <c:pt idx="1">
                    <c:v>1.5535043771782098E-2</c:v>
                  </c:pt>
                  <c:pt idx="2">
                    <c:v>4.0925314191345978E-2</c:v>
                  </c:pt>
                  <c:pt idx="3">
                    <c:v>7.1266218838193299E-2</c:v>
                  </c:pt>
                  <c:pt idx="4">
                    <c:v>9.018034413364541E-2</c:v>
                  </c:pt>
                </c:numCache>
              </c:numRef>
            </c:plus>
            <c:minus>
              <c:numRef>
                <c:f>Summary!$B$14:$F$14</c:f>
                <c:numCache>
                  <c:formatCode>General</c:formatCode>
                  <c:ptCount val="5"/>
                  <c:pt idx="0">
                    <c:v>2.1458204618619693E-4</c:v>
                  </c:pt>
                  <c:pt idx="1">
                    <c:v>1.5535043771782098E-2</c:v>
                  </c:pt>
                  <c:pt idx="2">
                    <c:v>4.0925314191345978E-2</c:v>
                  </c:pt>
                  <c:pt idx="3">
                    <c:v>7.1266218838193299E-2</c:v>
                  </c:pt>
                  <c:pt idx="4">
                    <c:v>9.018034413364541E-2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Summary!$B$2:$F$2</c:f>
              <c:strCache>
                <c:ptCount val="5"/>
                <c:pt idx="0">
                  <c:v>1 day</c:v>
                </c:pt>
                <c:pt idx="1">
                  <c:v>14 days</c:v>
                </c:pt>
                <c:pt idx="2">
                  <c:v>23 days</c:v>
                </c:pt>
                <c:pt idx="3">
                  <c:v>32 days</c:v>
                </c:pt>
                <c:pt idx="4">
                  <c:v>39 days</c:v>
                </c:pt>
              </c:strCache>
            </c:strRef>
          </c:cat>
          <c:val>
            <c:numRef>
              <c:f>Summary!$B$13:$F$13</c:f>
              <c:numCache>
                <c:formatCode>0.000</c:formatCode>
                <c:ptCount val="5"/>
                <c:pt idx="0">
                  <c:v>4.5686363636363629E-2</c:v>
                </c:pt>
                <c:pt idx="1">
                  <c:v>0.34848564593301434</c:v>
                </c:pt>
                <c:pt idx="2">
                  <c:v>0.96758035823825306</c:v>
                </c:pt>
                <c:pt idx="3">
                  <c:v>1.4647659879238824</c:v>
                </c:pt>
                <c:pt idx="4">
                  <c:v>2.3057885867096393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481-4F6E-A3C7-1C1FD5106A85}"/>
            </c:ext>
          </c:extLst>
        </c:ser>
        <c:ser>
          <c:idx val="6"/>
          <c:order val="6"/>
          <c:tx>
            <c:strRef>
              <c:f>Summary!$A$15</c:f>
              <c:strCache>
                <c:ptCount val="1"/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Summary!$B$16:$F$16</c:f>
                <c:extLst xmlns:c15="http://schemas.microsoft.com/office/drawing/2012/chart"/>
              </c:numRef>
            </c:plus>
            <c:minus>
              <c:numRef>
                <c:f>Summary!$B$16:$F$16</c:f>
                <c:extLst xmlns:c15="http://schemas.microsoft.com/office/drawing/2012/chart"/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Summary!$B$2:$F$2</c:f>
              <c:strCache>
                <c:ptCount val="5"/>
                <c:pt idx="0">
                  <c:v>1 day</c:v>
                </c:pt>
                <c:pt idx="1">
                  <c:v>14 days</c:v>
                </c:pt>
                <c:pt idx="2">
                  <c:v>23 days</c:v>
                </c:pt>
                <c:pt idx="3">
                  <c:v>32 days</c:v>
                </c:pt>
                <c:pt idx="4">
                  <c:v>39 days</c:v>
                </c:pt>
              </c:strCache>
              <c:extLst xmlns:c15="http://schemas.microsoft.com/office/drawing/2012/chart"/>
            </c:strRef>
          </c:cat>
          <c:val>
            <c:numRef>
              <c:f>Summary!$B$15:$F$15</c:f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06-F481-4F6E-A3C7-1C1FD5106A85}"/>
            </c:ext>
          </c:extLst>
        </c:ser>
        <c:ser>
          <c:idx val="7"/>
          <c:order val="7"/>
          <c:tx>
            <c:strRef>
              <c:f>Summary!$A$17</c:f>
              <c:strCache>
                <c:ptCount val="1"/>
              </c:strCache>
              <c:extLst xmlns:c15="http://schemas.microsoft.com/office/drawing/2012/chart"/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Summary!$B$17:$F$17</c:f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7-F481-4F6E-A3C7-1C1FD5106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2076288"/>
        <c:axId val="92076680"/>
        <c:extLst/>
      </c:barChart>
      <c:catAx>
        <c:axId val="92076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076680"/>
        <c:crosses val="autoZero"/>
        <c:auto val="1"/>
        <c:lblAlgn val="ctr"/>
        <c:lblOffset val="100"/>
        <c:noMultiLvlLbl val="0"/>
      </c:catAx>
      <c:valAx>
        <c:axId val="92076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07628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  <a:p>
            <a:pPr>
              <a:defRPr/>
            </a:pPr>
            <a:r>
              <a:rPr lang="pt-BR"/>
              <a:t>Mortality Rate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Summary!$A$50</c:f>
              <c:strCache>
                <c:ptCount val="1"/>
                <c:pt idx="0">
                  <c:v>T1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Summary!$B$50:$E$50</c:f>
              <c:numCache>
                <c:formatCode>0.00%</c:formatCode>
                <c:ptCount val="4"/>
                <c:pt idx="0">
                  <c:v>1.1494252873563218E-2</c:v>
                </c:pt>
                <c:pt idx="1">
                  <c:v>2.3255813953488372E-3</c:v>
                </c:pt>
                <c:pt idx="2">
                  <c:v>4.6728971962616819E-3</c:v>
                </c:pt>
                <c:pt idx="3">
                  <c:v>1.7073170731707318E-2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Summary!$B$49:$E$49</c15:sqref>
                        </c15:formulaRef>
                      </c:ext>
                    </c:extLst>
                    <c:strCache>
                      <c:ptCount val="4"/>
                      <c:pt idx="0">
                        <c:v>14 days</c:v>
                      </c:pt>
                      <c:pt idx="1">
                        <c:v>23 days</c:v>
                      </c:pt>
                      <c:pt idx="2">
                        <c:v>32 days</c:v>
                      </c:pt>
                      <c:pt idx="3">
                        <c:v>39 days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D3BF-4EBF-871A-6325BB01BBDE}"/>
            </c:ext>
          </c:extLst>
        </c:ser>
        <c:ser>
          <c:idx val="2"/>
          <c:order val="1"/>
          <c:tx>
            <c:strRef>
              <c:f>Summary!$A$51</c:f>
              <c:strCache>
                <c:ptCount val="1"/>
                <c:pt idx="0">
                  <c:v>T2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Summary!$B$51:$E$51</c:f>
              <c:numCache>
                <c:formatCode>0.00%</c:formatCode>
                <c:ptCount val="4"/>
                <c:pt idx="0">
                  <c:v>1.6166281755196306E-2</c:v>
                </c:pt>
                <c:pt idx="1">
                  <c:v>0</c:v>
                </c:pt>
                <c:pt idx="2">
                  <c:v>4.7169811320754715E-3</c:v>
                </c:pt>
                <c:pt idx="3">
                  <c:v>1.4742014742014743E-2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Summary!$B$49:$E$49</c15:sqref>
                        </c15:formulaRef>
                      </c:ext>
                    </c:extLst>
                    <c:strCache>
                      <c:ptCount val="4"/>
                      <c:pt idx="0">
                        <c:v>14 days</c:v>
                      </c:pt>
                      <c:pt idx="1">
                        <c:v>23 days</c:v>
                      </c:pt>
                      <c:pt idx="2">
                        <c:v>32 days</c:v>
                      </c:pt>
                      <c:pt idx="3">
                        <c:v>39 days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D3BF-4EBF-871A-6325BB01BBDE}"/>
            </c:ext>
          </c:extLst>
        </c:ser>
        <c:ser>
          <c:idx val="4"/>
          <c:order val="2"/>
          <c:tx>
            <c:strRef>
              <c:f>Summary!$A$52</c:f>
              <c:strCache>
                <c:ptCount val="1"/>
                <c:pt idx="0">
                  <c:v>T3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Summary!$B$52:$E$52</c:f>
              <c:numCache>
                <c:formatCode>0.00%</c:formatCode>
                <c:ptCount val="4"/>
                <c:pt idx="0">
                  <c:v>2.2779043280182231E-3</c:v>
                </c:pt>
                <c:pt idx="1">
                  <c:v>4.6728971962616819E-3</c:v>
                </c:pt>
                <c:pt idx="2">
                  <c:v>4.7169811320754715E-3</c:v>
                </c:pt>
                <c:pt idx="3">
                  <c:v>9.5238095238095247E-3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Summary!$B$49:$E$49</c15:sqref>
                        </c15:formulaRef>
                      </c:ext>
                    </c:extLst>
                    <c:strCache>
                      <c:ptCount val="4"/>
                      <c:pt idx="0">
                        <c:v>14 days</c:v>
                      </c:pt>
                      <c:pt idx="1">
                        <c:v>23 days</c:v>
                      </c:pt>
                      <c:pt idx="2">
                        <c:v>32 days</c:v>
                      </c:pt>
                      <c:pt idx="3">
                        <c:v>39 days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D3BF-4EBF-871A-6325BB01BBDE}"/>
            </c:ext>
          </c:extLst>
        </c:ser>
        <c:ser>
          <c:idx val="6"/>
          <c:order val="3"/>
          <c:tx>
            <c:strRef>
              <c:f>Summary!$A$53</c:f>
              <c:strCache>
                <c:ptCount val="1"/>
                <c:pt idx="0">
                  <c:v>T4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Summary!$B$53:$E$53</c:f>
              <c:numCache>
                <c:formatCode>0.00%</c:formatCode>
                <c:ptCount val="4"/>
                <c:pt idx="0">
                  <c:v>6.8649885583524023E-3</c:v>
                </c:pt>
                <c:pt idx="1">
                  <c:v>2.3640661938534278E-3</c:v>
                </c:pt>
                <c:pt idx="2">
                  <c:v>7.1942446043165471E-3</c:v>
                </c:pt>
                <c:pt idx="3">
                  <c:v>9.9255583126550868E-3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Summary!$B$49:$E$49</c15:sqref>
                        </c15:formulaRef>
                      </c:ext>
                    </c:extLst>
                    <c:strCache>
                      <c:ptCount val="4"/>
                      <c:pt idx="0">
                        <c:v>14 days</c:v>
                      </c:pt>
                      <c:pt idx="1">
                        <c:v>23 days</c:v>
                      </c:pt>
                      <c:pt idx="2">
                        <c:v>32 days</c:v>
                      </c:pt>
                      <c:pt idx="3">
                        <c:v>39 days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D3BF-4EBF-871A-6325BB01BBDE}"/>
            </c:ext>
          </c:extLst>
        </c:ser>
        <c:ser>
          <c:idx val="3"/>
          <c:order val="4"/>
          <c:tx>
            <c:strRef>
              <c:f>Summary!$A$54</c:f>
              <c:strCache>
                <c:ptCount val="1"/>
                <c:pt idx="0">
                  <c:v>T5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Summary!$B$54:$E$54</c:f>
              <c:numCache>
                <c:formatCode>0.00%</c:formatCode>
                <c:ptCount val="4"/>
                <c:pt idx="0">
                  <c:v>1.1494252873563218E-2</c:v>
                </c:pt>
                <c:pt idx="1">
                  <c:v>2.3364485981308409E-3</c:v>
                </c:pt>
                <c:pt idx="2">
                  <c:v>7.0754716981132077E-3</c:v>
                </c:pt>
                <c:pt idx="3">
                  <c:v>1.4388489208633094E-2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Summary!$B$49:$E$49</c15:sqref>
                        </c15:formulaRef>
                      </c:ext>
                    </c:extLst>
                    <c:strCache>
                      <c:ptCount val="4"/>
                      <c:pt idx="0">
                        <c:v>14 days</c:v>
                      </c:pt>
                      <c:pt idx="1">
                        <c:v>23 days</c:v>
                      </c:pt>
                      <c:pt idx="2">
                        <c:v>32 days</c:v>
                      </c:pt>
                      <c:pt idx="3">
                        <c:v>39 days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D3BF-4EBF-871A-6325BB01BBDE}"/>
            </c:ext>
          </c:extLst>
        </c:ser>
        <c:ser>
          <c:idx val="1"/>
          <c:order val="5"/>
          <c:tx>
            <c:strRef>
              <c:f>Summary!$A$55</c:f>
              <c:strCache>
                <c:ptCount val="1"/>
                <c:pt idx="0">
                  <c:v>T6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Summary!$B$55:$E$55</c:f>
              <c:numCache>
                <c:formatCode>0.00%</c:formatCode>
                <c:ptCount val="4"/>
                <c:pt idx="0">
                  <c:v>9.1743119266055051E-3</c:v>
                </c:pt>
                <c:pt idx="1">
                  <c:v>9.2592592592592587E-3</c:v>
                </c:pt>
                <c:pt idx="2">
                  <c:v>2.3201856148491878E-3</c:v>
                </c:pt>
                <c:pt idx="3">
                  <c:v>1.4492753623188406E-2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Summary!$B$49:$E$49</c15:sqref>
                        </c15:formulaRef>
                      </c:ext>
                    </c:extLst>
                    <c:strCache>
                      <c:ptCount val="4"/>
                      <c:pt idx="0">
                        <c:v>14 days</c:v>
                      </c:pt>
                      <c:pt idx="1">
                        <c:v>23 days</c:v>
                      </c:pt>
                      <c:pt idx="2">
                        <c:v>32 days</c:v>
                      </c:pt>
                      <c:pt idx="3">
                        <c:v>39 days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5-D3BF-4EBF-871A-6325BB01BBDE}"/>
            </c:ext>
          </c:extLst>
        </c:ser>
        <c:ser>
          <c:idx val="5"/>
          <c:order val="6"/>
          <c:tx>
            <c:strRef>
              <c:f>Summary!$A$56</c:f>
              <c:strCache>
                <c:ptCount val="1"/>
              </c:strCache>
              <c:extLst xmlns:c15="http://schemas.microsoft.com/office/drawing/2012/chart"/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Summary!$B$56:$E$56</c:f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06-D3BF-4EBF-871A-6325BB01BBDE}"/>
            </c:ext>
          </c:extLst>
        </c:ser>
        <c:ser>
          <c:idx val="7"/>
          <c:order val="7"/>
          <c:tx>
            <c:strRef>
              <c:f>Summary!$A$57</c:f>
              <c:strCache>
                <c:ptCount val="1"/>
              </c:strCache>
              <c:extLst xmlns:c15="http://schemas.microsoft.com/office/drawing/2012/chart"/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Summary!$B$57:$E$57</c:f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7-D3BF-4EBF-871A-6325BB01B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2089616"/>
        <c:axId val="92087264"/>
        <c:extLst/>
      </c:barChart>
      <c:catAx>
        <c:axId val="92089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087264"/>
        <c:crosses val="autoZero"/>
        <c:auto val="1"/>
        <c:lblAlgn val="ctr"/>
        <c:lblOffset val="100"/>
        <c:noMultiLvlLbl val="0"/>
      </c:catAx>
      <c:valAx>
        <c:axId val="9208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08961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Culling Rate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Summary!$H$50</c:f>
              <c:strCache>
                <c:ptCount val="1"/>
                <c:pt idx="0">
                  <c:v>T1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Summary!$I$49:$L$49</c:f>
              <c:strCache>
                <c:ptCount val="4"/>
                <c:pt idx="0">
                  <c:v>14 days</c:v>
                </c:pt>
                <c:pt idx="1">
                  <c:v>23 days</c:v>
                </c:pt>
                <c:pt idx="2">
                  <c:v>32 days</c:v>
                </c:pt>
                <c:pt idx="3">
                  <c:v>39 days</c:v>
                </c:pt>
              </c:strCache>
            </c:strRef>
          </c:cat>
          <c:val>
            <c:numRef>
              <c:f>Summary!$I$50:$L$50</c:f>
              <c:numCache>
                <c:formatCode>0.00%</c:formatCode>
                <c:ptCount val="4"/>
                <c:pt idx="0">
                  <c:v>9.1743119266055051E-3</c:v>
                </c:pt>
                <c:pt idx="1">
                  <c:v>0</c:v>
                </c:pt>
                <c:pt idx="2">
                  <c:v>2.6252983293556086E-2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F-4510-ADD7-50CF67AB088F}"/>
            </c:ext>
          </c:extLst>
        </c:ser>
        <c:ser>
          <c:idx val="2"/>
          <c:order val="1"/>
          <c:tx>
            <c:strRef>
              <c:f>Summary!$H$51</c:f>
              <c:strCache>
                <c:ptCount val="1"/>
                <c:pt idx="0">
                  <c:v>T2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Summary!$I$49:$L$49</c:f>
              <c:strCache>
                <c:ptCount val="4"/>
                <c:pt idx="0">
                  <c:v>14 days</c:v>
                </c:pt>
                <c:pt idx="1">
                  <c:v>23 days</c:v>
                </c:pt>
                <c:pt idx="2">
                  <c:v>32 days</c:v>
                </c:pt>
                <c:pt idx="3">
                  <c:v>39 days</c:v>
                </c:pt>
              </c:strCache>
            </c:strRef>
          </c:cat>
          <c:val>
            <c:numRef>
              <c:f>Summary!$I$51:$L$51</c:f>
              <c:numCache>
                <c:formatCode>0.00%</c:formatCode>
                <c:ptCount val="4"/>
                <c:pt idx="0">
                  <c:v>1.3824884792626729E-2</c:v>
                </c:pt>
                <c:pt idx="1">
                  <c:v>2.3474178403755869E-3</c:v>
                </c:pt>
                <c:pt idx="2">
                  <c:v>2.6506024096385541E-2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F-4510-ADD7-50CF67AB088F}"/>
            </c:ext>
          </c:extLst>
        </c:ser>
        <c:ser>
          <c:idx val="4"/>
          <c:order val="2"/>
          <c:tx>
            <c:strRef>
              <c:f>Summary!$H$52</c:f>
              <c:strCache>
                <c:ptCount val="1"/>
                <c:pt idx="0">
                  <c:v>T3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Summary!$I$49:$L$49</c:f>
              <c:strCache>
                <c:ptCount val="4"/>
                <c:pt idx="0">
                  <c:v>14 days</c:v>
                </c:pt>
                <c:pt idx="1">
                  <c:v>23 days</c:v>
                </c:pt>
                <c:pt idx="2">
                  <c:v>32 days</c:v>
                </c:pt>
                <c:pt idx="3">
                  <c:v>39 days</c:v>
                </c:pt>
              </c:strCache>
            </c:strRef>
          </c:cat>
          <c:val>
            <c:numRef>
              <c:f>Summary!$I$52:$L$52</c:f>
              <c:numCache>
                <c:formatCode>0.00%</c:formatCode>
                <c:ptCount val="4"/>
                <c:pt idx="0">
                  <c:v>2.0881670533642691E-2</c:v>
                </c:pt>
                <c:pt idx="1">
                  <c:v>4.6728971962616819E-3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1F-4510-ADD7-50CF67AB088F}"/>
            </c:ext>
          </c:extLst>
        </c:ser>
        <c:ser>
          <c:idx val="6"/>
          <c:order val="3"/>
          <c:tx>
            <c:strRef>
              <c:f>Summary!$H$53</c:f>
              <c:strCache>
                <c:ptCount val="1"/>
                <c:pt idx="0">
                  <c:v>T4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Summary!$I$49:$L$49</c:f>
              <c:strCache>
                <c:ptCount val="4"/>
                <c:pt idx="0">
                  <c:v>14 days</c:v>
                </c:pt>
                <c:pt idx="1">
                  <c:v>23 days</c:v>
                </c:pt>
                <c:pt idx="2">
                  <c:v>32 days</c:v>
                </c:pt>
                <c:pt idx="3">
                  <c:v>39 days</c:v>
                </c:pt>
              </c:strCache>
            </c:strRef>
          </c:cat>
          <c:val>
            <c:numRef>
              <c:f>Summary!$I$53:$L$53</c:f>
              <c:numCache>
                <c:formatCode>0.00%</c:formatCode>
                <c:ptCount val="4"/>
                <c:pt idx="0">
                  <c:v>3.0444964871194378E-2</c:v>
                </c:pt>
                <c:pt idx="1">
                  <c:v>7.1258907363420431E-3</c:v>
                </c:pt>
                <c:pt idx="2">
                  <c:v>2.4390243902439025E-2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F1F-4510-ADD7-50CF67AB088F}"/>
            </c:ext>
          </c:extLst>
        </c:ser>
        <c:ser>
          <c:idx val="3"/>
          <c:order val="4"/>
          <c:tx>
            <c:strRef>
              <c:f>Summary!$H$54</c:f>
              <c:strCache>
                <c:ptCount val="1"/>
                <c:pt idx="0">
                  <c:v>T5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Summary!$I$49:$L$49</c:f>
              <c:strCache>
                <c:ptCount val="4"/>
                <c:pt idx="0">
                  <c:v>14 days</c:v>
                </c:pt>
                <c:pt idx="1">
                  <c:v>23 days</c:v>
                </c:pt>
                <c:pt idx="2">
                  <c:v>32 days</c:v>
                </c:pt>
                <c:pt idx="3">
                  <c:v>39 days</c:v>
                </c:pt>
              </c:strCache>
            </c:strRef>
          </c:cat>
          <c:val>
            <c:numRef>
              <c:f>Summary!$I$54:$L$54</c:f>
              <c:numCache>
                <c:formatCode>0.00%</c:formatCode>
                <c:ptCount val="4"/>
                <c:pt idx="0">
                  <c:v>1.3824884792626729E-2</c:v>
                </c:pt>
                <c:pt idx="1">
                  <c:v>2.3364485981308409E-3</c:v>
                </c:pt>
                <c:pt idx="2">
                  <c:v>2.3474178403755869E-3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1F-4510-ADD7-50CF67AB088F}"/>
            </c:ext>
          </c:extLst>
        </c:ser>
        <c:ser>
          <c:idx val="1"/>
          <c:order val="5"/>
          <c:tx>
            <c:strRef>
              <c:f>Summary!$H$55</c:f>
              <c:strCache>
                <c:ptCount val="1"/>
                <c:pt idx="0">
                  <c:v>T6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Summary!$I$49:$L$49</c:f>
              <c:strCache>
                <c:ptCount val="4"/>
                <c:pt idx="0">
                  <c:v>14 days</c:v>
                </c:pt>
                <c:pt idx="1">
                  <c:v>23 days</c:v>
                </c:pt>
                <c:pt idx="2">
                  <c:v>32 days</c:v>
                </c:pt>
                <c:pt idx="3">
                  <c:v>39 days</c:v>
                </c:pt>
              </c:strCache>
            </c:strRef>
          </c:cat>
          <c:val>
            <c:numRef>
              <c:f>Summary!$I$55:$L$55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2.6128266033254157E-2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1F-4510-ADD7-50CF67AB088F}"/>
            </c:ext>
          </c:extLst>
        </c:ser>
        <c:ser>
          <c:idx val="5"/>
          <c:order val="6"/>
          <c:tx>
            <c:strRef>
              <c:f>Summary!$H$56</c:f>
              <c:strCache>
                <c:ptCount val="1"/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Summary!$I$49:$L$49</c:f>
              <c:strCache>
                <c:ptCount val="4"/>
                <c:pt idx="0">
                  <c:v>14 days</c:v>
                </c:pt>
                <c:pt idx="1">
                  <c:v>23 days</c:v>
                </c:pt>
                <c:pt idx="2">
                  <c:v>32 days</c:v>
                </c:pt>
                <c:pt idx="3">
                  <c:v>39 days</c:v>
                </c:pt>
              </c:strCache>
            </c:strRef>
          </c:cat>
          <c:val>
            <c:numRef>
              <c:f>Summary!$I$56:$L$56</c:f>
            </c:numRef>
          </c:val>
          <c:extLst>
            <c:ext xmlns:c16="http://schemas.microsoft.com/office/drawing/2014/chart" uri="{C3380CC4-5D6E-409C-BE32-E72D297353CC}">
              <c16:uniqueId val="{00000006-8F1F-4510-ADD7-50CF67AB088F}"/>
            </c:ext>
          </c:extLst>
        </c:ser>
        <c:ser>
          <c:idx val="7"/>
          <c:order val="7"/>
          <c:tx>
            <c:strRef>
              <c:f>Summary!$H$57</c:f>
              <c:strCache>
                <c:ptCount val="1"/>
              </c:strCache>
              <c:extLst xmlns:c15="http://schemas.microsoft.com/office/drawing/2012/chart"/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Summary!$I$49:$L$49</c:f>
              <c:strCache>
                <c:ptCount val="4"/>
                <c:pt idx="0">
                  <c:v>14 days</c:v>
                </c:pt>
                <c:pt idx="1">
                  <c:v>23 days</c:v>
                </c:pt>
                <c:pt idx="2">
                  <c:v>32 days</c:v>
                </c:pt>
                <c:pt idx="3">
                  <c:v>39 days</c:v>
                </c:pt>
              </c:strCache>
            </c:strRef>
          </c:cat>
          <c:val>
            <c:numRef>
              <c:f>Summary!$I$57:$L$57</c:f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7-8F1F-4510-ADD7-50CF67AB0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2087656"/>
        <c:axId val="92089224"/>
        <c:extLst/>
      </c:barChart>
      <c:catAx>
        <c:axId val="92087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089224"/>
        <c:crosses val="autoZero"/>
        <c:auto val="1"/>
        <c:lblAlgn val="ctr"/>
        <c:lblOffset val="100"/>
        <c:noMultiLvlLbl val="0"/>
      </c:catAx>
      <c:valAx>
        <c:axId val="92089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08765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4762</xdr:colOff>
      <xdr:row>18</xdr:row>
      <xdr:rowOff>14286</xdr:rowOff>
    </xdr:from>
    <xdr:to>
      <xdr:col>18</xdr:col>
      <xdr:colOff>0</xdr:colOff>
      <xdr:row>37</xdr:row>
      <xdr:rowOff>190499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109537</xdr:colOff>
      <xdr:row>18</xdr:row>
      <xdr:rowOff>14286</xdr:rowOff>
    </xdr:from>
    <xdr:to>
      <xdr:col>24</xdr:col>
      <xdr:colOff>0</xdr:colOff>
      <xdr:row>37</xdr:row>
      <xdr:rowOff>190499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109536</xdr:colOff>
      <xdr:row>18</xdr:row>
      <xdr:rowOff>14286</xdr:rowOff>
    </xdr:from>
    <xdr:to>
      <xdr:col>12</xdr:col>
      <xdr:colOff>0</xdr:colOff>
      <xdr:row>37</xdr:row>
      <xdr:rowOff>190499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18</xdr:row>
      <xdr:rowOff>14286</xdr:rowOff>
    </xdr:from>
    <xdr:to>
      <xdr:col>6</xdr:col>
      <xdr:colOff>0</xdr:colOff>
      <xdr:row>37</xdr:row>
      <xdr:rowOff>190499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57</xdr:row>
      <xdr:rowOff>9525</xdr:rowOff>
    </xdr:from>
    <xdr:to>
      <xdr:col>5</xdr:col>
      <xdr:colOff>9525</xdr:colOff>
      <xdr:row>82</xdr:row>
      <xdr:rowOff>176213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57</xdr:row>
      <xdr:rowOff>9525</xdr:rowOff>
    </xdr:from>
    <xdr:to>
      <xdr:col>12</xdr:col>
      <xdr:colOff>9525</xdr:colOff>
      <xdr:row>82</xdr:row>
      <xdr:rowOff>176213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2"/>
  <dimension ref="A1:X67"/>
  <sheetViews>
    <sheetView zoomScale="115" zoomScaleNormal="115" workbookViewId="0">
      <selection activeCell="F16" sqref="F16"/>
    </sheetView>
  </sheetViews>
  <sheetFormatPr defaultRowHeight="17.25" x14ac:dyDescent="0.25"/>
  <cols>
    <col min="1" max="1" width="4.42578125" style="34" customWidth="1"/>
    <col min="2" max="2" width="2.42578125" style="34" bestFit="1" customWidth="1"/>
    <col min="3" max="4" width="8.28515625" style="34" customWidth="1"/>
    <col min="5" max="5" width="4.140625" style="34" customWidth="1"/>
    <col min="6" max="6" width="2.7109375" style="34" customWidth="1"/>
    <col min="7" max="8" width="8.28515625" style="34" customWidth="1"/>
    <col min="9" max="9" width="4.140625" style="34" customWidth="1"/>
    <col min="10" max="10" width="2.7109375" style="34" customWidth="1"/>
    <col min="11" max="12" width="8.28515625" style="34" customWidth="1"/>
    <col min="13" max="13" width="4.140625" style="34" customWidth="1"/>
    <col min="14" max="14" width="3.5703125" style="34" customWidth="1"/>
    <col min="15" max="15" width="4.7109375" style="30" customWidth="1"/>
    <col min="16" max="16" width="9.140625" style="23"/>
    <col min="17" max="17" width="10.42578125" style="23" bestFit="1" customWidth="1"/>
    <col min="18" max="19" width="9.140625" style="23"/>
    <col min="20" max="20" width="9.28515625" style="222" bestFit="1" customWidth="1"/>
    <col min="21" max="21" width="4.7109375" style="23" customWidth="1"/>
    <col min="22" max="22" width="5.85546875" style="23" customWidth="1"/>
    <col min="23" max="23" width="13.5703125" style="23" bestFit="1" customWidth="1"/>
    <col min="24" max="24" width="10.7109375" style="23" bestFit="1" customWidth="1"/>
    <col min="25" max="16384" width="9.140625" style="23"/>
  </cols>
  <sheetData>
    <row r="1" spans="1:24" ht="19.5" thickBot="1" x14ac:dyDescent="0.3">
      <c r="A1" s="26">
        <v>1</v>
      </c>
      <c r="B1" s="31"/>
      <c r="C1" s="229" t="s">
        <v>16</v>
      </c>
      <c r="D1" s="490" t="s">
        <v>101</v>
      </c>
      <c r="E1" s="491">
        <v>1</v>
      </c>
      <c r="F1" s="225"/>
      <c r="G1" s="223" t="s">
        <v>14</v>
      </c>
      <c r="H1" s="385" t="s">
        <v>101</v>
      </c>
      <c r="I1" s="224">
        <v>23</v>
      </c>
      <c r="J1" s="225"/>
      <c r="K1" s="274" t="s">
        <v>12</v>
      </c>
      <c r="L1" s="275" t="s">
        <v>101</v>
      </c>
      <c r="M1" s="276">
        <v>45</v>
      </c>
      <c r="N1" s="501" t="s">
        <v>61</v>
      </c>
      <c r="P1" s="504" t="s">
        <v>64</v>
      </c>
      <c r="Q1" s="505"/>
      <c r="R1" s="505"/>
      <c r="S1" s="505"/>
      <c r="T1" s="506"/>
      <c r="V1" s="343" t="s">
        <v>0</v>
      </c>
      <c r="W1" s="316" t="s">
        <v>30</v>
      </c>
      <c r="X1" s="293" t="s">
        <v>31</v>
      </c>
    </row>
    <row r="2" spans="1:24" ht="19.5" thickBot="1" x14ac:dyDescent="0.3">
      <c r="A2" s="27">
        <v>2</v>
      </c>
      <c r="B2" s="25"/>
      <c r="C2" s="248" t="s">
        <v>13</v>
      </c>
      <c r="D2" s="386" t="s">
        <v>101</v>
      </c>
      <c r="E2" s="249">
        <v>2</v>
      </c>
      <c r="F2" s="270"/>
      <c r="G2" s="236" t="s">
        <v>11</v>
      </c>
      <c r="H2" s="387" t="s">
        <v>101</v>
      </c>
      <c r="I2" s="244">
        <v>24</v>
      </c>
      <c r="J2" s="270"/>
      <c r="K2" s="241" t="s">
        <v>10</v>
      </c>
      <c r="L2" s="242" t="s">
        <v>101</v>
      </c>
      <c r="M2" s="243">
        <v>46</v>
      </c>
      <c r="N2" s="502"/>
      <c r="P2" s="206" t="s">
        <v>76</v>
      </c>
      <c r="Q2" s="207" t="s">
        <v>77</v>
      </c>
      <c r="R2" s="207" t="s">
        <v>27</v>
      </c>
      <c r="S2" s="283" t="s">
        <v>75</v>
      </c>
      <c r="T2" s="221" t="s">
        <v>84</v>
      </c>
      <c r="V2" s="344">
        <f t="shared" ref="V2:V23" si="0">E1</f>
        <v>1</v>
      </c>
      <c r="W2" s="341" t="str">
        <f t="shared" ref="W2:W23" si="1">C1</f>
        <v>T6</v>
      </c>
      <c r="X2" s="292" t="str">
        <f t="shared" ref="X2:X23" si="2">D1</f>
        <v>R10</v>
      </c>
    </row>
    <row r="3" spans="1:24" ht="18.75" x14ac:dyDescent="0.25">
      <c r="A3" s="27">
        <v>3</v>
      </c>
      <c r="B3" s="25"/>
      <c r="C3" s="223" t="s">
        <v>14</v>
      </c>
      <c r="D3" s="385" t="s">
        <v>2</v>
      </c>
      <c r="E3" s="224">
        <v>3</v>
      </c>
      <c r="F3" s="225"/>
      <c r="G3" s="226" t="s">
        <v>13</v>
      </c>
      <c r="H3" s="227" t="s">
        <v>5</v>
      </c>
      <c r="I3" s="228">
        <v>25</v>
      </c>
      <c r="J3" s="225"/>
      <c r="K3" s="229" t="s">
        <v>16</v>
      </c>
      <c r="L3" s="230" t="s">
        <v>8</v>
      </c>
      <c r="M3" s="231">
        <v>47</v>
      </c>
      <c r="N3" s="502"/>
      <c r="P3" s="203">
        <v>1</v>
      </c>
      <c r="Q3" s="281" t="s">
        <v>105</v>
      </c>
      <c r="R3" s="204">
        <v>134</v>
      </c>
      <c r="S3" s="284">
        <f>R3/$R$8</f>
        <v>4.8709560159941837E-2</v>
      </c>
      <c r="T3" s="289">
        <v>2</v>
      </c>
      <c r="V3" s="345">
        <f t="shared" si="0"/>
        <v>2</v>
      </c>
      <c r="W3" s="342" t="str">
        <f t="shared" si="1"/>
        <v>T2</v>
      </c>
      <c r="X3" s="35" t="str">
        <f t="shared" si="2"/>
        <v>R10</v>
      </c>
    </row>
    <row r="4" spans="1:24" ht="18.75" x14ac:dyDescent="0.25">
      <c r="A4" s="27">
        <v>4</v>
      </c>
      <c r="B4" s="25"/>
      <c r="C4" s="232" t="s">
        <v>12</v>
      </c>
      <c r="D4" s="388" t="s">
        <v>2</v>
      </c>
      <c r="E4" s="233">
        <v>4</v>
      </c>
      <c r="F4" s="492"/>
      <c r="G4" s="232" t="s">
        <v>12</v>
      </c>
      <c r="H4" s="234" t="s">
        <v>5</v>
      </c>
      <c r="I4" s="235">
        <v>26</v>
      </c>
      <c r="J4" s="492"/>
      <c r="K4" s="236" t="s">
        <v>11</v>
      </c>
      <c r="L4" s="237" t="s">
        <v>8</v>
      </c>
      <c r="M4" s="238">
        <v>48</v>
      </c>
      <c r="N4" s="502"/>
      <c r="P4" s="209">
        <v>2</v>
      </c>
      <c r="Q4" s="208" t="s">
        <v>106</v>
      </c>
      <c r="R4" s="208">
        <v>643</v>
      </c>
      <c r="S4" s="285">
        <f>R4/$R$8</f>
        <v>0.2337331879316612</v>
      </c>
      <c r="T4" s="287">
        <v>9</v>
      </c>
      <c r="V4" s="345">
        <f t="shared" si="0"/>
        <v>3</v>
      </c>
      <c r="W4" s="342" t="str">
        <f t="shared" si="1"/>
        <v>T5</v>
      </c>
      <c r="X4" s="35" t="str">
        <f t="shared" si="2"/>
        <v>R1</v>
      </c>
    </row>
    <row r="5" spans="1:24" ht="18.75" x14ac:dyDescent="0.25">
      <c r="A5" s="27">
        <v>5</v>
      </c>
      <c r="B5" s="25"/>
      <c r="C5" s="239" t="s">
        <v>16</v>
      </c>
      <c r="D5" s="389" t="s">
        <v>2</v>
      </c>
      <c r="E5" s="240">
        <v>5</v>
      </c>
      <c r="F5" s="492"/>
      <c r="G5" s="241" t="s">
        <v>10</v>
      </c>
      <c r="H5" s="242" t="s">
        <v>5</v>
      </c>
      <c r="I5" s="243">
        <v>27</v>
      </c>
      <c r="J5" s="492"/>
      <c r="K5" s="245" t="s">
        <v>14</v>
      </c>
      <c r="L5" s="246" t="s">
        <v>8</v>
      </c>
      <c r="M5" s="247">
        <v>49</v>
      </c>
      <c r="N5" s="502"/>
      <c r="P5" s="209">
        <v>3</v>
      </c>
      <c r="Q5" s="208" t="s">
        <v>107</v>
      </c>
      <c r="R5" s="208">
        <v>1092</v>
      </c>
      <c r="S5" s="285">
        <f>R5/$R$8</f>
        <v>0.39694656488549618</v>
      </c>
      <c r="T5" s="287">
        <v>16</v>
      </c>
      <c r="V5" s="345">
        <f t="shared" si="0"/>
        <v>4</v>
      </c>
      <c r="W5" s="342" t="str">
        <f t="shared" si="1"/>
        <v>T3</v>
      </c>
      <c r="X5" s="35" t="str">
        <f t="shared" si="2"/>
        <v>R1</v>
      </c>
    </row>
    <row r="6" spans="1:24" ht="18.75" x14ac:dyDescent="0.25">
      <c r="A6" s="27">
        <v>6</v>
      </c>
      <c r="B6" s="25"/>
      <c r="C6" s="236" t="s">
        <v>11</v>
      </c>
      <c r="D6" s="387" t="s">
        <v>2</v>
      </c>
      <c r="E6" s="244">
        <v>6</v>
      </c>
      <c r="F6" s="492"/>
      <c r="G6" s="245" t="s">
        <v>14</v>
      </c>
      <c r="H6" s="246" t="s">
        <v>5</v>
      </c>
      <c r="I6" s="247">
        <v>28</v>
      </c>
      <c r="J6" s="492"/>
      <c r="K6" s="241" t="s">
        <v>10</v>
      </c>
      <c r="L6" s="242" t="s">
        <v>8</v>
      </c>
      <c r="M6" s="243">
        <v>50</v>
      </c>
      <c r="N6" s="502"/>
      <c r="P6" s="209">
        <v>4</v>
      </c>
      <c r="Q6" s="208" t="s">
        <v>108</v>
      </c>
      <c r="R6" s="208">
        <v>668</v>
      </c>
      <c r="S6" s="285">
        <f>R6/$R$8</f>
        <v>0.24282079243911306</v>
      </c>
      <c r="T6" s="287">
        <v>10</v>
      </c>
      <c r="V6" s="345">
        <f t="shared" si="0"/>
        <v>5</v>
      </c>
      <c r="W6" s="342" t="str">
        <f t="shared" si="1"/>
        <v>T6</v>
      </c>
      <c r="X6" s="35" t="str">
        <f t="shared" si="2"/>
        <v>R1</v>
      </c>
    </row>
    <row r="7" spans="1:24" ht="19.5" thickBot="1" x14ac:dyDescent="0.3">
      <c r="A7" s="27">
        <v>7</v>
      </c>
      <c r="B7" s="25"/>
      <c r="C7" s="248" t="s">
        <v>13</v>
      </c>
      <c r="D7" s="386" t="s">
        <v>2</v>
      </c>
      <c r="E7" s="249">
        <v>7</v>
      </c>
      <c r="F7" s="492"/>
      <c r="G7" s="239" t="s">
        <v>16</v>
      </c>
      <c r="H7" s="250" t="s">
        <v>5</v>
      </c>
      <c r="I7" s="251">
        <v>29</v>
      </c>
      <c r="J7" s="492"/>
      <c r="K7" s="232" t="s">
        <v>12</v>
      </c>
      <c r="L7" s="234" t="s">
        <v>8</v>
      </c>
      <c r="M7" s="235">
        <v>51</v>
      </c>
      <c r="N7" s="502"/>
      <c r="P7" s="141">
        <v>5</v>
      </c>
      <c r="Q7" s="282" t="s">
        <v>109</v>
      </c>
      <c r="R7" s="142">
        <v>214</v>
      </c>
      <c r="S7" s="286">
        <f>R7/$R$8</f>
        <v>7.7789894583787711E-2</v>
      </c>
      <c r="T7" s="288">
        <v>3</v>
      </c>
      <c r="V7" s="345">
        <f t="shared" si="0"/>
        <v>6</v>
      </c>
      <c r="W7" s="342" t="str">
        <f t="shared" si="1"/>
        <v>T4</v>
      </c>
      <c r="X7" s="35" t="str">
        <f t="shared" si="2"/>
        <v>R1</v>
      </c>
    </row>
    <row r="8" spans="1:24" ht="19.5" thickBot="1" x14ac:dyDescent="0.3">
      <c r="A8" s="26">
        <v>8</v>
      </c>
      <c r="B8" s="31"/>
      <c r="C8" s="271" t="s">
        <v>10</v>
      </c>
      <c r="D8" s="390" t="s">
        <v>2</v>
      </c>
      <c r="E8" s="278">
        <v>8</v>
      </c>
      <c r="F8" s="492"/>
      <c r="G8" s="252" t="s">
        <v>11</v>
      </c>
      <c r="H8" s="253" t="s">
        <v>5</v>
      </c>
      <c r="I8" s="254">
        <v>30</v>
      </c>
      <c r="J8" s="492"/>
      <c r="K8" s="255" t="s">
        <v>13</v>
      </c>
      <c r="L8" s="256" t="s">
        <v>8</v>
      </c>
      <c r="M8" s="257">
        <v>52</v>
      </c>
      <c r="N8" s="501" t="s">
        <v>62</v>
      </c>
      <c r="Q8" s="486" t="s">
        <v>78</v>
      </c>
      <c r="R8" s="210">
        <f>SUM(R3:R7)</f>
        <v>2751</v>
      </c>
      <c r="V8" s="345">
        <f t="shared" si="0"/>
        <v>7</v>
      </c>
      <c r="W8" s="342" t="str">
        <f t="shared" si="1"/>
        <v>T2</v>
      </c>
      <c r="X8" s="35" t="str">
        <f t="shared" si="2"/>
        <v>R1</v>
      </c>
    </row>
    <row r="9" spans="1:24" ht="19.5" thickBot="1" x14ac:dyDescent="0.3">
      <c r="A9" s="27">
        <v>9</v>
      </c>
      <c r="B9" s="25"/>
      <c r="C9" s="258" t="s">
        <v>11</v>
      </c>
      <c r="D9" s="391" t="s">
        <v>3</v>
      </c>
      <c r="E9" s="259">
        <v>9</v>
      </c>
      <c r="F9" s="225"/>
      <c r="G9" s="260" t="s">
        <v>10</v>
      </c>
      <c r="H9" s="261" t="s">
        <v>6</v>
      </c>
      <c r="I9" s="262">
        <v>31</v>
      </c>
      <c r="J9" s="225"/>
      <c r="K9" s="223" t="s">
        <v>14</v>
      </c>
      <c r="L9" s="263" t="s">
        <v>9</v>
      </c>
      <c r="M9" s="264">
        <v>53</v>
      </c>
      <c r="N9" s="502"/>
      <c r="Q9" s="489" t="s">
        <v>104</v>
      </c>
      <c r="R9" s="487">
        <v>96</v>
      </c>
      <c r="S9" s="488">
        <f>($R$9/SUM(R8:R9))</f>
        <v>3.3719704952581663E-2</v>
      </c>
      <c r="T9" s="417"/>
      <c r="U9" s="417"/>
      <c r="V9" s="345">
        <f t="shared" si="0"/>
        <v>8</v>
      </c>
      <c r="W9" s="342" t="str">
        <f t="shared" si="1"/>
        <v>T1</v>
      </c>
      <c r="X9" s="35" t="str">
        <f t="shared" si="2"/>
        <v>R1</v>
      </c>
    </row>
    <row r="10" spans="1:24" ht="18.75" x14ac:dyDescent="0.25">
      <c r="A10" s="27">
        <v>10</v>
      </c>
      <c r="B10" s="25"/>
      <c r="C10" s="239" t="s">
        <v>16</v>
      </c>
      <c r="D10" s="389" t="s">
        <v>3</v>
      </c>
      <c r="E10" s="240">
        <v>10</v>
      </c>
      <c r="F10" s="492"/>
      <c r="G10" s="239" t="s">
        <v>16</v>
      </c>
      <c r="H10" s="250" t="s">
        <v>6</v>
      </c>
      <c r="I10" s="251">
        <v>32</v>
      </c>
      <c r="J10" s="492"/>
      <c r="K10" s="236" t="s">
        <v>11</v>
      </c>
      <c r="L10" s="237" t="s">
        <v>9</v>
      </c>
      <c r="M10" s="238">
        <v>54</v>
      </c>
      <c r="N10" s="502"/>
      <c r="P10" s="135"/>
      <c r="V10" s="345">
        <f t="shared" si="0"/>
        <v>9</v>
      </c>
      <c r="W10" s="342" t="str">
        <f t="shared" si="1"/>
        <v>T4</v>
      </c>
      <c r="X10" s="35" t="str">
        <f t="shared" si="2"/>
        <v>R2</v>
      </c>
    </row>
    <row r="11" spans="1:24" ht="18.75" x14ac:dyDescent="0.25">
      <c r="A11" s="27">
        <v>11</v>
      </c>
      <c r="B11" s="25"/>
      <c r="C11" s="248" t="s">
        <v>13</v>
      </c>
      <c r="D11" s="386" t="s">
        <v>3</v>
      </c>
      <c r="E11" s="249">
        <v>11</v>
      </c>
      <c r="F11" s="492"/>
      <c r="G11" s="232" t="s">
        <v>12</v>
      </c>
      <c r="H11" s="234" t="s">
        <v>6</v>
      </c>
      <c r="I11" s="235">
        <v>33</v>
      </c>
      <c r="J11" s="492"/>
      <c r="K11" s="239" t="s">
        <v>16</v>
      </c>
      <c r="L11" s="250" t="s">
        <v>9</v>
      </c>
      <c r="M11" s="251">
        <v>55</v>
      </c>
      <c r="N11" s="502"/>
      <c r="V11" s="345">
        <f t="shared" si="0"/>
        <v>10</v>
      </c>
      <c r="W11" s="342" t="str">
        <f t="shared" si="1"/>
        <v>T6</v>
      </c>
      <c r="X11" s="35" t="str">
        <f t="shared" si="2"/>
        <v>R2</v>
      </c>
    </row>
    <row r="12" spans="1:24" ht="18.75" x14ac:dyDescent="0.25">
      <c r="A12" s="27">
        <v>12</v>
      </c>
      <c r="B12" s="25"/>
      <c r="C12" s="241" t="s">
        <v>10</v>
      </c>
      <c r="D12" s="392" t="s">
        <v>3</v>
      </c>
      <c r="E12" s="267">
        <v>12</v>
      </c>
      <c r="F12" s="492"/>
      <c r="G12" s="248" t="s">
        <v>13</v>
      </c>
      <c r="H12" s="265" t="s">
        <v>6</v>
      </c>
      <c r="I12" s="266">
        <v>34</v>
      </c>
      <c r="J12" s="492"/>
      <c r="K12" s="232" t="s">
        <v>12</v>
      </c>
      <c r="L12" s="234" t="s">
        <v>9</v>
      </c>
      <c r="M12" s="235">
        <v>56</v>
      </c>
      <c r="N12" s="502"/>
      <c r="P12" s="135"/>
      <c r="V12" s="345">
        <f t="shared" si="0"/>
        <v>11</v>
      </c>
      <c r="W12" s="342" t="str">
        <f t="shared" si="1"/>
        <v>T2</v>
      </c>
      <c r="X12" s="35" t="str">
        <f t="shared" si="2"/>
        <v>R2</v>
      </c>
    </row>
    <row r="13" spans="1:24" ht="18.75" x14ac:dyDescent="0.25">
      <c r="A13" s="27">
        <v>13</v>
      </c>
      <c r="B13" s="25"/>
      <c r="C13" s="232" t="s">
        <v>12</v>
      </c>
      <c r="D13" s="388" t="s">
        <v>3</v>
      </c>
      <c r="E13" s="233">
        <v>13</v>
      </c>
      <c r="F13" s="492"/>
      <c r="G13" s="245" t="s">
        <v>14</v>
      </c>
      <c r="H13" s="246" t="s">
        <v>6</v>
      </c>
      <c r="I13" s="247">
        <v>35</v>
      </c>
      <c r="J13" s="492"/>
      <c r="K13" s="248" t="s">
        <v>13</v>
      </c>
      <c r="L13" s="265" t="s">
        <v>9</v>
      </c>
      <c r="M13" s="266">
        <v>57</v>
      </c>
      <c r="N13" s="502"/>
      <c r="P13" s="135"/>
      <c r="U13" s="200"/>
      <c r="V13" s="345">
        <f t="shared" si="0"/>
        <v>12</v>
      </c>
      <c r="W13" s="342" t="str">
        <f t="shared" si="1"/>
        <v>T1</v>
      </c>
      <c r="X13" s="35" t="str">
        <f t="shared" si="2"/>
        <v>R2</v>
      </c>
    </row>
    <row r="14" spans="1:24" ht="19.5" thickBot="1" x14ac:dyDescent="0.3">
      <c r="A14" s="28">
        <v>14</v>
      </c>
      <c r="B14" s="32"/>
      <c r="C14" s="268" t="s">
        <v>14</v>
      </c>
      <c r="D14" s="393" t="s">
        <v>3</v>
      </c>
      <c r="E14" s="269">
        <v>14</v>
      </c>
      <c r="F14" s="270"/>
      <c r="G14" s="252" t="s">
        <v>11</v>
      </c>
      <c r="H14" s="253" t="s">
        <v>6</v>
      </c>
      <c r="I14" s="254">
        <v>36</v>
      </c>
      <c r="J14" s="270"/>
      <c r="K14" s="271" t="s">
        <v>10</v>
      </c>
      <c r="L14" s="272" t="s">
        <v>9</v>
      </c>
      <c r="M14" s="273">
        <v>58</v>
      </c>
      <c r="N14" s="502"/>
      <c r="U14" s="200"/>
      <c r="V14" s="345">
        <f t="shared" si="0"/>
        <v>13</v>
      </c>
      <c r="W14" s="342" t="str">
        <f t="shared" si="1"/>
        <v>T3</v>
      </c>
      <c r="X14" s="35" t="str">
        <f t="shared" si="2"/>
        <v>R2</v>
      </c>
    </row>
    <row r="15" spans="1:24" ht="18.75" x14ac:dyDescent="0.25">
      <c r="A15" s="26">
        <v>15</v>
      </c>
      <c r="B15" s="31"/>
      <c r="C15" s="236" t="s">
        <v>11</v>
      </c>
      <c r="D15" s="387" t="s">
        <v>4</v>
      </c>
      <c r="E15" s="244">
        <v>15</v>
      </c>
      <c r="F15" s="492"/>
      <c r="G15" s="248" t="s">
        <v>13</v>
      </c>
      <c r="H15" s="265" t="s">
        <v>7</v>
      </c>
      <c r="I15" s="266">
        <v>37</v>
      </c>
      <c r="J15" s="492"/>
      <c r="K15" s="274" t="s">
        <v>12</v>
      </c>
      <c r="L15" s="275" t="s">
        <v>22</v>
      </c>
      <c r="M15" s="276">
        <v>59</v>
      </c>
      <c r="N15" s="501" t="s">
        <v>63</v>
      </c>
      <c r="V15" s="345">
        <f t="shared" si="0"/>
        <v>14</v>
      </c>
      <c r="W15" s="342" t="str">
        <f t="shared" si="1"/>
        <v>T5</v>
      </c>
      <c r="X15" s="35" t="str">
        <f t="shared" si="2"/>
        <v>R2</v>
      </c>
    </row>
    <row r="16" spans="1:24" ht="18.75" x14ac:dyDescent="0.25">
      <c r="A16" s="27">
        <v>16</v>
      </c>
      <c r="B16" s="25"/>
      <c r="C16" s="248" t="s">
        <v>13</v>
      </c>
      <c r="D16" s="386" t="s">
        <v>4</v>
      </c>
      <c r="E16" s="249">
        <v>16</v>
      </c>
      <c r="F16" s="492"/>
      <c r="G16" s="239" t="s">
        <v>16</v>
      </c>
      <c r="H16" s="250" t="s">
        <v>7</v>
      </c>
      <c r="I16" s="251">
        <v>38</v>
      </c>
      <c r="J16" s="492"/>
      <c r="K16" s="245" t="s">
        <v>14</v>
      </c>
      <c r="L16" s="246" t="s">
        <v>22</v>
      </c>
      <c r="M16" s="247">
        <v>60</v>
      </c>
      <c r="N16" s="502"/>
      <c r="V16" s="345">
        <f t="shared" si="0"/>
        <v>15</v>
      </c>
      <c r="W16" s="342" t="str">
        <f t="shared" si="1"/>
        <v>T4</v>
      </c>
      <c r="X16" s="35" t="str">
        <f t="shared" si="2"/>
        <v>R3</v>
      </c>
    </row>
    <row r="17" spans="1:24" ht="18.75" x14ac:dyDescent="0.25">
      <c r="A17" s="27">
        <v>17</v>
      </c>
      <c r="B17" s="25"/>
      <c r="C17" s="239" t="s">
        <v>16</v>
      </c>
      <c r="D17" s="389" t="s">
        <v>4</v>
      </c>
      <c r="E17" s="240">
        <v>17</v>
      </c>
      <c r="F17" s="492"/>
      <c r="G17" s="236" t="s">
        <v>11</v>
      </c>
      <c r="H17" s="237" t="s">
        <v>7</v>
      </c>
      <c r="I17" s="238">
        <v>39</v>
      </c>
      <c r="J17" s="492"/>
      <c r="K17" s="248" t="s">
        <v>13</v>
      </c>
      <c r="L17" s="265" t="s">
        <v>22</v>
      </c>
      <c r="M17" s="266">
        <v>61</v>
      </c>
      <c r="N17" s="502"/>
      <c r="V17" s="345">
        <f t="shared" si="0"/>
        <v>16</v>
      </c>
      <c r="W17" s="342" t="str">
        <f t="shared" si="1"/>
        <v>T2</v>
      </c>
      <c r="X17" s="35" t="str">
        <f t="shared" si="2"/>
        <v>R3</v>
      </c>
    </row>
    <row r="18" spans="1:24" ht="18.75" x14ac:dyDescent="0.25">
      <c r="A18" s="27">
        <v>18</v>
      </c>
      <c r="B18" s="25"/>
      <c r="C18" s="245" t="s">
        <v>14</v>
      </c>
      <c r="D18" s="394" t="s">
        <v>4</v>
      </c>
      <c r="E18" s="277">
        <v>18</v>
      </c>
      <c r="F18" s="492"/>
      <c r="G18" s="232" t="s">
        <v>12</v>
      </c>
      <c r="H18" s="234" t="s">
        <v>7</v>
      </c>
      <c r="I18" s="235">
        <v>40</v>
      </c>
      <c r="J18" s="492"/>
      <c r="K18" s="239" t="s">
        <v>16</v>
      </c>
      <c r="L18" s="250" t="s">
        <v>22</v>
      </c>
      <c r="M18" s="251">
        <v>62</v>
      </c>
      <c r="N18" s="502"/>
      <c r="V18" s="345">
        <f t="shared" si="0"/>
        <v>17</v>
      </c>
      <c r="W18" s="342" t="str">
        <f t="shared" si="1"/>
        <v>T6</v>
      </c>
      <c r="X18" s="35" t="str">
        <f t="shared" si="2"/>
        <v>R3</v>
      </c>
    </row>
    <row r="19" spans="1:24" ht="18.75" x14ac:dyDescent="0.25">
      <c r="A19" s="27">
        <v>19</v>
      </c>
      <c r="B19" s="25"/>
      <c r="C19" s="232" t="s">
        <v>12</v>
      </c>
      <c r="D19" s="388" t="s">
        <v>4</v>
      </c>
      <c r="E19" s="233">
        <v>19</v>
      </c>
      <c r="F19" s="492"/>
      <c r="G19" s="241" t="s">
        <v>10</v>
      </c>
      <c r="H19" s="242" t="s">
        <v>7</v>
      </c>
      <c r="I19" s="243">
        <v>41</v>
      </c>
      <c r="J19" s="492"/>
      <c r="K19" s="241" t="s">
        <v>10</v>
      </c>
      <c r="L19" s="242" t="s">
        <v>22</v>
      </c>
      <c r="M19" s="243">
        <v>63</v>
      </c>
      <c r="N19" s="502"/>
      <c r="V19" s="345">
        <f t="shared" si="0"/>
        <v>18</v>
      </c>
      <c r="W19" s="342" t="str">
        <f t="shared" si="1"/>
        <v>T5</v>
      </c>
      <c r="X19" s="35" t="str">
        <f t="shared" si="2"/>
        <v>R3</v>
      </c>
    </row>
    <row r="20" spans="1:24" ht="19.5" thickBot="1" x14ac:dyDescent="0.3">
      <c r="A20" s="27">
        <v>20</v>
      </c>
      <c r="B20" s="25"/>
      <c r="C20" s="271" t="s">
        <v>10</v>
      </c>
      <c r="D20" s="390" t="s">
        <v>4</v>
      </c>
      <c r="E20" s="278">
        <v>20</v>
      </c>
      <c r="F20" s="492"/>
      <c r="G20" s="268" t="s">
        <v>14</v>
      </c>
      <c r="H20" s="279" t="s">
        <v>7</v>
      </c>
      <c r="I20" s="280">
        <v>42</v>
      </c>
      <c r="J20" s="492"/>
      <c r="K20" s="252" t="s">
        <v>11</v>
      </c>
      <c r="L20" s="253" t="s">
        <v>22</v>
      </c>
      <c r="M20" s="254">
        <v>64</v>
      </c>
      <c r="N20" s="502"/>
      <c r="V20" s="345">
        <f t="shared" si="0"/>
        <v>19</v>
      </c>
      <c r="W20" s="342" t="str">
        <f t="shared" si="1"/>
        <v>T3</v>
      </c>
      <c r="X20" s="35" t="str">
        <f t="shared" si="2"/>
        <v>R3</v>
      </c>
    </row>
    <row r="21" spans="1:24" ht="18.75" x14ac:dyDescent="0.25">
      <c r="A21" s="27">
        <v>21</v>
      </c>
      <c r="B21" s="25"/>
      <c r="C21" s="248" t="s">
        <v>13</v>
      </c>
      <c r="D21" s="265" t="s">
        <v>102</v>
      </c>
      <c r="E21" s="266">
        <v>21</v>
      </c>
      <c r="F21" s="492"/>
      <c r="G21" s="239" t="s">
        <v>16</v>
      </c>
      <c r="H21" s="389" t="s">
        <v>102</v>
      </c>
      <c r="I21" s="240">
        <v>43</v>
      </c>
      <c r="J21" s="492"/>
      <c r="K21" s="274" t="s">
        <v>12</v>
      </c>
      <c r="L21" s="275" t="s">
        <v>102</v>
      </c>
      <c r="M21" s="276">
        <v>65</v>
      </c>
      <c r="N21" s="502"/>
      <c r="V21" s="345">
        <f t="shared" si="0"/>
        <v>20</v>
      </c>
      <c r="W21" s="342" t="str">
        <f t="shared" si="1"/>
        <v>T1</v>
      </c>
      <c r="X21" s="35" t="str">
        <f t="shared" si="2"/>
        <v>R3</v>
      </c>
    </row>
    <row r="22" spans="1:24" ht="19.5" customHeight="1" thickBot="1" x14ac:dyDescent="0.3">
      <c r="A22" s="29">
        <v>22</v>
      </c>
      <c r="B22" s="33"/>
      <c r="C22" s="268" t="s">
        <v>14</v>
      </c>
      <c r="D22" s="279" t="s">
        <v>102</v>
      </c>
      <c r="E22" s="280">
        <v>22</v>
      </c>
      <c r="F22" s="270"/>
      <c r="G22" s="252" t="s">
        <v>11</v>
      </c>
      <c r="H22" s="253" t="s">
        <v>102</v>
      </c>
      <c r="I22" s="254">
        <v>44</v>
      </c>
      <c r="J22" s="270"/>
      <c r="K22" s="493" t="s">
        <v>10</v>
      </c>
      <c r="L22" s="494" t="s">
        <v>102</v>
      </c>
      <c r="M22" s="495">
        <v>66</v>
      </c>
      <c r="N22" s="503"/>
      <c r="V22" s="345">
        <f t="shared" si="0"/>
        <v>21</v>
      </c>
      <c r="W22" s="342" t="str">
        <f t="shared" si="1"/>
        <v>T2</v>
      </c>
      <c r="X22" s="35" t="str">
        <f t="shared" si="2"/>
        <v>R11</v>
      </c>
    </row>
    <row r="23" spans="1:24" ht="15" customHeight="1" x14ac:dyDescent="0.25">
      <c r="A23" s="497"/>
      <c r="B23" s="497"/>
      <c r="C23" s="497"/>
      <c r="D23" s="497"/>
      <c r="E23" s="497"/>
      <c r="F23" s="497"/>
      <c r="G23" s="497"/>
      <c r="H23" s="497"/>
      <c r="I23" s="497"/>
      <c r="J23" s="498"/>
      <c r="K23" s="498"/>
      <c r="L23" s="498"/>
      <c r="M23" s="497"/>
      <c r="N23" s="497"/>
      <c r="V23" s="345">
        <f t="shared" si="0"/>
        <v>22</v>
      </c>
      <c r="W23" s="342" t="str">
        <f t="shared" si="1"/>
        <v>T5</v>
      </c>
      <c r="X23" s="35" t="str">
        <f t="shared" si="2"/>
        <v>R11</v>
      </c>
    </row>
    <row r="24" spans="1:24" ht="15" customHeight="1" x14ac:dyDescent="0.25">
      <c r="A24" s="499"/>
      <c r="B24" s="499"/>
      <c r="C24" s="499"/>
      <c r="D24" s="499"/>
      <c r="E24" s="499"/>
      <c r="F24" s="499"/>
      <c r="G24" s="499"/>
      <c r="H24" s="499"/>
      <c r="I24" s="499"/>
      <c r="J24" s="500"/>
      <c r="K24" s="500"/>
      <c r="L24" s="500"/>
      <c r="M24" s="499"/>
      <c r="N24" s="499"/>
      <c r="V24" s="345">
        <f t="shared" ref="V24:V45" si="3">I1</f>
        <v>23</v>
      </c>
      <c r="W24" s="342" t="str">
        <f t="shared" ref="W24:W45" si="4">G1</f>
        <v>T5</v>
      </c>
      <c r="X24" s="36" t="str">
        <f t="shared" ref="X24:X45" si="5">H1</f>
        <v>R10</v>
      </c>
    </row>
    <row r="25" spans="1:24" ht="15" customHeight="1" x14ac:dyDescent="0.25">
      <c r="A25" s="499"/>
      <c r="B25" s="499"/>
      <c r="C25" s="499"/>
      <c r="D25" s="499"/>
      <c r="E25" s="499"/>
      <c r="F25" s="499"/>
      <c r="G25" s="499"/>
      <c r="H25" s="499"/>
      <c r="I25" s="499"/>
      <c r="J25" s="500"/>
      <c r="K25" s="500"/>
      <c r="L25" s="500"/>
      <c r="M25" s="499"/>
      <c r="N25" s="499"/>
      <c r="V25" s="345">
        <f t="shared" si="3"/>
        <v>24</v>
      </c>
      <c r="W25" s="342" t="str">
        <f t="shared" si="4"/>
        <v>T4</v>
      </c>
      <c r="X25" s="36" t="str">
        <f t="shared" si="5"/>
        <v>R10</v>
      </c>
    </row>
    <row r="26" spans="1:24" x14ac:dyDescent="0.25">
      <c r="V26" s="345">
        <f t="shared" si="3"/>
        <v>25</v>
      </c>
      <c r="W26" s="342" t="str">
        <f t="shared" si="4"/>
        <v>T2</v>
      </c>
      <c r="X26" s="36" t="str">
        <f t="shared" si="5"/>
        <v>R4</v>
      </c>
    </row>
    <row r="27" spans="1:24" x14ac:dyDescent="0.25">
      <c r="V27" s="345">
        <f t="shared" si="3"/>
        <v>26</v>
      </c>
      <c r="W27" s="342" t="str">
        <f t="shared" si="4"/>
        <v>T3</v>
      </c>
      <c r="X27" s="36" t="str">
        <f t="shared" si="5"/>
        <v>R4</v>
      </c>
    </row>
    <row r="28" spans="1:24" x14ac:dyDescent="0.25">
      <c r="V28" s="345">
        <f t="shared" si="3"/>
        <v>27</v>
      </c>
      <c r="W28" s="342" t="str">
        <f t="shared" si="4"/>
        <v>T1</v>
      </c>
      <c r="X28" s="36" t="str">
        <f t="shared" si="5"/>
        <v>R4</v>
      </c>
    </row>
    <row r="29" spans="1:24" x14ac:dyDescent="0.25">
      <c r="V29" s="345">
        <f t="shared" si="3"/>
        <v>28</v>
      </c>
      <c r="W29" s="342" t="str">
        <f t="shared" si="4"/>
        <v>T5</v>
      </c>
      <c r="X29" s="36" t="str">
        <f t="shared" si="5"/>
        <v>R4</v>
      </c>
    </row>
    <row r="30" spans="1:24" x14ac:dyDescent="0.25">
      <c r="V30" s="345">
        <f t="shared" si="3"/>
        <v>29</v>
      </c>
      <c r="W30" s="342" t="str">
        <f t="shared" si="4"/>
        <v>T6</v>
      </c>
      <c r="X30" s="36" t="str">
        <f t="shared" si="5"/>
        <v>R4</v>
      </c>
    </row>
    <row r="31" spans="1:24" x14ac:dyDescent="0.25">
      <c r="V31" s="345">
        <f t="shared" si="3"/>
        <v>30</v>
      </c>
      <c r="W31" s="342" t="str">
        <f t="shared" si="4"/>
        <v>T4</v>
      </c>
      <c r="X31" s="36" t="str">
        <f t="shared" si="5"/>
        <v>R4</v>
      </c>
    </row>
    <row r="32" spans="1:24" x14ac:dyDescent="0.25">
      <c r="V32" s="345">
        <f t="shared" si="3"/>
        <v>31</v>
      </c>
      <c r="W32" s="342" t="str">
        <f t="shared" si="4"/>
        <v>T1</v>
      </c>
      <c r="X32" s="36" t="str">
        <f t="shared" si="5"/>
        <v>R5</v>
      </c>
    </row>
    <row r="33" spans="22:24" x14ac:dyDescent="0.25">
      <c r="V33" s="345">
        <f t="shared" si="3"/>
        <v>32</v>
      </c>
      <c r="W33" s="342" t="str">
        <f t="shared" si="4"/>
        <v>T6</v>
      </c>
      <c r="X33" s="36" t="str">
        <f t="shared" si="5"/>
        <v>R5</v>
      </c>
    </row>
    <row r="34" spans="22:24" x14ac:dyDescent="0.25">
      <c r="V34" s="345">
        <f t="shared" si="3"/>
        <v>33</v>
      </c>
      <c r="W34" s="342" t="str">
        <f t="shared" si="4"/>
        <v>T3</v>
      </c>
      <c r="X34" s="36" t="str">
        <f t="shared" si="5"/>
        <v>R5</v>
      </c>
    </row>
    <row r="35" spans="22:24" x14ac:dyDescent="0.25">
      <c r="V35" s="345">
        <f t="shared" si="3"/>
        <v>34</v>
      </c>
      <c r="W35" s="342" t="str">
        <f t="shared" si="4"/>
        <v>T2</v>
      </c>
      <c r="X35" s="36" t="str">
        <f t="shared" si="5"/>
        <v>R5</v>
      </c>
    </row>
    <row r="36" spans="22:24" x14ac:dyDescent="0.25">
      <c r="V36" s="345">
        <f t="shared" si="3"/>
        <v>35</v>
      </c>
      <c r="W36" s="342" t="str">
        <f t="shared" si="4"/>
        <v>T5</v>
      </c>
      <c r="X36" s="36" t="str">
        <f t="shared" si="5"/>
        <v>R5</v>
      </c>
    </row>
    <row r="37" spans="22:24" x14ac:dyDescent="0.25">
      <c r="V37" s="345">
        <f t="shared" si="3"/>
        <v>36</v>
      </c>
      <c r="W37" s="342" t="str">
        <f t="shared" si="4"/>
        <v>T4</v>
      </c>
      <c r="X37" s="36" t="str">
        <f t="shared" si="5"/>
        <v>R5</v>
      </c>
    </row>
    <row r="38" spans="22:24" x14ac:dyDescent="0.25">
      <c r="V38" s="345">
        <f t="shared" si="3"/>
        <v>37</v>
      </c>
      <c r="W38" s="342" t="str">
        <f t="shared" si="4"/>
        <v>T2</v>
      </c>
      <c r="X38" s="36" t="str">
        <f t="shared" si="5"/>
        <v>R6</v>
      </c>
    </row>
    <row r="39" spans="22:24" x14ac:dyDescent="0.25">
      <c r="V39" s="345">
        <f t="shared" si="3"/>
        <v>38</v>
      </c>
      <c r="W39" s="342" t="str">
        <f t="shared" si="4"/>
        <v>T6</v>
      </c>
      <c r="X39" s="36" t="str">
        <f t="shared" si="5"/>
        <v>R6</v>
      </c>
    </row>
    <row r="40" spans="22:24" x14ac:dyDescent="0.25">
      <c r="V40" s="345">
        <f t="shared" si="3"/>
        <v>39</v>
      </c>
      <c r="W40" s="342" t="str">
        <f t="shared" si="4"/>
        <v>T4</v>
      </c>
      <c r="X40" s="36" t="str">
        <f t="shared" si="5"/>
        <v>R6</v>
      </c>
    </row>
    <row r="41" spans="22:24" x14ac:dyDescent="0.25">
      <c r="V41" s="345">
        <f t="shared" si="3"/>
        <v>40</v>
      </c>
      <c r="W41" s="342" t="str">
        <f t="shared" si="4"/>
        <v>T3</v>
      </c>
      <c r="X41" s="36" t="str">
        <f t="shared" si="5"/>
        <v>R6</v>
      </c>
    </row>
    <row r="42" spans="22:24" x14ac:dyDescent="0.25">
      <c r="V42" s="345">
        <f t="shared" si="3"/>
        <v>41</v>
      </c>
      <c r="W42" s="342" t="str">
        <f t="shared" si="4"/>
        <v>T1</v>
      </c>
      <c r="X42" s="36" t="str">
        <f t="shared" si="5"/>
        <v>R6</v>
      </c>
    </row>
    <row r="43" spans="22:24" x14ac:dyDescent="0.25">
      <c r="V43" s="345">
        <f t="shared" si="3"/>
        <v>42</v>
      </c>
      <c r="W43" s="342" t="str">
        <f t="shared" si="4"/>
        <v>T5</v>
      </c>
      <c r="X43" s="36" t="str">
        <f t="shared" si="5"/>
        <v>R6</v>
      </c>
    </row>
    <row r="44" spans="22:24" x14ac:dyDescent="0.25">
      <c r="V44" s="345">
        <f t="shared" si="3"/>
        <v>43</v>
      </c>
      <c r="W44" s="342" t="str">
        <f t="shared" si="4"/>
        <v>T6</v>
      </c>
      <c r="X44" s="36" t="str">
        <f t="shared" si="5"/>
        <v>R11</v>
      </c>
    </row>
    <row r="45" spans="22:24" x14ac:dyDescent="0.25">
      <c r="V45" s="345">
        <f t="shared" si="3"/>
        <v>44</v>
      </c>
      <c r="W45" s="342" t="str">
        <f t="shared" si="4"/>
        <v>T4</v>
      </c>
      <c r="X45" s="36" t="str">
        <f t="shared" si="5"/>
        <v>R11</v>
      </c>
    </row>
    <row r="46" spans="22:24" x14ac:dyDescent="0.25">
      <c r="V46" s="346">
        <f t="shared" ref="V46:V67" si="6">M1</f>
        <v>45</v>
      </c>
      <c r="W46" s="342" t="str">
        <f t="shared" ref="W46:W67" si="7">K1</f>
        <v>T3</v>
      </c>
      <c r="X46" s="36" t="str">
        <f t="shared" ref="X46:X67" si="8">L1</f>
        <v>R10</v>
      </c>
    </row>
    <row r="47" spans="22:24" x14ac:dyDescent="0.25">
      <c r="V47" s="346">
        <f t="shared" si="6"/>
        <v>46</v>
      </c>
      <c r="W47" s="342" t="str">
        <f t="shared" si="7"/>
        <v>T1</v>
      </c>
      <c r="X47" s="36" t="str">
        <f t="shared" si="8"/>
        <v>R10</v>
      </c>
    </row>
    <row r="48" spans="22:24" x14ac:dyDescent="0.25">
      <c r="V48" s="346">
        <f t="shared" si="6"/>
        <v>47</v>
      </c>
      <c r="W48" s="342" t="str">
        <f t="shared" si="7"/>
        <v>T6</v>
      </c>
      <c r="X48" s="36" t="str">
        <f t="shared" si="8"/>
        <v>R7</v>
      </c>
    </row>
    <row r="49" spans="22:24" x14ac:dyDescent="0.25">
      <c r="V49" s="346">
        <f t="shared" si="6"/>
        <v>48</v>
      </c>
      <c r="W49" s="342" t="str">
        <f t="shared" si="7"/>
        <v>T4</v>
      </c>
      <c r="X49" s="36" t="str">
        <f t="shared" si="8"/>
        <v>R7</v>
      </c>
    </row>
    <row r="50" spans="22:24" x14ac:dyDescent="0.25">
      <c r="V50" s="346">
        <f t="shared" si="6"/>
        <v>49</v>
      </c>
      <c r="W50" s="342" t="str">
        <f t="shared" si="7"/>
        <v>T5</v>
      </c>
      <c r="X50" s="36" t="str">
        <f t="shared" si="8"/>
        <v>R7</v>
      </c>
    </row>
    <row r="51" spans="22:24" x14ac:dyDescent="0.25">
      <c r="V51" s="346">
        <f t="shared" si="6"/>
        <v>50</v>
      </c>
      <c r="W51" s="342" t="str">
        <f t="shared" si="7"/>
        <v>T1</v>
      </c>
      <c r="X51" s="36" t="str">
        <f t="shared" si="8"/>
        <v>R7</v>
      </c>
    </row>
    <row r="52" spans="22:24" x14ac:dyDescent="0.25">
      <c r="V52" s="346">
        <f t="shared" si="6"/>
        <v>51</v>
      </c>
      <c r="W52" s="342" t="str">
        <f t="shared" si="7"/>
        <v>T3</v>
      </c>
      <c r="X52" s="36" t="str">
        <f t="shared" si="8"/>
        <v>R7</v>
      </c>
    </row>
    <row r="53" spans="22:24" x14ac:dyDescent="0.25">
      <c r="V53" s="346">
        <f t="shared" si="6"/>
        <v>52</v>
      </c>
      <c r="W53" s="342" t="str">
        <f t="shared" si="7"/>
        <v>T2</v>
      </c>
      <c r="X53" s="36" t="str">
        <f t="shared" si="8"/>
        <v>R7</v>
      </c>
    </row>
    <row r="54" spans="22:24" x14ac:dyDescent="0.25">
      <c r="V54" s="346">
        <f t="shared" si="6"/>
        <v>53</v>
      </c>
      <c r="W54" s="342" t="str">
        <f t="shared" si="7"/>
        <v>T5</v>
      </c>
      <c r="X54" s="36" t="str">
        <f t="shared" si="8"/>
        <v>R8</v>
      </c>
    </row>
    <row r="55" spans="22:24" x14ac:dyDescent="0.25">
      <c r="V55" s="346">
        <f t="shared" si="6"/>
        <v>54</v>
      </c>
      <c r="W55" s="342" t="str">
        <f t="shared" si="7"/>
        <v>T4</v>
      </c>
      <c r="X55" s="36" t="str">
        <f t="shared" si="8"/>
        <v>R8</v>
      </c>
    </row>
    <row r="56" spans="22:24" x14ac:dyDescent="0.25">
      <c r="V56" s="346">
        <f t="shared" si="6"/>
        <v>55</v>
      </c>
      <c r="W56" s="342" t="str">
        <f t="shared" si="7"/>
        <v>T6</v>
      </c>
      <c r="X56" s="36" t="str">
        <f t="shared" si="8"/>
        <v>R8</v>
      </c>
    </row>
    <row r="57" spans="22:24" x14ac:dyDescent="0.25">
      <c r="V57" s="346">
        <f t="shared" si="6"/>
        <v>56</v>
      </c>
      <c r="W57" s="342" t="str">
        <f t="shared" si="7"/>
        <v>T3</v>
      </c>
      <c r="X57" s="36" t="str">
        <f t="shared" si="8"/>
        <v>R8</v>
      </c>
    </row>
    <row r="58" spans="22:24" x14ac:dyDescent="0.25">
      <c r="V58" s="346">
        <f t="shared" si="6"/>
        <v>57</v>
      </c>
      <c r="W58" s="342" t="str">
        <f t="shared" si="7"/>
        <v>T2</v>
      </c>
      <c r="X58" s="36" t="str">
        <f t="shared" si="8"/>
        <v>R8</v>
      </c>
    </row>
    <row r="59" spans="22:24" x14ac:dyDescent="0.25">
      <c r="V59" s="346">
        <f t="shared" si="6"/>
        <v>58</v>
      </c>
      <c r="W59" s="342" t="str">
        <f t="shared" si="7"/>
        <v>T1</v>
      </c>
      <c r="X59" s="36" t="str">
        <f t="shared" si="8"/>
        <v>R8</v>
      </c>
    </row>
    <row r="60" spans="22:24" x14ac:dyDescent="0.25">
      <c r="V60" s="346">
        <f t="shared" si="6"/>
        <v>59</v>
      </c>
      <c r="W60" s="342" t="str">
        <f t="shared" si="7"/>
        <v>T3</v>
      </c>
      <c r="X60" s="36" t="str">
        <f t="shared" si="8"/>
        <v>R9</v>
      </c>
    </row>
    <row r="61" spans="22:24" x14ac:dyDescent="0.25">
      <c r="V61" s="346">
        <f t="shared" si="6"/>
        <v>60</v>
      </c>
      <c r="W61" s="342" t="str">
        <f t="shared" si="7"/>
        <v>T5</v>
      </c>
      <c r="X61" s="36" t="str">
        <f t="shared" si="8"/>
        <v>R9</v>
      </c>
    </row>
    <row r="62" spans="22:24" x14ac:dyDescent="0.25">
      <c r="V62" s="346">
        <f t="shared" si="6"/>
        <v>61</v>
      </c>
      <c r="W62" s="342" t="str">
        <f t="shared" si="7"/>
        <v>T2</v>
      </c>
      <c r="X62" s="36" t="str">
        <f t="shared" si="8"/>
        <v>R9</v>
      </c>
    </row>
    <row r="63" spans="22:24" x14ac:dyDescent="0.25">
      <c r="V63" s="346">
        <f t="shared" si="6"/>
        <v>62</v>
      </c>
      <c r="W63" s="342" t="str">
        <f t="shared" si="7"/>
        <v>T6</v>
      </c>
      <c r="X63" s="36" t="str">
        <f t="shared" si="8"/>
        <v>R9</v>
      </c>
    </row>
    <row r="64" spans="22:24" x14ac:dyDescent="0.25">
      <c r="V64" s="346">
        <f t="shared" si="6"/>
        <v>63</v>
      </c>
      <c r="W64" s="342" t="str">
        <f t="shared" si="7"/>
        <v>T1</v>
      </c>
      <c r="X64" s="36" t="str">
        <f t="shared" si="8"/>
        <v>R9</v>
      </c>
    </row>
    <row r="65" spans="22:24" x14ac:dyDescent="0.25">
      <c r="V65" s="346">
        <f t="shared" si="6"/>
        <v>64</v>
      </c>
      <c r="W65" s="342" t="str">
        <f t="shared" si="7"/>
        <v>T4</v>
      </c>
      <c r="X65" s="36" t="str">
        <f t="shared" si="8"/>
        <v>R9</v>
      </c>
    </row>
    <row r="66" spans="22:24" x14ac:dyDescent="0.25">
      <c r="V66" s="346">
        <f t="shared" si="6"/>
        <v>65</v>
      </c>
      <c r="W66" s="342" t="str">
        <f t="shared" si="7"/>
        <v>T3</v>
      </c>
      <c r="X66" s="36" t="str">
        <f t="shared" si="8"/>
        <v>R11</v>
      </c>
    </row>
    <row r="67" spans="22:24" ht="18" thickBot="1" x14ac:dyDescent="0.3">
      <c r="V67" s="334">
        <f t="shared" si="6"/>
        <v>66</v>
      </c>
      <c r="W67" s="211" t="str">
        <f t="shared" si="7"/>
        <v>T1</v>
      </c>
      <c r="X67" s="340" t="str">
        <f t="shared" si="8"/>
        <v>R11</v>
      </c>
    </row>
  </sheetData>
  <mergeCells count="5">
    <mergeCell ref="A23:N25"/>
    <mergeCell ref="N1:N7"/>
    <mergeCell ref="N8:N14"/>
    <mergeCell ref="N15:N22"/>
    <mergeCell ref="P1:T1"/>
  </mergeCells>
  <conditionalFormatting sqref="H21:I21">
    <cfRule type="containsText" dxfId="6" priority="2" operator="containsText" text="&quot;T6&quot;">
      <formula>NOT(ISERROR(SEARCH("""T6""",H21)))</formula>
    </cfRule>
  </conditionalFormatting>
  <conditionalFormatting sqref="H1:I1">
    <cfRule type="containsText" dxfId="5" priority="1" operator="containsText" text="&quot;T6&quot;">
      <formula>NOT(ISERROR(SEARCH("""T6""",H1)))</formula>
    </cfRule>
  </conditionalFormatting>
  <conditionalFormatting sqref="D2:E2">
    <cfRule type="containsText" dxfId="4" priority="5" operator="containsText" text="&quot;T6&quot;">
      <formula>NOT(ISERROR(SEARCH("""T6""",D2)))</formula>
    </cfRule>
  </conditionalFormatting>
  <conditionalFormatting sqref="H2:I2">
    <cfRule type="containsText" dxfId="3" priority="6" operator="containsText" text="&quot;T6&quot;">
      <formula>NOT(ISERROR(SEARCH("""T6""",H2)))</formula>
    </cfRule>
  </conditionalFormatting>
  <conditionalFormatting sqref="L22:M22">
    <cfRule type="containsText" dxfId="2" priority="4" operator="containsText" text="&quot;T6&quot;">
      <formula>NOT(ISERROR(SEARCH("""T6""",L22)))</formula>
    </cfRule>
  </conditionalFormatting>
  <conditionalFormatting sqref="D3:E20">
    <cfRule type="containsText" dxfId="1" priority="7" operator="containsText" text="&quot;T6&quot;">
      <formula>NOT(ISERROR(SEARCH("""T6""",D3)))</formula>
    </cfRule>
  </conditionalFormatting>
  <conditionalFormatting sqref="D1:E1">
    <cfRule type="containsText" dxfId="0" priority="3" operator="containsText" text="&quot;T6&quot;">
      <formula>NOT(ISERROR(SEARCH("""T6""",D1)))</formula>
    </cfRule>
  </conditionalFormatting>
  <printOptions horizontalCentered="1" verticalCentered="1"/>
  <pageMargins left="0.51181102362204722" right="0.51181102362204722" top="0.78740157480314965" bottom="0.78740157480314965" header="0.31496062992125984" footer="0.31496062992125984"/>
  <pageSetup paperSize="9"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U70"/>
  <sheetViews>
    <sheetView zoomScaleNormal="100" workbookViewId="0">
      <selection activeCell="T1" sqref="T1:T1048576"/>
    </sheetView>
  </sheetViews>
  <sheetFormatPr defaultRowHeight="16.5" customHeight="1" x14ac:dyDescent="0.25"/>
  <cols>
    <col min="1" max="1" width="7.7109375" style="45" customWidth="1"/>
    <col min="2" max="2" width="14.7109375" style="30" customWidth="1"/>
    <col min="3" max="3" width="14.7109375" style="45" customWidth="1"/>
    <col min="4" max="12" width="12.7109375" style="45" customWidth="1"/>
    <col min="13" max="13" width="2.7109375" style="48" customWidth="1"/>
    <col min="14" max="16" width="12.7109375" style="64" customWidth="1"/>
    <col min="17" max="19" width="12.7109375" style="45" customWidth="1"/>
    <col min="20" max="16384" width="9.140625" style="45"/>
  </cols>
  <sheetData>
    <row r="1" spans="1:21" ht="32.25" customHeight="1" thickBot="1" x14ac:dyDescent="0.3">
      <c r="A1" s="43" t="s">
        <v>42</v>
      </c>
      <c r="B1" s="44">
        <v>43530</v>
      </c>
      <c r="C1" s="512" t="s">
        <v>59</v>
      </c>
      <c r="D1" s="513"/>
      <c r="E1" s="513"/>
      <c r="F1" s="513"/>
      <c r="G1" s="513"/>
      <c r="H1" s="513"/>
      <c r="I1" s="513"/>
      <c r="J1" s="513"/>
      <c r="K1" s="513"/>
      <c r="L1" s="514"/>
      <c r="M1" s="45"/>
    </row>
    <row r="2" spans="1:21" ht="16.5" customHeight="1" thickBot="1" x14ac:dyDescent="0.3">
      <c r="A2" s="510"/>
      <c r="B2" s="521" t="s">
        <v>36</v>
      </c>
      <c r="C2" s="522"/>
      <c r="D2" s="525" t="s">
        <v>74</v>
      </c>
      <c r="E2" s="526"/>
      <c r="F2" s="416">
        <v>147.71</v>
      </c>
      <c r="G2" s="515" t="s">
        <v>38</v>
      </c>
      <c r="H2" s="516"/>
      <c r="I2" s="517"/>
      <c r="J2" s="515" t="s">
        <v>44</v>
      </c>
      <c r="K2" s="516"/>
      <c r="L2" s="517"/>
      <c r="Q2" s="48"/>
      <c r="R2" s="48"/>
      <c r="S2" s="48"/>
      <c r="U2" s="136"/>
    </row>
    <row r="3" spans="1:21" ht="16.5" customHeight="1" thickBot="1" x14ac:dyDescent="0.3">
      <c r="A3" s="511"/>
      <c r="B3" s="523"/>
      <c r="C3" s="524"/>
      <c r="D3" s="525" t="s">
        <v>37</v>
      </c>
      <c r="E3" s="526"/>
      <c r="F3" s="527"/>
      <c r="G3" s="518"/>
      <c r="H3" s="519"/>
      <c r="I3" s="520"/>
      <c r="J3" s="518"/>
      <c r="K3" s="519"/>
      <c r="L3" s="520"/>
      <c r="M3" s="52"/>
      <c r="N3" s="107" t="s">
        <v>45</v>
      </c>
      <c r="O3" s="108"/>
      <c r="P3" s="108"/>
      <c r="Q3" s="507" t="s">
        <v>23</v>
      </c>
      <c r="R3" s="508"/>
      <c r="S3" s="509"/>
    </row>
    <row r="4" spans="1:21" s="64" customFormat="1" ht="31.5" customHeight="1" thickBot="1" x14ac:dyDescent="0.3">
      <c r="A4" s="53" t="s">
        <v>0</v>
      </c>
      <c r="B4" s="56" t="s">
        <v>46</v>
      </c>
      <c r="C4" s="54" t="s">
        <v>47</v>
      </c>
      <c r="D4" s="56" t="s">
        <v>40</v>
      </c>
      <c r="E4" s="57" t="s">
        <v>39</v>
      </c>
      <c r="F4" s="58" t="s">
        <v>41</v>
      </c>
      <c r="G4" s="56" t="s">
        <v>40</v>
      </c>
      <c r="H4" s="57" t="s">
        <v>39</v>
      </c>
      <c r="I4" s="58" t="s">
        <v>41</v>
      </c>
      <c r="J4" s="56" t="s">
        <v>40</v>
      </c>
      <c r="K4" s="57" t="s">
        <v>39</v>
      </c>
      <c r="L4" s="58" t="s">
        <v>41</v>
      </c>
      <c r="M4" s="60"/>
      <c r="N4" s="61" t="s">
        <v>54</v>
      </c>
      <c r="O4" s="109" t="s">
        <v>58</v>
      </c>
      <c r="P4" s="109" t="s">
        <v>46</v>
      </c>
      <c r="Q4" s="61" t="s">
        <v>25</v>
      </c>
      <c r="R4" s="62" t="s">
        <v>26</v>
      </c>
      <c r="S4" s="63" t="s">
        <v>43</v>
      </c>
    </row>
    <row r="5" spans="1:21" ht="16.5" customHeight="1" x14ac:dyDescent="0.25">
      <c r="A5" s="93">
        <v>1</v>
      </c>
      <c r="B5" s="68">
        <v>40</v>
      </c>
      <c r="C5" s="71">
        <v>1.8380000000000001</v>
      </c>
      <c r="D5" s="426">
        <v>1</v>
      </c>
      <c r="E5" s="427">
        <v>16.315000000000001</v>
      </c>
      <c r="F5" s="428">
        <v>10</v>
      </c>
      <c r="G5" s="426">
        <v>4</v>
      </c>
      <c r="H5" s="427">
        <v>24</v>
      </c>
      <c r="I5" s="428"/>
      <c r="J5" s="426">
        <v>3</v>
      </c>
      <c r="K5" s="427">
        <v>21</v>
      </c>
      <c r="L5" s="428"/>
      <c r="N5" s="110">
        <f t="shared" ref="N5:N36" si="0">IF(A5&lt;&gt;"",C5,"")</f>
        <v>1.8380000000000001</v>
      </c>
      <c r="O5" s="111">
        <f>'Raw data'!F4</f>
        <v>4.5950000000000005E-2</v>
      </c>
      <c r="P5" s="112">
        <f>'Raw data'!D4</f>
        <v>40</v>
      </c>
      <c r="Q5" s="97">
        <f>'Raw data'!G4</f>
        <v>26.315000000000001</v>
      </c>
      <c r="R5" s="98">
        <f>'Raw data'!H4</f>
        <v>96</v>
      </c>
      <c r="S5" s="99">
        <f>'Raw data'!I4</f>
        <v>63</v>
      </c>
      <c r="T5" s="92"/>
      <c r="U5" s="92"/>
    </row>
    <row r="6" spans="1:21" ht="16.5" customHeight="1" x14ac:dyDescent="0.25">
      <c r="A6" s="100">
        <v>2</v>
      </c>
      <c r="B6" s="68">
        <v>40</v>
      </c>
      <c r="C6" s="71">
        <v>1.8340000000000001</v>
      </c>
      <c r="D6" s="421">
        <v>1</v>
      </c>
      <c r="E6" s="422">
        <v>16.715</v>
      </c>
      <c r="F6" s="429">
        <v>10</v>
      </c>
      <c r="G6" s="421">
        <v>4</v>
      </c>
      <c r="H6" s="422">
        <v>24</v>
      </c>
      <c r="I6" s="429"/>
      <c r="J6" s="421">
        <v>3</v>
      </c>
      <c r="K6" s="422">
        <v>21</v>
      </c>
      <c r="L6" s="429"/>
      <c r="N6" s="113">
        <f t="shared" si="0"/>
        <v>1.8340000000000001</v>
      </c>
      <c r="O6" s="114">
        <f>'Raw data'!F5</f>
        <v>4.5850000000000002E-2</v>
      </c>
      <c r="P6" s="115">
        <f>'Raw data'!D5</f>
        <v>40</v>
      </c>
      <c r="Q6" s="78">
        <f>'Raw data'!G5</f>
        <v>26.715</v>
      </c>
      <c r="R6" s="79">
        <f>'Raw data'!H5</f>
        <v>96</v>
      </c>
      <c r="S6" s="102">
        <f>'Raw data'!I5</f>
        <v>63</v>
      </c>
      <c r="T6" s="92"/>
      <c r="U6" s="92"/>
    </row>
    <row r="7" spans="1:21" ht="16.5" customHeight="1" x14ac:dyDescent="0.25">
      <c r="A7" s="100">
        <v>3</v>
      </c>
      <c r="B7" s="68">
        <v>40</v>
      </c>
      <c r="C7" s="71">
        <v>1.84</v>
      </c>
      <c r="D7" s="421">
        <v>1</v>
      </c>
      <c r="E7" s="422">
        <v>15.965</v>
      </c>
      <c r="F7" s="429">
        <v>10</v>
      </c>
      <c r="G7" s="421">
        <v>4</v>
      </c>
      <c r="H7" s="422">
        <v>24</v>
      </c>
      <c r="I7" s="429"/>
      <c r="J7" s="421">
        <v>3</v>
      </c>
      <c r="K7" s="422">
        <v>21</v>
      </c>
      <c r="L7" s="429"/>
      <c r="N7" s="113">
        <f t="shared" si="0"/>
        <v>1.84</v>
      </c>
      <c r="O7" s="114">
        <f>'Raw data'!F6</f>
        <v>4.5999999999999999E-2</v>
      </c>
      <c r="P7" s="115">
        <f>'Raw data'!D6</f>
        <v>40</v>
      </c>
      <c r="Q7" s="78">
        <f>'Raw data'!G6</f>
        <v>25.965</v>
      </c>
      <c r="R7" s="79">
        <f>'Raw data'!H6</f>
        <v>96</v>
      </c>
      <c r="S7" s="102">
        <f>'Raw data'!I6</f>
        <v>63</v>
      </c>
      <c r="T7" s="92"/>
      <c r="U7" s="92"/>
    </row>
    <row r="8" spans="1:21" ht="16.5" customHeight="1" x14ac:dyDescent="0.25">
      <c r="A8" s="100">
        <v>4</v>
      </c>
      <c r="B8" s="68">
        <v>40</v>
      </c>
      <c r="C8" s="71">
        <v>1.8380000000000001</v>
      </c>
      <c r="D8" s="421">
        <v>1</v>
      </c>
      <c r="E8" s="422">
        <v>15.125</v>
      </c>
      <c r="F8" s="429">
        <v>10</v>
      </c>
      <c r="G8" s="421">
        <v>4</v>
      </c>
      <c r="H8" s="422">
        <v>24</v>
      </c>
      <c r="I8" s="429"/>
      <c r="J8" s="421">
        <v>3</v>
      </c>
      <c r="K8" s="422">
        <v>21</v>
      </c>
      <c r="L8" s="429"/>
      <c r="N8" s="113">
        <f t="shared" si="0"/>
        <v>1.8380000000000001</v>
      </c>
      <c r="O8" s="114">
        <f>'Raw data'!F7</f>
        <v>4.5950000000000005E-2</v>
      </c>
      <c r="P8" s="115">
        <f>'Raw data'!D7</f>
        <v>40</v>
      </c>
      <c r="Q8" s="78">
        <f>'Raw data'!G7</f>
        <v>25.125</v>
      </c>
      <c r="R8" s="79">
        <f>'Raw data'!H7</f>
        <v>96</v>
      </c>
      <c r="S8" s="102">
        <f>'Raw data'!I7</f>
        <v>63</v>
      </c>
      <c r="T8" s="92"/>
      <c r="U8" s="92"/>
    </row>
    <row r="9" spans="1:21" ht="16.5" customHeight="1" x14ac:dyDescent="0.25">
      <c r="A9" s="100">
        <v>5</v>
      </c>
      <c r="B9" s="68">
        <v>40</v>
      </c>
      <c r="C9" s="71">
        <v>1.837</v>
      </c>
      <c r="D9" s="421">
        <v>1</v>
      </c>
      <c r="E9" s="422">
        <v>15.865000000000002</v>
      </c>
      <c r="F9" s="429">
        <v>10</v>
      </c>
      <c r="G9" s="421">
        <v>4</v>
      </c>
      <c r="H9" s="422">
        <v>24</v>
      </c>
      <c r="I9" s="429"/>
      <c r="J9" s="421">
        <v>3</v>
      </c>
      <c r="K9" s="422">
        <v>21</v>
      </c>
      <c r="L9" s="429"/>
      <c r="N9" s="113">
        <f t="shared" si="0"/>
        <v>1.837</v>
      </c>
      <c r="O9" s="114">
        <f>'Raw data'!F8</f>
        <v>4.5925000000000001E-2</v>
      </c>
      <c r="P9" s="115">
        <f>'Raw data'!D8</f>
        <v>40</v>
      </c>
      <c r="Q9" s="78">
        <f>'Raw data'!G8</f>
        <v>25.865000000000002</v>
      </c>
      <c r="R9" s="79">
        <f>'Raw data'!H8</f>
        <v>96</v>
      </c>
      <c r="S9" s="102">
        <f>'Raw data'!I8</f>
        <v>63</v>
      </c>
      <c r="T9" s="92"/>
      <c r="U9" s="92"/>
    </row>
    <row r="10" spans="1:21" ht="16.5" customHeight="1" x14ac:dyDescent="0.25">
      <c r="A10" s="100">
        <v>6</v>
      </c>
      <c r="B10" s="68">
        <v>40</v>
      </c>
      <c r="C10" s="71">
        <v>1.84</v>
      </c>
      <c r="D10" s="421">
        <v>1</v>
      </c>
      <c r="E10" s="422">
        <v>16.365000000000002</v>
      </c>
      <c r="F10" s="429">
        <v>10</v>
      </c>
      <c r="G10" s="421">
        <v>4</v>
      </c>
      <c r="H10" s="422">
        <v>24</v>
      </c>
      <c r="I10" s="429"/>
      <c r="J10" s="421">
        <v>3</v>
      </c>
      <c r="K10" s="422">
        <v>21</v>
      </c>
      <c r="L10" s="429"/>
      <c r="N10" s="113">
        <f t="shared" si="0"/>
        <v>1.84</v>
      </c>
      <c r="O10" s="114">
        <f>'Raw data'!F9</f>
        <v>4.5999999999999999E-2</v>
      </c>
      <c r="P10" s="115">
        <f>'Raw data'!D9</f>
        <v>40</v>
      </c>
      <c r="Q10" s="78">
        <f>'Raw data'!G9</f>
        <v>26.365000000000002</v>
      </c>
      <c r="R10" s="79">
        <f>'Raw data'!H9</f>
        <v>96</v>
      </c>
      <c r="S10" s="102">
        <f>'Raw data'!I9</f>
        <v>63</v>
      </c>
      <c r="T10" s="92"/>
      <c r="U10" s="92"/>
    </row>
    <row r="11" spans="1:21" ht="16.5" customHeight="1" x14ac:dyDescent="0.25">
      <c r="A11" s="100">
        <v>7</v>
      </c>
      <c r="B11" s="68">
        <v>40</v>
      </c>
      <c r="C11" s="71">
        <v>1.8340000000000001</v>
      </c>
      <c r="D11" s="421">
        <v>1</v>
      </c>
      <c r="E11" s="422">
        <v>16.664999999999999</v>
      </c>
      <c r="F11" s="429">
        <v>10</v>
      </c>
      <c r="G11" s="421">
        <v>4</v>
      </c>
      <c r="H11" s="422">
        <v>24</v>
      </c>
      <c r="I11" s="429"/>
      <c r="J11" s="421">
        <v>3</v>
      </c>
      <c r="K11" s="422">
        <v>21</v>
      </c>
      <c r="L11" s="429"/>
      <c r="N11" s="113">
        <f t="shared" si="0"/>
        <v>1.8340000000000001</v>
      </c>
      <c r="O11" s="114">
        <f>'Raw data'!F10</f>
        <v>4.5850000000000002E-2</v>
      </c>
      <c r="P11" s="115">
        <f>'Raw data'!D10</f>
        <v>40</v>
      </c>
      <c r="Q11" s="78">
        <f>'Raw data'!G10</f>
        <v>26.664999999999999</v>
      </c>
      <c r="R11" s="79">
        <f>'Raw data'!H10</f>
        <v>96</v>
      </c>
      <c r="S11" s="102">
        <f>'Raw data'!I10</f>
        <v>63</v>
      </c>
      <c r="T11" s="92"/>
      <c r="U11" s="92"/>
    </row>
    <row r="12" spans="1:21" ht="16.5" customHeight="1" x14ac:dyDescent="0.25">
      <c r="A12" s="100">
        <v>8</v>
      </c>
      <c r="B12" s="68">
        <v>40</v>
      </c>
      <c r="C12" s="71">
        <v>1.8340000000000001</v>
      </c>
      <c r="D12" s="421">
        <v>1</v>
      </c>
      <c r="E12" s="422">
        <v>16.015000000000001</v>
      </c>
      <c r="F12" s="429">
        <v>10</v>
      </c>
      <c r="G12" s="421">
        <v>4</v>
      </c>
      <c r="H12" s="422">
        <v>24</v>
      </c>
      <c r="I12" s="429"/>
      <c r="J12" s="421">
        <v>3</v>
      </c>
      <c r="K12" s="422">
        <v>21</v>
      </c>
      <c r="L12" s="429"/>
      <c r="N12" s="113">
        <f t="shared" si="0"/>
        <v>1.8340000000000001</v>
      </c>
      <c r="O12" s="114">
        <f>'Raw data'!F11</f>
        <v>4.5850000000000002E-2</v>
      </c>
      <c r="P12" s="115">
        <f>'Raw data'!D11</f>
        <v>40</v>
      </c>
      <c r="Q12" s="78">
        <f>'Raw data'!G11</f>
        <v>26.015000000000001</v>
      </c>
      <c r="R12" s="79">
        <f>'Raw data'!H11</f>
        <v>96</v>
      </c>
      <c r="S12" s="102">
        <f>'Raw data'!I11</f>
        <v>63</v>
      </c>
      <c r="T12" s="92"/>
      <c r="U12" s="92"/>
    </row>
    <row r="13" spans="1:21" ht="16.5" customHeight="1" x14ac:dyDescent="0.25">
      <c r="A13" s="100">
        <v>9</v>
      </c>
      <c r="B13" s="68">
        <v>40</v>
      </c>
      <c r="C13" s="71">
        <v>1.839</v>
      </c>
      <c r="D13" s="421">
        <v>1</v>
      </c>
      <c r="E13" s="422">
        <v>15.965</v>
      </c>
      <c r="F13" s="429">
        <v>10</v>
      </c>
      <c r="G13" s="421">
        <v>4</v>
      </c>
      <c r="H13" s="422">
        <v>24</v>
      </c>
      <c r="I13" s="429"/>
      <c r="J13" s="421">
        <v>3</v>
      </c>
      <c r="K13" s="422">
        <v>21</v>
      </c>
      <c r="L13" s="429"/>
      <c r="N13" s="113">
        <f t="shared" si="0"/>
        <v>1.839</v>
      </c>
      <c r="O13" s="114">
        <f>'Raw data'!F12</f>
        <v>4.5975000000000002E-2</v>
      </c>
      <c r="P13" s="115">
        <f>'Raw data'!D12</f>
        <v>40</v>
      </c>
      <c r="Q13" s="78">
        <f>'Raw data'!G12</f>
        <v>25.965</v>
      </c>
      <c r="R13" s="79">
        <f>'Raw data'!H12</f>
        <v>96</v>
      </c>
      <c r="S13" s="102">
        <f>'Raw data'!I12</f>
        <v>63</v>
      </c>
      <c r="T13" s="92"/>
      <c r="U13" s="92"/>
    </row>
    <row r="14" spans="1:21" ht="16.5" customHeight="1" x14ac:dyDescent="0.25">
      <c r="A14" s="100">
        <v>10</v>
      </c>
      <c r="B14" s="68">
        <v>40</v>
      </c>
      <c r="C14" s="71">
        <v>1.8340000000000001</v>
      </c>
      <c r="D14" s="421">
        <v>1</v>
      </c>
      <c r="E14" s="422">
        <v>16.115000000000002</v>
      </c>
      <c r="F14" s="429">
        <v>10</v>
      </c>
      <c r="G14" s="421">
        <v>4</v>
      </c>
      <c r="H14" s="422">
        <v>24</v>
      </c>
      <c r="I14" s="429"/>
      <c r="J14" s="421">
        <v>3</v>
      </c>
      <c r="K14" s="422">
        <v>21</v>
      </c>
      <c r="L14" s="429"/>
      <c r="M14" s="81"/>
      <c r="N14" s="113">
        <f t="shared" si="0"/>
        <v>1.8340000000000001</v>
      </c>
      <c r="O14" s="114">
        <f>'Raw data'!F13</f>
        <v>4.5850000000000002E-2</v>
      </c>
      <c r="P14" s="115">
        <f>'Raw data'!D13</f>
        <v>40</v>
      </c>
      <c r="Q14" s="78">
        <f>'Raw data'!G13</f>
        <v>26.115000000000002</v>
      </c>
      <c r="R14" s="79">
        <f>'Raw data'!H13</f>
        <v>96</v>
      </c>
      <c r="S14" s="102">
        <f>'Raw data'!I13</f>
        <v>63</v>
      </c>
      <c r="T14" s="92"/>
      <c r="U14" s="92"/>
    </row>
    <row r="15" spans="1:21" ht="16.5" customHeight="1" x14ac:dyDescent="0.25">
      <c r="A15" s="100">
        <v>11</v>
      </c>
      <c r="B15" s="68">
        <v>40</v>
      </c>
      <c r="C15" s="71">
        <v>1.83</v>
      </c>
      <c r="D15" s="421">
        <v>1</v>
      </c>
      <c r="E15" s="422">
        <v>16.315000000000001</v>
      </c>
      <c r="F15" s="429">
        <v>10</v>
      </c>
      <c r="G15" s="421">
        <v>4</v>
      </c>
      <c r="H15" s="422">
        <v>24</v>
      </c>
      <c r="I15" s="429"/>
      <c r="J15" s="421">
        <v>3</v>
      </c>
      <c r="K15" s="422">
        <v>21</v>
      </c>
      <c r="L15" s="429"/>
      <c r="M15" s="81"/>
      <c r="N15" s="113">
        <f t="shared" si="0"/>
        <v>1.83</v>
      </c>
      <c r="O15" s="114">
        <f>'Raw data'!F14</f>
        <v>4.5749999999999999E-2</v>
      </c>
      <c r="P15" s="115">
        <f>'Raw data'!D14</f>
        <v>40</v>
      </c>
      <c r="Q15" s="78">
        <f>'Raw data'!G14</f>
        <v>26.315000000000001</v>
      </c>
      <c r="R15" s="79">
        <f>'Raw data'!H14</f>
        <v>96</v>
      </c>
      <c r="S15" s="102">
        <f>'Raw data'!I14</f>
        <v>63</v>
      </c>
      <c r="T15" s="92"/>
      <c r="U15" s="92"/>
    </row>
    <row r="16" spans="1:21" ht="16.5" customHeight="1" x14ac:dyDescent="0.25">
      <c r="A16" s="100">
        <v>12</v>
      </c>
      <c r="B16" s="68">
        <v>40</v>
      </c>
      <c r="C16" s="71">
        <v>1.841</v>
      </c>
      <c r="D16" s="421">
        <v>1</v>
      </c>
      <c r="E16" s="422">
        <v>16.515000000000001</v>
      </c>
      <c r="F16" s="429">
        <v>10</v>
      </c>
      <c r="G16" s="421">
        <v>4</v>
      </c>
      <c r="H16" s="422">
        <v>24</v>
      </c>
      <c r="I16" s="429"/>
      <c r="J16" s="421">
        <v>3</v>
      </c>
      <c r="K16" s="422">
        <v>21</v>
      </c>
      <c r="L16" s="429"/>
      <c r="M16" s="81"/>
      <c r="N16" s="113">
        <f t="shared" si="0"/>
        <v>1.841</v>
      </c>
      <c r="O16" s="114">
        <f>'Raw data'!F15</f>
        <v>4.6024999999999996E-2</v>
      </c>
      <c r="P16" s="115">
        <f>'Raw data'!D15</f>
        <v>40</v>
      </c>
      <c r="Q16" s="78">
        <f>'Raw data'!G15</f>
        <v>26.515000000000001</v>
      </c>
      <c r="R16" s="79">
        <f>'Raw data'!H15</f>
        <v>96</v>
      </c>
      <c r="S16" s="102">
        <f>'Raw data'!I15</f>
        <v>63</v>
      </c>
      <c r="T16" s="92"/>
      <c r="U16" s="92"/>
    </row>
    <row r="17" spans="1:21" ht="16.5" customHeight="1" x14ac:dyDescent="0.25">
      <c r="A17" s="100">
        <v>13</v>
      </c>
      <c r="B17" s="68">
        <v>40</v>
      </c>
      <c r="C17" s="71">
        <v>1.829</v>
      </c>
      <c r="D17" s="421">
        <v>1</v>
      </c>
      <c r="E17" s="422">
        <v>16.865000000000002</v>
      </c>
      <c r="F17" s="429">
        <v>10</v>
      </c>
      <c r="G17" s="421">
        <v>4</v>
      </c>
      <c r="H17" s="422">
        <v>24</v>
      </c>
      <c r="I17" s="429"/>
      <c r="J17" s="421">
        <v>3</v>
      </c>
      <c r="K17" s="422">
        <v>21</v>
      </c>
      <c r="L17" s="429"/>
      <c r="M17" s="81"/>
      <c r="N17" s="113">
        <f t="shared" si="0"/>
        <v>1.829</v>
      </c>
      <c r="O17" s="114">
        <f>'Raw data'!F16</f>
        <v>4.5725000000000002E-2</v>
      </c>
      <c r="P17" s="115">
        <f>'Raw data'!D16</f>
        <v>40</v>
      </c>
      <c r="Q17" s="78">
        <f>'Raw data'!G16</f>
        <v>26.865000000000002</v>
      </c>
      <c r="R17" s="79">
        <f>'Raw data'!H16</f>
        <v>96</v>
      </c>
      <c r="S17" s="102">
        <f>'Raw data'!I16</f>
        <v>63</v>
      </c>
      <c r="T17" s="92"/>
      <c r="U17" s="92"/>
    </row>
    <row r="18" spans="1:21" ht="16.5" customHeight="1" x14ac:dyDescent="0.25">
      <c r="A18" s="100">
        <v>14</v>
      </c>
      <c r="B18" s="68">
        <v>40</v>
      </c>
      <c r="C18" s="71">
        <v>1.8260000000000001</v>
      </c>
      <c r="D18" s="421">
        <v>1</v>
      </c>
      <c r="E18" s="422">
        <v>16.215</v>
      </c>
      <c r="F18" s="429">
        <v>10</v>
      </c>
      <c r="G18" s="421">
        <v>4</v>
      </c>
      <c r="H18" s="422">
        <v>24</v>
      </c>
      <c r="I18" s="429"/>
      <c r="J18" s="421">
        <v>3</v>
      </c>
      <c r="K18" s="422">
        <v>21</v>
      </c>
      <c r="L18" s="429"/>
      <c r="M18" s="81"/>
      <c r="N18" s="113">
        <f t="shared" si="0"/>
        <v>1.8260000000000001</v>
      </c>
      <c r="O18" s="114">
        <f>'Raw data'!F17</f>
        <v>4.5650000000000003E-2</v>
      </c>
      <c r="P18" s="115">
        <f>'Raw data'!D17</f>
        <v>40</v>
      </c>
      <c r="Q18" s="78">
        <f>'Raw data'!G17</f>
        <v>26.215</v>
      </c>
      <c r="R18" s="79">
        <f>'Raw data'!H17</f>
        <v>96</v>
      </c>
      <c r="S18" s="102">
        <f>'Raw data'!I17</f>
        <v>63</v>
      </c>
      <c r="T18" s="92"/>
      <c r="U18" s="92"/>
    </row>
    <row r="19" spans="1:21" ht="16.5" customHeight="1" x14ac:dyDescent="0.25">
      <c r="A19" s="100">
        <v>15</v>
      </c>
      <c r="B19" s="68">
        <v>40</v>
      </c>
      <c r="C19" s="71">
        <v>1.833</v>
      </c>
      <c r="D19" s="421">
        <v>1</v>
      </c>
      <c r="E19" s="422">
        <v>16.465</v>
      </c>
      <c r="F19" s="429">
        <v>10</v>
      </c>
      <c r="G19" s="421">
        <v>4</v>
      </c>
      <c r="H19" s="422">
        <v>24</v>
      </c>
      <c r="I19" s="429"/>
      <c r="J19" s="421">
        <v>3</v>
      </c>
      <c r="K19" s="422">
        <v>21</v>
      </c>
      <c r="L19" s="429"/>
      <c r="M19" s="81"/>
      <c r="N19" s="113">
        <f t="shared" si="0"/>
        <v>1.833</v>
      </c>
      <c r="O19" s="114">
        <f>'Raw data'!F18</f>
        <v>4.5824999999999998E-2</v>
      </c>
      <c r="P19" s="115">
        <f>'Raw data'!D18</f>
        <v>40</v>
      </c>
      <c r="Q19" s="78">
        <f>'Raw data'!G18</f>
        <v>26.465</v>
      </c>
      <c r="R19" s="79">
        <f>'Raw data'!H18</f>
        <v>96</v>
      </c>
      <c r="S19" s="102">
        <f>'Raw data'!I18</f>
        <v>63</v>
      </c>
      <c r="T19" s="92"/>
      <c r="U19" s="92"/>
    </row>
    <row r="20" spans="1:21" ht="16.5" customHeight="1" x14ac:dyDescent="0.25">
      <c r="A20" s="100">
        <v>16</v>
      </c>
      <c r="B20" s="68">
        <v>40</v>
      </c>
      <c r="C20" s="71">
        <v>1.8320000000000001</v>
      </c>
      <c r="D20" s="421">
        <v>1</v>
      </c>
      <c r="E20" s="422">
        <v>17.065000000000001</v>
      </c>
      <c r="F20" s="429">
        <v>10</v>
      </c>
      <c r="G20" s="421">
        <v>4</v>
      </c>
      <c r="H20" s="422">
        <v>24</v>
      </c>
      <c r="I20" s="429"/>
      <c r="J20" s="421">
        <v>3</v>
      </c>
      <c r="K20" s="422">
        <v>21</v>
      </c>
      <c r="L20" s="429"/>
      <c r="M20" s="81"/>
      <c r="N20" s="113">
        <f t="shared" si="0"/>
        <v>1.8320000000000001</v>
      </c>
      <c r="O20" s="114">
        <f>'Raw data'!F19</f>
        <v>4.58E-2</v>
      </c>
      <c r="P20" s="115">
        <f>'Raw data'!D19</f>
        <v>40</v>
      </c>
      <c r="Q20" s="78">
        <f>'Raw data'!G19</f>
        <v>27.065000000000001</v>
      </c>
      <c r="R20" s="79">
        <f>'Raw data'!H19</f>
        <v>96</v>
      </c>
      <c r="S20" s="102">
        <f>'Raw data'!I19</f>
        <v>63</v>
      </c>
      <c r="T20" s="92"/>
      <c r="U20" s="92"/>
    </row>
    <row r="21" spans="1:21" ht="16.5" customHeight="1" x14ac:dyDescent="0.25">
      <c r="A21" s="100">
        <v>17</v>
      </c>
      <c r="B21" s="68">
        <v>40</v>
      </c>
      <c r="C21" s="71">
        <v>1.8320000000000001</v>
      </c>
      <c r="D21" s="421">
        <v>1</v>
      </c>
      <c r="E21" s="422">
        <v>16.765000000000001</v>
      </c>
      <c r="F21" s="429">
        <v>10</v>
      </c>
      <c r="G21" s="421">
        <v>4</v>
      </c>
      <c r="H21" s="422">
        <v>24</v>
      </c>
      <c r="I21" s="429"/>
      <c r="J21" s="421">
        <v>3</v>
      </c>
      <c r="K21" s="422">
        <v>21</v>
      </c>
      <c r="L21" s="429"/>
      <c r="M21" s="81"/>
      <c r="N21" s="113">
        <f t="shared" si="0"/>
        <v>1.8320000000000001</v>
      </c>
      <c r="O21" s="114">
        <f>'Raw data'!F20</f>
        <v>4.58E-2</v>
      </c>
      <c r="P21" s="115">
        <f>'Raw data'!D20</f>
        <v>40</v>
      </c>
      <c r="Q21" s="78">
        <f>'Raw data'!G20</f>
        <v>26.765000000000001</v>
      </c>
      <c r="R21" s="79">
        <f>'Raw data'!H20</f>
        <v>96</v>
      </c>
      <c r="S21" s="102">
        <f>'Raw data'!I20</f>
        <v>63</v>
      </c>
      <c r="T21" s="92"/>
      <c r="U21" s="92"/>
    </row>
    <row r="22" spans="1:21" ht="16.5" customHeight="1" x14ac:dyDescent="0.25">
      <c r="A22" s="100">
        <v>18</v>
      </c>
      <c r="B22" s="68">
        <v>40</v>
      </c>
      <c r="C22" s="71">
        <v>1.823</v>
      </c>
      <c r="D22" s="421">
        <v>1</v>
      </c>
      <c r="E22" s="422">
        <v>16.414999999999999</v>
      </c>
      <c r="F22" s="429">
        <v>10</v>
      </c>
      <c r="G22" s="421">
        <v>4</v>
      </c>
      <c r="H22" s="422">
        <v>24</v>
      </c>
      <c r="I22" s="429"/>
      <c r="J22" s="421">
        <v>3</v>
      </c>
      <c r="K22" s="422">
        <v>21</v>
      </c>
      <c r="L22" s="429"/>
      <c r="M22" s="81"/>
      <c r="N22" s="113">
        <f t="shared" si="0"/>
        <v>1.823</v>
      </c>
      <c r="O22" s="114">
        <f>'Raw data'!F21</f>
        <v>4.5574999999999997E-2</v>
      </c>
      <c r="P22" s="115">
        <f>'Raw data'!D21</f>
        <v>40</v>
      </c>
      <c r="Q22" s="78">
        <f>'Raw data'!G21</f>
        <v>26.414999999999999</v>
      </c>
      <c r="R22" s="79">
        <f>'Raw data'!H21</f>
        <v>96</v>
      </c>
      <c r="S22" s="102">
        <f>'Raw data'!I21</f>
        <v>63</v>
      </c>
      <c r="T22" s="92"/>
      <c r="U22" s="92"/>
    </row>
    <row r="23" spans="1:21" ht="16.5" customHeight="1" x14ac:dyDescent="0.25">
      <c r="A23" s="100">
        <v>19</v>
      </c>
      <c r="B23" s="68">
        <v>40</v>
      </c>
      <c r="C23" s="71">
        <v>1.827</v>
      </c>
      <c r="D23" s="421">
        <v>1</v>
      </c>
      <c r="E23" s="422">
        <v>16.664999999999999</v>
      </c>
      <c r="F23" s="429">
        <v>10</v>
      </c>
      <c r="G23" s="421">
        <v>4</v>
      </c>
      <c r="H23" s="422">
        <v>24</v>
      </c>
      <c r="I23" s="429"/>
      <c r="J23" s="421">
        <v>3</v>
      </c>
      <c r="K23" s="422">
        <v>21</v>
      </c>
      <c r="L23" s="429"/>
      <c r="M23" s="81"/>
      <c r="N23" s="113">
        <f t="shared" si="0"/>
        <v>1.827</v>
      </c>
      <c r="O23" s="114">
        <f>'Raw data'!F22</f>
        <v>4.5675E-2</v>
      </c>
      <c r="P23" s="115">
        <f>'Raw data'!D22</f>
        <v>40</v>
      </c>
      <c r="Q23" s="78">
        <f>'Raw data'!G22</f>
        <v>26.664999999999999</v>
      </c>
      <c r="R23" s="79">
        <f>'Raw data'!H22</f>
        <v>96</v>
      </c>
      <c r="S23" s="102">
        <f>'Raw data'!I22</f>
        <v>63</v>
      </c>
      <c r="T23" s="92"/>
      <c r="U23" s="92"/>
    </row>
    <row r="24" spans="1:21" ht="16.5" customHeight="1" x14ac:dyDescent="0.25">
      <c r="A24" s="100">
        <v>20</v>
      </c>
      <c r="B24" s="68">
        <v>40</v>
      </c>
      <c r="C24" s="71">
        <v>1.825</v>
      </c>
      <c r="D24" s="421">
        <v>1</v>
      </c>
      <c r="E24" s="422">
        <v>16.315000000000001</v>
      </c>
      <c r="F24" s="429">
        <v>10</v>
      </c>
      <c r="G24" s="421">
        <v>4</v>
      </c>
      <c r="H24" s="422">
        <v>24</v>
      </c>
      <c r="I24" s="429"/>
      <c r="J24" s="421">
        <v>3</v>
      </c>
      <c r="K24" s="422">
        <v>21</v>
      </c>
      <c r="L24" s="429"/>
      <c r="M24" s="81"/>
      <c r="N24" s="113">
        <f t="shared" si="0"/>
        <v>1.825</v>
      </c>
      <c r="O24" s="114">
        <f>'Raw data'!F23</f>
        <v>4.5624999999999999E-2</v>
      </c>
      <c r="P24" s="115">
        <f>'Raw data'!D23</f>
        <v>40</v>
      </c>
      <c r="Q24" s="78">
        <f>'Raw data'!G23</f>
        <v>26.315000000000001</v>
      </c>
      <c r="R24" s="79">
        <f>'Raw data'!H23</f>
        <v>96</v>
      </c>
      <c r="S24" s="102">
        <f>'Raw data'!I23</f>
        <v>63</v>
      </c>
      <c r="T24" s="92"/>
      <c r="U24" s="92"/>
    </row>
    <row r="25" spans="1:21" ht="16.5" customHeight="1" x14ac:dyDescent="0.25">
      <c r="A25" s="100">
        <v>21</v>
      </c>
      <c r="B25" s="68">
        <v>40</v>
      </c>
      <c r="C25" s="71">
        <v>1.831</v>
      </c>
      <c r="D25" s="421">
        <v>1</v>
      </c>
      <c r="E25" s="422">
        <v>15.115</v>
      </c>
      <c r="F25" s="429">
        <v>9.6</v>
      </c>
      <c r="G25" s="421">
        <v>3</v>
      </c>
      <c r="H25" s="422">
        <v>24</v>
      </c>
      <c r="I25" s="429">
        <v>22.35</v>
      </c>
      <c r="J25" s="421">
        <v>2</v>
      </c>
      <c r="K25" s="422">
        <v>21</v>
      </c>
      <c r="L25" s="429">
        <v>19.850000000000001</v>
      </c>
      <c r="M25" s="81"/>
      <c r="N25" s="113">
        <f t="shared" si="0"/>
        <v>1.831</v>
      </c>
      <c r="O25" s="114">
        <f>'Raw data'!F24</f>
        <v>4.5774999999999996E-2</v>
      </c>
      <c r="P25" s="115">
        <f>'Raw data'!D24</f>
        <v>40</v>
      </c>
      <c r="Q25" s="78">
        <f>'Raw data'!G24</f>
        <v>24.715</v>
      </c>
      <c r="R25" s="79">
        <f>'Raw data'!H24</f>
        <v>94.35</v>
      </c>
      <c r="S25" s="102">
        <f>'Raw data'!I24</f>
        <v>61.85</v>
      </c>
      <c r="T25" s="92"/>
      <c r="U25" s="92"/>
    </row>
    <row r="26" spans="1:21" ht="16.5" customHeight="1" x14ac:dyDescent="0.25">
      <c r="A26" s="100">
        <v>22</v>
      </c>
      <c r="B26" s="68">
        <v>40</v>
      </c>
      <c r="C26" s="71">
        <v>1.829</v>
      </c>
      <c r="D26" s="423">
        <v>1</v>
      </c>
      <c r="E26" s="422">
        <v>15.465</v>
      </c>
      <c r="F26" s="429">
        <v>9.65</v>
      </c>
      <c r="G26" s="421">
        <v>3</v>
      </c>
      <c r="H26" s="422">
        <v>24</v>
      </c>
      <c r="I26" s="429">
        <v>22.4</v>
      </c>
      <c r="J26" s="421">
        <v>2</v>
      </c>
      <c r="K26" s="422">
        <v>21</v>
      </c>
      <c r="L26" s="429">
        <v>19.8</v>
      </c>
      <c r="M26" s="81"/>
      <c r="N26" s="113">
        <f t="shared" si="0"/>
        <v>1.829</v>
      </c>
      <c r="O26" s="114">
        <f>'Raw data'!F25</f>
        <v>4.5725000000000002E-2</v>
      </c>
      <c r="P26" s="115">
        <f>'Raw data'!D25</f>
        <v>40</v>
      </c>
      <c r="Q26" s="78">
        <f>'Raw data'!G25</f>
        <v>25.115000000000002</v>
      </c>
      <c r="R26" s="79">
        <f>'Raw data'!H25</f>
        <v>94.4</v>
      </c>
      <c r="S26" s="102">
        <f>'Raw data'!I25</f>
        <v>61.8</v>
      </c>
      <c r="T26" s="92"/>
      <c r="U26" s="92"/>
    </row>
    <row r="27" spans="1:21" ht="16.5" customHeight="1" x14ac:dyDescent="0.25">
      <c r="A27" s="103">
        <v>23</v>
      </c>
      <c r="B27" s="68">
        <v>40</v>
      </c>
      <c r="C27" s="71">
        <v>1.827</v>
      </c>
      <c r="D27" s="421">
        <v>1</v>
      </c>
      <c r="E27" s="422">
        <v>16.664999999999999</v>
      </c>
      <c r="F27" s="429">
        <v>10</v>
      </c>
      <c r="G27" s="421">
        <v>4</v>
      </c>
      <c r="H27" s="422">
        <v>24</v>
      </c>
      <c r="I27" s="429"/>
      <c r="J27" s="421">
        <v>3</v>
      </c>
      <c r="K27" s="422">
        <v>21</v>
      </c>
      <c r="L27" s="429"/>
      <c r="M27" s="81"/>
      <c r="N27" s="113">
        <f t="shared" si="0"/>
        <v>1.827</v>
      </c>
      <c r="O27" s="114">
        <f>'Raw data'!F26</f>
        <v>4.5675E-2</v>
      </c>
      <c r="P27" s="115">
        <f>'Raw data'!D26</f>
        <v>40</v>
      </c>
      <c r="Q27" s="78">
        <f>'Raw data'!G26</f>
        <v>26.664999999999999</v>
      </c>
      <c r="R27" s="79">
        <f>'Raw data'!H26</f>
        <v>96</v>
      </c>
      <c r="S27" s="102">
        <f>'Raw data'!I26</f>
        <v>63</v>
      </c>
      <c r="T27" s="92"/>
      <c r="U27" s="92"/>
    </row>
    <row r="28" spans="1:21" ht="16.5" customHeight="1" x14ac:dyDescent="0.25">
      <c r="A28" s="100">
        <v>24</v>
      </c>
      <c r="B28" s="68">
        <v>40</v>
      </c>
      <c r="C28" s="71">
        <v>1.8380000000000001</v>
      </c>
      <c r="D28" s="421">
        <v>1</v>
      </c>
      <c r="E28" s="422">
        <v>16.914999999999999</v>
      </c>
      <c r="F28" s="429">
        <v>10</v>
      </c>
      <c r="G28" s="421">
        <v>4</v>
      </c>
      <c r="H28" s="422">
        <v>24</v>
      </c>
      <c r="I28" s="429"/>
      <c r="J28" s="421">
        <v>3</v>
      </c>
      <c r="K28" s="422">
        <v>21</v>
      </c>
      <c r="L28" s="429"/>
      <c r="M28" s="81"/>
      <c r="N28" s="113">
        <f t="shared" si="0"/>
        <v>1.8380000000000001</v>
      </c>
      <c r="O28" s="114">
        <f>'Raw data'!F27</f>
        <v>4.5950000000000005E-2</v>
      </c>
      <c r="P28" s="115">
        <f>'Raw data'!D27</f>
        <v>40</v>
      </c>
      <c r="Q28" s="78">
        <f>'Raw data'!G27</f>
        <v>26.914999999999999</v>
      </c>
      <c r="R28" s="79">
        <f>'Raw data'!H27</f>
        <v>96</v>
      </c>
      <c r="S28" s="102">
        <f>'Raw data'!I27</f>
        <v>63</v>
      </c>
      <c r="T28" s="92"/>
      <c r="U28" s="92"/>
    </row>
    <row r="29" spans="1:21" ht="16.5" customHeight="1" x14ac:dyDescent="0.25">
      <c r="A29" s="100">
        <v>25</v>
      </c>
      <c r="B29" s="68">
        <v>40</v>
      </c>
      <c r="C29" s="71">
        <v>1.825</v>
      </c>
      <c r="D29" s="421">
        <v>1</v>
      </c>
      <c r="E29" s="422">
        <v>16.664999999999999</v>
      </c>
      <c r="F29" s="429">
        <v>10</v>
      </c>
      <c r="G29" s="421">
        <v>4</v>
      </c>
      <c r="H29" s="422">
        <v>24</v>
      </c>
      <c r="I29" s="429"/>
      <c r="J29" s="421">
        <v>3</v>
      </c>
      <c r="K29" s="422">
        <v>21</v>
      </c>
      <c r="L29" s="429"/>
      <c r="M29" s="81"/>
      <c r="N29" s="113">
        <f t="shared" si="0"/>
        <v>1.825</v>
      </c>
      <c r="O29" s="114">
        <f>'Raw data'!F28</f>
        <v>4.5624999999999999E-2</v>
      </c>
      <c r="P29" s="115">
        <f>'Raw data'!D28</f>
        <v>40</v>
      </c>
      <c r="Q29" s="78">
        <f>'Raw data'!G28</f>
        <v>26.664999999999999</v>
      </c>
      <c r="R29" s="79">
        <f>'Raw data'!H28</f>
        <v>96</v>
      </c>
      <c r="S29" s="102">
        <f>'Raw data'!I28</f>
        <v>63</v>
      </c>
      <c r="T29" s="92"/>
      <c r="U29" s="92"/>
    </row>
    <row r="30" spans="1:21" ht="16.5" customHeight="1" x14ac:dyDescent="0.25">
      <c r="A30" s="100">
        <v>26</v>
      </c>
      <c r="B30" s="68">
        <v>40</v>
      </c>
      <c r="C30" s="71">
        <v>1.82</v>
      </c>
      <c r="D30" s="421">
        <v>1</v>
      </c>
      <c r="E30" s="422">
        <v>16.265000000000001</v>
      </c>
      <c r="F30" s="429">
        <v>10</v>
      </c>
      <c r="G30" s="421">
        <v>4</v>
      </c>
      <c r="H30" s="422">
        <v>24</v>
      </c>
      <c r="I30" s="429"/>
      <c r="J30" s="421">
        <v>3</v>
      </c>
      <c r="K30" s="422">
        <v>21</v>
      </c>
      <c r="L30" s="429"/>
      <c r="M30" s="81"/>
      <c r="N30" s="113">
        <f t="shared" si="0"/>
        <v>1.82</v>
      </c>
      <c r="O30" s="114">
        <f>'Raw data'!F29</f>
        <v>4.5499999999999999E-2</v>
      </c>
      <c r="P30" s="115">
        <f>'Raw data'!D29</f>
        <v>40</v>
      </c>
      <c r="Q30" s="78">
        <f>'Raw data'!G29</f>
        <v>26.265000000000001</v>
      </c>
      <c r="R30" s="79">
        <f>'Raw data'!H29</f>
        <v>96</v>
      </c>
      <c r="S30" s="102">
        <f>'Raw data'!I29</f>
        <v>63</v>
      </c>
      <c r="T30" s="92"/>
      <c r="U30" s="92"/>
    </row>
    <row r="31" spans="1:21" ht="16.5" customHeight="1" x14ac:dyDescent="0.25">
      <c r="A31" s="100">
        <v>27</v>
      </c>
      <c r="B31" s="68">
        <v>40</v>
      </c>
      <c r="C31" s="71">
        <v>1.8340000000000001</v>
      </c>
      <c r="D31" s="421">
        <v>1</v>
      </c>
      <c r="E31" s="422">
        <v>16.565000000000001</v>
      </c>
      <c r="F31" s="429">
        <v>10</v>
      </c>
      <c r="G31" s="421">
        <v>4</v>
      </c>
      <c r="H31" s="422">
        <v>24</v>
      </c>
      <c r="I31" s="429"/>
      <c r="J31" s="421">
        <v>3</v>
      </c>
      <c r="K31" s="422">
        <v>21</v>
      </c>
      <c r="L31" s="429"/>
      <c r="M31" s="81"/>
      <c r="N31" s="113">
        <f t="shared" si="0"/>
        <v>1.8340000000000001</v>
      </c>
      <c r="O31" s="114">
        <f>'Raw data'!F30</f>
        <v>4.5850000000000002E-2</v>
      </c>
      <c r="P31" s="115">
        <f>'Raw data'!D30</f>
        <v>40</v>
      </c>
      <c r="Q31" s="78">
        <f>'Raw data'!G30</f>
        <v>26.565000000000001</v>
      </c>
      <c r="R31" s="79">
        <f>'Raw data'!H30</f>
        <v>96</v>
      </c>
      <c r="S31" s="102">
        <f>'Raw data'!I30</f>
        <v>63</v>
      </c>
      <c r="T31" s="92"/>
      <c r="U31" s="92"/>
    </row>
    <row r="32" spans="1:21" ht="16.5" customHeight="1" x14ac:dyDescent="0.25">
      <c r="A32" s="100">
        <v>28</v>
      </c>
      <c r="B32" s="68">
        <v>40</v>
      </c>
      <c r="C32" s="71">
        <v>1.83</v>
      </c>
      <c r="D32" s="421">
        <v>1</v>
      </c>
      <c r="E32" s="422">
        <v>16.315000000000001</v>
      </c>
      <c r="F32" s="429">
        <v>10</v>
      </c>
      <c r="G32" s="421">
        <v>4</v>
      </c>
      <c r="H32" s="422">
        <v>24</v>
      </c>
      <c r="I32" s="429"/>
      <c r="J32" s="421">
        <v>3</v>
      </c>
      <c r="K32" s="422">
        <v>21</v>
      </c>
      <c r="L32" s="429"/>
      <c r="M32" s="81"/>
      <c r="N32" s="113">
        <f t="shared" si="0"/>
        <v>1.83</v>
      </c>
      <c r="O32" s="114">
        <f>'Raw data'!F31</f>
        <v>4.5749999999999999E-2</v>
      </c>
      <c r="P32" s="115">
        <f>'Raw data'!D31</f>
        <v>40</v>
      </c>
      <c r="Q32" s="78">
        <f>'Raw data'!G31</f>
        <v>26.315000000000001</v>
      </c>
      <c r="R32" s="79">
        <f>'Raw data'!H31</f>
        <v>96</v>
      </c>
      <c r="S32" s="102">
        <f>'Raw data'!I31</f>
        <v>63</v>
      </c>
      <c r="T32" s="92"/>
      <c r="U32" s="92"/>
    </row>
    <row r="33" spans="1:21" ht="16.5" customHeight="1" x14ac:dyDescent="0.25">
      <c r="A33" s="100">
        <v>29</v>
      </c>
      <c r="B33" s="68">
        <v>40</v>
      </c>
      <c r="C33" s="71">
        <v>1.83</v>
      </c>
      <c r="D33" s="421">
        <v>1</v>
      </c>
      <c r="E33" s="422">
        <v>16.465</v>
      </c>
      <c r="F33" s="429">
        <v>10</v>
      </c>
      <c r="G33" s="421">
        <v>4</v>
      </c>
      <c r="H33" s="422">
        <v>24</v>
      </c>
      <c r="I33" s="429"/>
      <c r="J33" s="421">
        <v>3</v>
      </c>
      <c r="K33" s="422">
        <v>21</v>
      </c>
      <c r="L33" s="429"/>
      <c r="M33" s="81"/>
      <c r="N33" s="113">
        <f t="shared" si="0"/>
        <v>1.83</v>
      </c>
      <c r="O33" s="114">
        <f>'Raw data'!F32</f>
        <v>4.5749999999999999E-2</v>
      </c>
      <c r="P33" s="115">
        <f>'Raw data'!D32</f>
        <v>40</v>
      </c>
      <c r="Q33" s="78">
        <f>'Raw data'!G32</f>
        <v>26.465</v>
      </c>
      <c r="R33" s="79">
        <f>'Raw data'!H32</f>
        <v>96</v>
      </c>
      <c r="S33" s="102">
        <f>'Raw data'!I32</f>
        <v>63</v>
      </c>
      <c r="T33" s="92"/>
      <c r="U33" s="92"/>
    </row>
    <row r="34" spans="1:21" ht="16.5" customHeight="1" x14ac:dyDescent="0.25">
      <c r="A34" s="100">
        <v>30</v>
      </c>
      <c r="B34" s="68">
        <v>40</v>
      </c>
      <c r="C34" s="71">
        <v>1.8220000000000001</v>
      </c>
      <c r="D34" s="421">
        <v>1</v>
      </c>
      <c r="E34" s="422">
        <v>16.065000000000001</v>
      </c>
      <c r="F34" s="429">
        <v>10</v>
      </c>
      <c r="G34" s="421">
        <v>4</v>
      </c>
      <c r="H34" s="422">
        <v>24</v>
      </c>
      <c r="I34" s="429"/>
      <c r="J34" s="421">
        <v>3</v>
      </c>
      <c r="K34" s="422">
        <v>21</v>
      </c>
      <c r="L34" s="429"/>
      <c r="M34" s="81"/>
      <c r="N34" s="113">
        <f t="shared" si="0"/>
        <v>1.8220000000000001</v>
      </c>
      <c r="O34" s="114">
        <f>'Raw data'!F33</f>
        <v>4.555E-2</v>
      </c>
      <c r="P34" s="115">
        <f>'Raw data'!D33</f>
        <v>40</v>
      </c>
      <c r="Q34" s="78">
        <f>'Raw data'!G33</f>
        <v>26.065000000000001</v>
      </c>
      <c r="R34" s="79">
        <f>'Raw data'!H33</f>
        <v>96</v>
      </c>
      <c r="S34" s="102">
        <f>'Raw data'!I33</f>
        <v>63</v>
      </c>
      <c r="T34" s="92"/>
      <c r="U34" s="92"/>
    </row>
    <row r="35" spans="1:21" ht="16.5" customHeight="1" x14ac:dyDescent="0.25">
      <c r="A35" s="100">
        <v>31</v>
      </c>
      <c r="B35" s="68">
        <v>40</v>
      </c>
      <c r="C35" s="71">
        <v>1.821</v>
      </c>
      <c r="D35" s="421">
        <v>1</v>
      </c>
      <c r="E35" s="422">
        <v>16.365000000000002</v>
      </c>
      <c r="F35" s="429">
        <v>10</v>
      </c>
      <c r="G35" s="421">
        <v>4</v>
      </c>
      <c r="H35" s="422">
        <v>24</v>
      </c>
      <c r="I35" s="429"/>
      <c r="J35" s="421">
        <v>3</v>
      </c>
      <c r="K35" s="422">
        <v>21</v>
      </c>
      <c r="L35" s="429"/>
      <c r="M35" s="81"/>
      <c r="N35" s="113">
        <f t="shared" si="0"/>
        <v>1.821</v>
      </c>
      <c r="O35" s="114">
        <f>'Raw data'!F34</f>
        <v>4.5524999999999996E-2</v>
      </c>
      <c r="P35" s="115">
        <f>'Raw data'!D34</f>
        <v>40</v>
      </c>
      <c r="Q35" s="78">
        <f>'Raw data'!G34</f>
        <v>26.365000000000002</v>
      </c>
      <c r="R35" s="79">
        <f>'Raw data'!H34</f>
        <v>96</v>
      </c>
      <c r="S35" s="102">
        <f>'Raw data'!I34</f>
        <v>63</v>
      </c>
      <c r="T35" s="92"/>
      <c r="U35" s="92"/>
    </row>
    <row r="36" spans="1:21" ht="16.5" customHeight="1" x14ac:dyDescent="0.25">
      <c r="A36" s="100">
        <v>32</v>
      </c>
      <c r="B36" s="68">
        <v>40</v>
      </c>
      <c r="C36" s="71">
        <v>1.821</v>
      </c>
      <c r="D36" s="421">
        <v>1</v>
      </c>
      <c r="E36" s="422">
        <v>16.265000000000001</v>
      </c>
      <c r="F36" s="429">
        <v>10</v>
      </c>
      <c r="G36" s="421">
        <v>4</v>
      </c>
      <c r="H36" s="422">
        <v>24</v>
      </c>
      <c r="I36" s="429"/>
      <c r="J36" s="421">
        <v>3</v>
      </c>
      <c r="K36" s="422">
        <v>21</v>
      </c>
      <c r="L36" s="429"/>
      <c r="M36" s="81"/>
      <c r="N36" s="113">
        <f t="shared" si="0"/>
        <v>1.821</v>
      </c>
      <c r="O36" s="114">
        <f>'Raw data'!F35</f>
        <v>4.5524999999999996E-2</v>
      </c>
      <c r="P36" s="115">
        <f>'Raw data'!D35</f>
        <v>40</v>
      </c>
      <c r="Q36" s="78">
        <f>'Raw data'!G35</f>
        <v>26.265000000000001</v>
      </c>
      <c r="R36" s="79">
        <f>'Raw data'!H35</f>
        <v>96</v>
      </c>
      <c r="S36" s="102">
        <f>'Raw data'!I35</f>
        <v>63</v>
      </c>
      <c r="T36" s="92"/>
      <c r="U36" s="92"/>
    </row>
    <row r="37" spans="1:21" ht="16.5" customHeight="1" x14ac:dyDescent="0.25">
      <c r="A37" s="100">
        <v>33</v>
      </c>
      <c r="B37" s="68">
        <v>40</v>
      </c>
      <c r="C37" s="71">
        <v>1.8260000000000001</v>
      </c>
      <c r="D37" s="421">
        <v>1</v>
      </c>
      <c r="E37" s="422">
        <v>16.315000000000001</v>
      </c>
      <c r="F37" s="429">
        <v>10</v>
      </c>
      <c r="G37" s="421">
        <v>4</v>
      </c>
      <c r="H37" s="422">
        <v>24</v>
      </c>
      <c r="I37" s="429"/>
      <c r="J37" s="421">
        <v>3</v>
      </c>
      <c r="K37" s="422">
        <v>21</v>
      </c>
      <c r="L37" s="429"/>
      <c r="M37" s="81"/>
      <c r="N37" s="113">
        <f t="shared" ref="N37:N70" si="1">IF(A37&lt;&gt;"",C37,"")</f>
        <v>1.8260000000000001</v>
      </c>
      <c r="O37" s="114">
        <f>'Raw data'!F36</f>
        <v>4.5650000000000003E-2</v>
      </c>
      <c r="P37" s="115">
        <f>'Raw data'!D36</f>
        <v>40</v>
      </c>
      <c r="Q37" s="78">
        <f>'Raw data'!G36</f>
        <v>26.315000000000001</v>
      </c>
      <c r="R37" s="79">
        <f>'Raw data'!H36</f>
        <v>96</v>
      </c>
      <c r="S37" s="102">
        <f>'Raw data'!I36</f>
        <v>63</v>
      </c>
      <c r="T37" s="92"/>
      <c r="U37" s="92"/>
    </row>
    <row r="38" spans="1:21" ht="16.5" customHeight="1" x14ac:dyDescent="0.25">
      <c r="A38" s="100">
        <v>34</v>
      </c>
      <c r="B38" s="68">
        <v>40</v>
      </c>
      <c r="C38" s="71">
        <v>1.8149999999999999</v>
      </c>
      <c r="D38" s="421">
        <v>1</v>
      </c>
      <c r="E38" s="422">
        <v>17.215</v>
      </c>
      <c r="F38" s="429">
        <v>10</v>
      </c>
      <c r="G38" s="421">
        <v>4</v>
      </c>
      <c r="H38" s="422">
        <v>24</v>
      </c>
      <c r="I38" s="429"/>
      <c r="J38" s="421">
        <v>3</v>
      </c>
      <c r="K38" s="422">
        <v>21</v>
      </c>
      <c r="L38" s="429"/>
      <c r="M38" s="81"/>
      <c r="N38" s="113">
        <f t="shared" si="1"/>
        <v>1.8149999999999999</v>
      </c>
      <c r="O38" s="114">
        <f>'Raw data'!F37</f>
        <v>4.5374999999999999E-2</v>
      </c>
      <c r="P38" s="115">
        <f>'Raw data'!D37</f>
        <v>40</v>
      </c>
      <c r="Q38" s="78">
        <f>'Raw data'!G37</f>
        <v>27.215</v>
      </c>
      <c r="R38" s="79">
        <f>'Raw data'!H37</f>
        <v>96</v>
      </c>
      <c r="S38" s="102">
        <f>'Raw data'!I37</f>
        <v>63</v>
      </c>
      <c r="T38" s="92"/>
      <c r="U38" s="92"/>
    </row>
    <row r="39" spans="1:21" ht="16.5" customHeight="1" x14ac:dyDescent="0.25">
      <c r="A39" s="100">
        <v>35</v>
      </c>
      <c r="B39" s="68">
        <v>40</v>
      </c>
      <c r="C39" s="71">
        <v>1.82</v>
      </c>
      <c r="D39" s="421">
        <v>1</v>
      </c>
      <c r="E39" s="422">
        <v>16.265000000000001</v>
      </c>
      <c r="F39" s="429">
        <v>10</v>
      </c>
      <c r="G39" s="421">
        <v>4</v>
      </c>
      <c r="H39" s="422">
        <v>24</v>
      </c>
      <c r="I39" s="429"/>
      <c r="J39" s="421">
        <v>3</v>
      </c>
      <c r="K39" s="422">
        <v>21</v>
      </c>
      <c r="L39" s="429"/>
      <c r="M39" s="81"/>
      <c r="N39" s="113">
        <f t="shared" si="1"/>
        <v>1.82</v>
      </c>
      <c r="O39" s="114">
        <f>'Raw data'!F38</f>
        <v>4.5499999999999999E-2</v>
      </c>
      <c r="P39" s="115">
        <f>'Raw data'!D38</f>
        <v>40</v>
      </c>
      <c r="Q39" s="78">
        <f>'Raw data'!G38</f>
        <v>26.265000000000001</v>
      </c>
      <c r="R39" s="79">
        <f>'Raw data'!H38</f>
        <v>96</v>
      </c>
      <c r="S39" s="102">
        <f>'Raw data'!I38</f>
        <v>63</v>
      </c>
      <c r="T39" s="92"/>
      <c r="U39" s="92"/>
    </row>
    <row r="40" spans="1:21" ht="16.5" customHeight="1" x14ac:dyDescent="0.25">
      <c r="A40" s="100">
        <v>36</v>
      </c>
      <c r="B40" s="68">
        <v>40</v>
      </c>
      <c r="C40" s="71">
        <v>1.8129999999999999</v>
      </c>
      <c r="D40" s="421">
        <v>1</v>
      </c>
      <c r="E40" s="422">
        <v>17.715</v>
      </c>
      <c r="F40" s="429">
        <v>10</v>
      </c>
      <c r="G40" s="421">
        <v>4</v>
      </c>
      <c r="H40" s="422">
        <v>24</v>
      </c>
      <c r="I40" s="429"/>
      <c r="J40" s="421">
        <v>3</v>
      </c>
      <c r="K40" s="422">
        <v>21</v>
      </c>
      <c r="L40" s="429"/>
      <c r="M40" s="81"/>
      <c r="N40" s="113">
        <f t="shared" si="1"/>
        <v>1.8129999999999999</v>
      </c>
      <c r="O40" s="114">
        <f>'Raw data'!F39</f>
        <v>4.5324999999999997E-2</v>
      </c>
      <c r="P40" s="115">
        <f>'Raw data'!D39</f>
        <v>40</v>
      </c>
      <c r="Q40" s="78">
        <f>'Raw data'!G39</f>
        <v>27.715</v>
      </c>
      <c r="R40" s="79">
        <f>'Raw data'!H39</f>
        <v>96</v>
      </c>
      <c r="S40" s="102">
        <f>'Raw data'!I39</f>
        <v>63</v>
      </c>
      <c r="T40" s="92"/>
      <c r="U40" s="92"/>
    </row>
    <row r="41" spans="1:21" ht="16.5" customHeight="1" x14ac:dyDescent="0.25">
      <c r="A41" s="100">
        <v>37</v>
      </c>
      <c r="B41" s="68">
        <v>40</v>
      </c>
      <c r="C41" s="71">
        <v>1.821</v>
      </c>
      <c r="D41" s="421">
        <v>1</v>
      </c>
      <c r="E41" s="422">
        <v>16.565000000000001</v>
      </c>
      <c r="F41" s="429">
        <v>10</v>
      </c>
      <c r="G41" s="421">
        <v>4</v>
      </c>
      <c r="H41" s="422">
        <v>24</v>
      </c>
      <c r="I41" s="429"/>
      <c r="J41" s="421">
        <v>3</v>
      </c>
      <c r="K41" s="422">
        <v>21</v>
      </c>
      <c r="L41" s="429"/>
      <c r="M41" s="81"/>
      <c r="N41" s="113">
        <f t="shared" si="1"/>
        <v>1.821</v>
      </c>
      <c r="O41" s="114">
        <f>'Raw data'!F40</f>
        <v>4.5524999999999996E-2</v>
      </c>
      <c r="P41" s="115">
        <f>'Raw data'!D40</f>
        <v>40</v>
      </c>
      <c r="Q41" s="78">
        <f>'Raw data'!G40</f>
        <v>26.565000000000001</v>
      </c>
      <c r="R41" s="79">
        <f>'Raw data'!H40</f>
        <v>96</v>
      </c>
      <c r="S41" s="102">
        <f>'Raw data'!I40</f>
        <v>63</v>
      </c>
      <c r="T41" s="92"/>
      <c r="U41" s="92"/>
    </row>
    <row r="42" spans="1:21" ht="16.5" customHeight="1" x14ac:dyDescent="0.25">
      <c r="A42" s="100">
        <v>38</v>
      </c>
      <c r="B42" s="68">
        <v>40</v>
      </c>
      <c r="C42" s="71">
        <v>1.819</v>
      </c>
      <c r="D42" s="421">
        <v>1</v>
      </c>
      <c r="E42" s="422">
        <v>16.465</v>
      </c>
      <c r="F42" s="429">
        <v>10</v>
      </c>
      <c r="G42" s="421">
        <v>4</v>
      </c>
      <c r="H42" s="422">
        <v>24</v>
      </c>
      <c r="I42" s="429"/>
      <c r="J42" s="421">
        <v>3</v>
      </c>
      <c r="K42" s="422">
        <v>21</v>
      </c>
      <c r="L42" s="429"/>
      <c r="M42" s="81"/>
      <c r="N42" s="113">
        <f t="shared" si="1"/>
        <v>1.819</v>
      </c>
      <c r="O42" s="114">
        <f>'Raw data'!F41</f>
        <v>4.5475000000000002E-2</v>
      </c>
      <c r="P42" s="115">
        <f>'Raw data'!D41</f>
        <v>40</v>
      </c>
      <c r="Q42" s="78">
        <f>'Raw data'!G41</f>
        <v>26.465</v>
      </c>
      <c r="R42" s="79">
        <f>'Raw data'!H41</f>
        <v>96</v>
      </c>
      <c r="S42" s="102">
        <f>'Raw data'!I41</f>
        <v>63</v>
      </c>
      <c r="T42" s="92"/>
      <c r="U42" s="92"/>
    </row>
    <row r="43" spans="1:21" ht="16.5" customHeight="1" x14ac:dyDescent="0.25">
      <c r="A43" s="100">
        <v>39</v>
      </c>
      <c r="B43" s="68">
        <v>40</v>
      </c>
      <c r="C43" s="71">
        <v>1.82</v>
      </c>
      <c r="D43" s="421">
        <v>1</v>
      </c>
      <c r="E43" s="422">
        <v>16.664999999999999</v>
      </c>
      <c r="F43" s="429">
        <v>10</v>
      </c>
      <c r="G43" s="421">
        <v>4</v>
      </c>
      <c r="H43" s="422">
        <v>24</v>
      </c>
      <c r="I43" s="429"/>
      <c r="J43" s="421">
        <v>3</v>
      </c>
      <c r="K43" s="422">
        <v>21</v>
      </c>
      <c r="L43" s="429"/>
      <c r="M43" s="81"/>
      <c r="N43" s="113">
        <f t="shared" si="1"/>
        <v>1.82</v>
      </c>
      <c r="O43" s="114">
        <f>'Raw data'!F42</f>
        <v>4.5499999999999999E-2</v>
      </c>
      <c r="P43" s="115">
        <f>'Raw data'!D42</f>
        <v>40</v>
      </c>
      <c r="Q43" s="78">
        <f>'Raw data'!G42</f>
        <v>26.664999999999999</v>
      </c>
      <c r="R43" s="79">
        <f>'Raw data'!H42</f>
        <v>96</v>
      </c>
      <c r="S43" s="102">
        <f>'Raw data'!I42</f>
        <v>63</v>
      </c>
      <c r="T43" s="92"/>
      <c r="U43" s="92"/>
    </row>
    <row r="44" spans="1:21" ht="16.5" customHeight="1" x14ac:dyDescent="0.25">
      <c r="A44" s="100">
        <v>40</v>
      </c>
      <c r="B44" s="68">
        <v>40</v>
      </c>
      <c r="C44" s="71">
        <v>1.825</v>
      </c>
      <c r="D44" s="421">
        <v>1</v>
      </c>
      <c r="E44" s="422">
        <v>16.565000000000001</v>
      </c>
      <c r="F44" s="429">
        <v>10</v>
      </c>
      <c r="G44" s="421">
        <v>4</v>
      </c>
      <c r="H44" s="422">
        <v>24</v>
      </c>
      <c r="I44" s="429"/>
      <c r="J44" s="421">
        <v>3</v>
      </c>
      <c r="K44" s="422">
        <v>21</v>
      </c>
      <c r="L44" s="429"/>
      <c r="M44" s="81"/>
      <c r="N44" s="113">
        <f t="shared" si="1"/>
        <v>1.825</v>
      </c>
      <c r="O44" s="114">
        <f>'Raw data'!F43</f>
        <v>4.5624999999999999E-2</v>
      </c>
      <c r="P44" s="115">
        <f>'Raw data'!D43</f>
        <v>40</v>
      </c>
      <c r="Q44" s="78">
        <f>'Raw data'!G43</f>
        <v>26.565000000000001</v>
      </c>
      <c r="R44" s="79">
        <f>'Raw data'!H43</f>
        <v>96</v>
      </c>
      <c r="S44" s="102">
        <f>'Raw data'!I43</f>
        <v>63</v>
      </c>
      <c r="T44" s="92"/>
      <c r="U44" s="92"/>
    </row>
    <row r="45" spans="1:21" ht="16.5" customHeight="1" x14ac:dyDescent="0.25">
      <c r="A45" s="100">
        <v>41</v>
      </c>
      <c r="B45" s="68">
        <v>40</v>
      </c>
      <c r="C45" s="71">
        <v>1.82</v>
      </c>
      <c r="D45" s="421">
        <v>1</v>
      </c>
      <c r="E45" s="422">
        <v>16.414999999999999</v>
      </c>
      <c r="F45" s="429">
        <v>10</v>
      </c>
      <c r="G45" s="421">
        <v>4</v>
      </c>
      <c r="H45" s="422">
        <v>24</v>
      </c>
      <c r="I45" s="429"/>
      <c r="J45" s="421">
        <v>3</v>
      </c>
      <c r="K45" s="422">
        <v>21</v>
      </c>
      <c r="L45" s="429"/>
      <c r="M45" s="81"/>
      <c r="N45" s="113">
        <f t="shared" si="1"/>
        <v>1.82</v>
      </c>
      <c r="O45" s="114">
        <f>'Raw data'!F44</f>
        <v>4.5499999999999999E-2</v>
      </c>
      <c r="P45" s="115">
        <f>'Raw data'!D44</f>
        <v>40</v>
      </c>
      <c r="Q45" s="78">
        <f>'Raw data'!G44</f>
        <v>26.414999999999999</v>
      </c>
      <c r="R45" s="79">
        <f>'Raw data'!H44</f>
        <v>96</v>
      </c>
      <c r="S45" s="102">
        <f>'Raw data'!I44</f>
        <v>63</v>
      </c>
      <c r="T45" s="92"/>
      <c r="U45" s="92"/>
    </row>
    <row r="46" spans="1:21" ht="16.5" customHeight="1" x14ac:dyDescent="0.25">
      <c r="A46" s="100">
        <v>42</v>
      </c>
      <c r="B46" s="68">
        <v>40</v>
      </c>
      <c r="C46" s="71">
        <v>1.8160000000000001</v>
      </c>
      <c r="D46" s="421">
        <v>1</v>
      </c>
      <c r="E46" s="422">
        <v>16.015000000000001</v>
      </c>
      <c r="F46" s="429">
        <v>10</v>
      </c>
      <c r="G46" s="421">
        <v>4</v>
      </c>
      <c r="H46" s="422">
        <v>24</v>
      </c>
      <c r="I46" s="429"/>
      <c r="J46" s="421">
        <v>3</v>
      </c>
      <c r="K46" s="422">
        <v>21</v>
      </c>
      <c r="L46" s="429"/>
      <c r="M46" s="81"/>
      <c r="N46" s="113">
        <f t="shared" si="1"/>
        <v>1.8160000000000001</v>
      </c>
      <c r="O46" s="114">
        <f>'Raw data'!F45</f>
        <v>4.5400000000000003E-2</v>
      </c>
      <c r="P46" s="115">
        <f>'Raw data'!D45</f>
        <v>40</v>
      </c>
      <c r="Q46" s="78">
        <f>'Raw data'!G45</f>
        <v>26.015000000000001</v>
      </c>
      <c r="R46" s="79">
        <f>'Raw data'!H45</f>
        <v>96</v>
      </c>
      <c r="S46" s="102">
        <f>'Raw data'!I45</f>
        <v>63</v>
      </c>
      <c r="T46" s="92"/>
      <c r="U46" s="92"/>
    </row>
    <row r="47" spans="1:21" ht="16.5" customHeight="1" x14ac:dyDescent="0.25">
      <c r="A47" s="100">
        <v>43</v>
      </c>
      <c r="B47" s="68">
        <v>40</v>
      </c>
      <c r="C47" s="71">
        <v>1.8360000000000001</v>
      </c>
      <c r="D47" s="421">
        <v>1</v>
      </c>
      <c r="E47" s="422">
        <v>15.265000000000001</v>
      </c>
      <c r="F47" s="429">
        <v>9.65</v>
      </c>
      <c r="G47" s="421">
        <v>3</v>
      </c>
      <c r="H47" s="422">
        <v>24</v>
      </c>
      <c r="I47" s="429">
        <v>22.3</v>
      </c>
      <c r="J47" s="421">
        <v>2</v>
      </c>
      <c r="K47" s="422">
        <v>21</v>
      </c>
      <c r="L47" s="429">
        <v>19.899999999999999</v>
      </c>
      <c r="M47" s="81"/>
      <c r="N47" s="113">
        <f t="shared" si="1"/>
        <v>1.8360000000000001</v>
      </c>
      <c r="O47" s="114">
        <f>'Raw data'!F46</f>
        <v>4.5900000000000003E-2</v>
      </c>
      <c r="P47" s="115">
        <f>'Raw data'!D46</f>
        <v>40</v>
      </c>
      <c r="Q47" s="78">
        <f>'Raw data'!G46</f>
        <v>24.914999999999999</v>
      </c>
      <c r="R47" s="79">
        <f>'Raw data'!H46</f>
        <v>94.3</v>
      </c>
      <c r="S47" s="102">
        <f>'Raw data'!I46</f>
        <v>61.9</v>
      </c>
      <c r="T47" s="92"/>
      <c r="U47" s="92"/>
    </row>
    <row r="48" spans="1:21" ht="16.5" customHeight="1" x14ac:dyDescent="0.25">
      <c r="A48" s="100">
        <v>44</v>
      </c>
      <c r="B48" s="68">
        <v>40</v>
      </c>
      <c r="C48" s="71">
        <v>1.84</v>
      </c>
      <c r="D48" s="423">
        <v>1</v>
      </c>
      <c r="E48" s="422">
        <v>15.265000000000001</v>
      </c>
      <c r="F48" s="429">
        <v>9.5</v>
      </c>
      <c r="G48" s="421">
        <v>3</v>
      </c>
      <c r="H48" s="422">
        <v>24</v>
      </c>
      <c r="I48" s="429">
        <v>22.45</v>
      </c>
      <c r="J48" s="421">
        <v>2</v>
      </c>
      <c r="K48" s="422">
        <v>21</v>
      </c>
      <c r="L48" s="429">
        <v>19.899999999999999</v>
      </c>
      <c r="M48" s="81"/>
      <c r="N48" s="113">
        <f t="shared" si="1"/>
        <v>1.84</v>
      </c>
      <c r="O48" s="114">
        <f>'Raw data'!F47</f>
        <v>4.5999999999999999E-2</v>
      </c>
      <c r="P48" s="115">
        <f>'Raw data'!D47</f>
        <v>40</v>
      </c>
      <c r="Q48" s="78">
        <f>'Raw data'!G47</f>
        <v>24.765000000000001</v>
      </c>
      <c r="R48" s="79">
        <f>'Raw data'!H47</f>
        <v>94.45</v>
      </c>
      <c r="S48" s="102">
        <f>'Raw data'!I47</f>
        <v>61.9</v>
      </c>
      <c r="T48" s="92"/>
      <c r="U48" s="92"/>
    </row>
    <row r="49" spans="1:21" ht="16.5" customHeight="1" x14ac:dyDescent="0.25">
      <c r="A49" s="103">
        <v>45</v>
      </c>
      <c r="B49" s="68">
        <v>40</v>
      </c>
      <c r="C49" s="71">
        <v>1.82</v>
      </c>
      <c r="D49" s="421">
        <v>1</v>
      </c>
      <c r="E49" s="422">
        <v>16.815000000000001</v>
      </c>
      <c r="F49" s="429">
        <v>10</v>
      </c>
      <c r="G49" s="421">
        <v>4</v>
      </c>
      <c r="H49" s="422">
        <v>24</v>
      </c>
      <c r="I49" s="429"/>
      <c r="J49" s="421">
        <v>3</v>
      </c>
      <c r="K49" s="422">
        <v>21</v>
      </c>
      <c r="L49" s="429"/>
      <c r="M49" s="81"/>
      <c r="N49" s="113">
        <f t="shared" si="1"/>
        <v>1.82</v>
      </c>
      <c r="O49" s="114">
        <f>'Raw data'!F48</f>
        <v>4.5499999999999999E-2</v>
      </c>
      <c r="P49" s="115">
        <f>'Raw data'!D48</f>
        <v>40</v>
      </c>
      <c r="Q49" s="78">
        <f>'Raw data'!G48</f>
        <v>26.815000000000001</v>
      </c>
      <c r="R49" s="79">
        <f>'Raw data'!H48</f>
        <v>96</v>
      </c>
      <c r="S49" s="102">
        <f>'Raw data'!I48</f>
        <v>63</v>
      </c>
      <c r="T49" s="92"/>
      <c r="U49" s="92"/>
    </row>
    <row r="50" spans="1:21" ht="16.5" customHeight="1" x14ac:dyDescent="0.25">
      <c r="A50" s="100">
        <v>46</v>
      </c>
      <c r="B50" s="68">
        <v>40</v>
      </c>
      <c r="C50" s="71">
        <v>1.82</v>
      </c>
      <c r="D50" s="421">
        <v>1</v>
      </c>
      <c r="E50" s="422">
        <v>16.815000000000001</v>
      </c>
      <c r="F50" s="429">
        <v>10</v>
      </c>
      <c r="G50" s="421">
        <v>4</v>
      </c>
      <c r="H50" s="422">
        <v>24</v>
      </c>
      <c r="I50" s="429"/>
      <c r="J50" s="421">
        <v>3</v>
      </c>
      <c r="K50" s="422">
        <v>21</v>
      </c>
      <c r="L50" s="429"/>
      <c r="M50" s="81"/>
      <c r="N50" s="113">
        <f t="shared" si="1"/>
        <v>1.82</v>
      </c>
      <c r="O50" s="114">
        <f>'Raw data'!F49</f>
        <v>4.5499999999999999E-2</v>
      </c>
      <c r="P50" s="115">
        <f>'Raw data'!D49</f>
        <v>40</v>
      </c>
      <c r="Q50" s="78">
        <f>'Raw data'!G49</f>
        <v>26.815000000000001</v>
      </c>
      <c r="R50" s="79">
        <f>'Raw data'!H49</f>
        <v>96</v>
      </c>
      <c r="S50" s="102">
        <f>'Raw data'!I49</f>
        <v>63</v>
      </c>
      <c r="T50" s="92"/>
      <c r="U50" s="92"/>
    </row>
    <row r="51" spans="1:21" ht="16.5" customHeight="1" x14ac:dyDescent="0.25">
      <c r="A51" s="100">
        <v>47</v>
      </c>
      <c r="B51" s="68">
        <v>40</v>
      </c>
      <c r="C51" s="71">
        <v>1.8140000000000001</v>
      </c>
      <c r="D51" s="421">
        <v>1</v>
      </c>
      <c r="E51" s="422">
        <v>16.315000000000001</v>
      </c>
      <c r="F51" s="429">
        <v>10</v>
      </c>
      <c r="G51" s="421">
        <v>4</v>
      </c>
      <c r="H51" s="422">
        <v>24</v>
      </c>
      <c r="I51" s="429"/>
      <c r="J51" s="421">
        <v>3</v>
      </c>
      <c r="K51" s="422">
        <v>21</v>
      </c>
      <c r="L51" s="429"/>
      <c r="M51" s="81"/>
      <c r="N51" s="113">
        <f t="shared" si="1"/>
        <v>1.8140000000000001</v>
      </c>
      <c r="O51" s="114">
        <f>'Raw data'!F50</f>
        <v>4.5350000000000001E-2</v>
      </c>
      <c r="P51" s="115">
        <f>'Raw data'!D50</f>
        <v>40</v>
      </c>
      <c r="Q51" s="78">
        <f>'Raw data'!G50</f>
        <v>26.315000000000001</v>
      </c>
      <c r="R51" s="79">
        <f>'Raw data'!H50</f>
        <v>96</v>
      </c>
      <c r="S51" s="102">
        <f>'Raw data'!I50</f>
        <v>63</v>
      </c>
      <c r="T51" s="92"/>
      <c r="U51" s="92"/>
    </row>
    <row r="52" spans="1:21" ht="16.5" customHeight="1" x14ac:dyDescent="0.25">
      <c r="A52" s="100">
        <v>48</v>
      </c>
      <c r="B52" s="68">
        <v>40</v>
      </c>
      <c r="C52" s="71">
        <v>1.8169999999999999</v>
      </c>
      <c r="D52" s="421">
        <v>1</v>
      </c>
      <c r="E52" s="422">
        <v>16.765000000000001</v>
      </c>
      <c r="F52" s="429">
        <v>10</v>
      </c>
      <c r="G52" s="421">
        <v>4</v>
      </c>
      <c r="H52" s="422">
        <v>24</v>
      </c>
      <c r="I52" s="429"/>
      <c r="J52" s="421">
        <v>3</v>
      </c>
      <c r="K52" s="422">
        <v>21</v>
      </c>
      <c r="L52" s="429"/>
      <c r="M52" s="81"/>
      <c r="N52" s="113">
        <f t="shared" si="1"/>
        <v>1.8169999999999999</v>
      </c>
      <c r="O52" s="114">
        <f>'Raw data'!F51</f>
        <v>4.5425E-2</v>
      </c>
      <c r="P52" s="115">
        <f>'Raw data'!D51</f>
        <v>40</v>
      </c>
      <c r="Q52" s="78">
        <f>'Raw data'!G51</f>
        <v>26.765000000000001</v>
      </c>
      <c r="R52" s="79">
        <f>'Raw data'!H51</f>
        <v>96</v>
      </c>
      <c r="S52" s="102">
        <f>'Raw data'!I51</f>
        <v>63</v>
      </c>
      <c r="T52" s="92"/>
      <c r="U52" s="92"/>
    </row>
    <row r="53" spans="1:21" ht="16.5" customHeight="1" x14ac:dyDescent="0.25">
      <c r="A53" s="100">
        <v>49</v>
      </c>
      <c r="B53" s="68">
        <v>40</v>
      </c>
      <c r="C53" s="71">
        <v>1.821</v>
      </c>
      <c r="D53" s="421">
        <v>1</v>
      </c>
      <c r="E53" s="422">
        <v>16.215</v>
      </c>
      <c r="F53" s="429">
        <v>10</v>
      </c>
      <c r="G53" s="421">
        <v>4</v>
      </c>
      <c r="H53" s="422">
        <v>24</v>
      </c>
      <c r="I53" s="429"/>
      <c r="J53" s="421">
        <v>3</v>
      </c>
      <c r="K53" s="422">
        <v>21</v>
      </c>
      <c r="L53" s="429"/>
      <c r="M53" s="81"/>
      <c r="N53" s="113">
        <f t="shared" si="1"/>
        <v>1.821</v>
      </c>
      <c r="O53" s="114">
        <f>'Raw data'!F52</f>
        <v>4.5524999999999996E-2</v>
      </c>
      <c r="P53" s="115">
        <f>'Raw data'!D52</f>
        <v>40</v>
      </c>
      <c r="Q53" s="78">
        <f>'Raw data'!G52</f>
        <v>26.215</v>
      </c>
      <c r="R53" s="79">
        <f>'Raw data'!H52</f>
        <v>96</v>
      </c>
      <c r="S53" s="102">
        <f>'Raw data'!I52</f>
        <v>63</v>
      </c>
      <c r="T53" s="92"/>
      <c r="U53" s="92"/>
    </row>
    <row r="54" spans="1:21" ht="16.5" customHeight="1" x14ac:dyDescent="0.25">
      <c r="A54" s="100">
        <v>50</v>
      </c>
      <c r="B54" s="68">
        <v>40</v>
      </c>
      <c r="C54" s="71">
        <v>1.839</v>
      </c>
      <c r="D54" s="421">
        <v>1</v>
      </c>
      <c r="E54" s="422">
        <v>16.965</v>
      </c>
      <c r="F54" s="429">
        <v>10</v>
      </c>
      <c r="G54" s="421">
        <v>4</v>
      </c>
      <c r="H54" s="422">
        <v>24</v>
      </c>
      <c r="I54" s="429"/>
      <c r="J54" s="421">
        <v>3</v>
      </c>
      <c r="K54" s="422">
        <v>21</v>
      </c>
      <c r="L54" s="429"/>
      <c r="M54" s="81"/>
      <c r="N54" s="113">
        <f t="shared" si="1"/>
        <v>1.839</v>
      </c>
      <c r="O54" s="114">
        <f>'Raw data'!F53</f>
        <v>4.5975000000000002E-2</v>
      </c>
      <c r="P54" s="115">
        <f>'Raw data'!D53</f>
        <v>40</v>
      </c>
      <c r="Q54" s="78">
        <f>'Raw data'!G53</f>
        <v>26.965</v>
      </c>
      <c r="R54" s="79">
        <f>'Raw data'!H53</f>
        <v>96</v>
      </c>
      <c r="S54" s="102">
        <f>'Raw data'!I53</f>
        <v>63</v>
      </c>
      <c r="T54" s="92"/>
      <c r="U54" s="92"/>
    </row>
    <row r="55" spans="1:21" ht="16.5" customHeight="1" x14ac:dyDescent="0.25">
      <c r="A55" s="100">
        <v>51</v>
      </c>
      <c r="B55" s="68">
        <v>40</v>
      </c>
      <c r="C55" s="71">
        <v>1.827</v>
      </c>
      <c r="D55" s="421">
        <v>1</v>
      </c>
      <c r="E55" s="422">
        <v>16.315000000000001</v>
      </c>
      <c r="F55" s="429">
        <v>10</v>
      </c>
      <c r="G55" s="421">
        <v>4</v>
      </c>
      <c r="H55" s="422">
        <v>24</v>
      </c>
      <c r="I55" s="429"/>
      <c r="J55" s="421">
        <v>3</v>
      </c>
      <c r="K55" s="422">
        <v>21</v>
      </c>
      <c r="L55" s="429"/>
      <c r="M55" s="81"/>
      <c r="N55" s="113">
        <f t="shared" si="1"/>
        <v>1.827</v>
      </c>
      <c r="O55" s="114">
        <f>'Raw data'!F54</f>
        <v>4.5675E-2</v>
      </c>
      <c r="P55" s="115">
        <f>'Raw data'!D54</f>
        <v>40</v>
      </c>
      <c r="Q55" s="78">
        <f>'Raw data'!G54</f>
        <v>26.315000000000001</v>
      </c>
      <c r="R55" s="79">
        <f>'Raw data'!H54</f>
        <v>96</v>
      </c>
      <c r="S55" s="102">
        <f>'Raw data'!I54</f>
        <v>63</v>
      </c>
      <c r="T55" s="92"/>
      <c r="U55" s="92"/>
    </row>
    <row r="56" spans="1:21" ht="16.5" customHeight="1" x14ac:dyDescent="0.25">
      <c r="A56" s="100">
        <v>52</v>
      </c>
      <c r="B56" s="68">
        <v>40</v>
      </c>
      <c r="C56" s="71">
        <v>1.821</v>
      </c>
      <c r="D56" s="421">
        <v>1</v>
      </c>
      <c r="E56" s="422">
        <v>16.914999999999999</v>
      </c>
      <c r="F56" s="429">
        <v>10</v>
      </c>
      <c r="G56" s="421">
        <v>4</v>
      </c>
      <c r="H56" s="422">
        <v>24</v>
      </c>
      <c r="I56" s="429"/>
      <c r="J56" s="421">
        <v>3</v>
      </c>
      <c r="K56" s="422">
        <v>21</v>
      </c>
      <c r="L56" s="429"/>
      <c r="M56" s="81"/>
      <c r="N56" s="113">
        <f t="shared" si="1"/>
        <v>1.821</v>
      </c>
      <c r="O56" s="114">
        <f>'Raw data'!F55</f>
        <v>4.5524999999999996E-2</v>
      </c>
      <c r="P56" s="115">
        <f>'Raw data'!D55</f>
        <v>40</v>
      </c>
      <c r="Q56" s="78">
        <f>'Raw data'!G55</f>
        <v>26.914999999999999</v>
      </c>
      <c r="R56" s="79">
        <f>'Raw data'!H55</f>
        <v>96</v>
      </c>
      <c r="S56" s="102">
        <f>'Raw data'!I55</f>
        <v>63</v>
      </c>
      <c r="T56" s="92"/>
      <c r="U56" s="92"/>
    </row>
    <row r="57" spans="1:21" ht="16.5" customHeight="1" x14ac:dyDescent="0.25">
      <c r="A57" s="100">
        <v>53</v>
      </c>
      <c r="B57" s="68">
        <v>40</v>
      </c>
      <c r="C57" s="71">
        <v>1.825</v>
      </c>
      <c r="D57" s="421">
        <v>1</v>
      </c>
      <c r="E57" s="422">
        <v>16.715</v>
      </c>
      <c r="F57" s="429">
        <v>10</v>
      </c>
      <c r="G57" s="421">
        <v>4</v>
      </c>
      <c r="H57" s="422">
        <v>24</v>
      </c>
      <c r="I57" s="429"/>
      <c r="J57" s="421">
        <v>3</v>
      </c>
      <c r="K57" s="422">
        <v>21</v>
      </c>
      <c r="L57" s="429"/>
      <c r="M57" s="81"/>
      <c r="N57" s="113">
        <f t="shared" si="1"/>
        <v>1.825</v>
      </c>
      <c r="O57" s="114">
        <f>'Raw data'!F56</f>
        <v>4.5624999999999999E-2</v>
      </c>
      <c r="P57" s="115">
        <f>'Raw data'!D56</f>
        <v>40</v>
      </c>
      <c r="Q57" s="78">
        <f>'Raw data'!G56</f>
        <v>26.715</v>
      </c>
      <c r="R57" s="79">
        <f>'Raw data'!H56</f>
        <v>96</v>
      </c>
      <c r="S57" s="102">
        <f>'Raw data'!I56</f>
        <v>63</v>
      </c>
      <c r="T57" s="92"/>
      <c r="U57" s="92"/>
    </row>
    <row r="58" spans="1:21" ht="16.5" customHeight="1" x14ac:dyDescent="0.25">
      <c r="A58" s="100">
        <v>54</v>
      </c>
      <c r="B58" s="68">
        <v>40</v>
      </c>
      <c r="C58" s="71">
        <v>1.819</v>
      </c>
      <c r="D58" s="421">
        <v>1</v>
      </c>
      <c r="E58" s="422">
        <v>16.615000000000002</v>
      </c>
      <c r="F58" s="429">
        <v>10</v>
      </c>
      <c r="G58" s="421">
        <v>4</v>
      </c>
      <c r="H58" s="422">
        <v>24</v>
      </c>
      <c r="I58" s="429"/>
      <c r="J58" s="421">
        <v>3</v>
      </c>
      <c r="K58" s="422">
        <v>21</v>
      </c>
      <c r="L58" s="429"/>
      <c r="M58" s="81"/>
      <c r="N58" s="113">
        <f t="shared" si="1"/>
        <v>1.819</v>
      </c>
      <c r="O58" s="114">
        <f>'Raw data'!F57</f>
        <v>4.5475000000000002E-2</v>
      </c>
      <c r="P58" s="115">
        <f>'Raw data'!D57</f>
        <v>40</v>
      </c>
      <c r="Q58" s="78">
        <f>'Raw data'!G57</f>
        <v>26.615000000000002</v>
      </c>
      <c r="R58" s="79">
        <f>'Raw data'!H57</f>
        <v>96</v>
      </c>
      <c r="S58" s="102">
        <f>'Raw data'!I57</f>
        <v>63</v>
      </c>
      <c r="T58" s="92"/>
      <c r="U58" s="92"/>
    </row>
    <row r="59" spans="1:21" ht="16.5" customHeight="1" x14ac:dyDescent="0.25">
      <c r="A59" s="100">
        <v>55</v>
      </c>
      <c r="B59" s="68">
        <v>40</v>
      </c>
      <c r="C59" s="71">
        <v>1.82</v>
      </c>
      <c r="D59" s="421">
        <v>1</v>
      </c>
      <c r="E59" s="422">
        <v>16.365000000000002</v>
      </c>
      <c r="F59" s="429">
        <v>10</v>
      </c>
      <c r="G59" s="421">
        <v>4</v>
      </c>
      <c r="H59" s="422">
        <v>24</v>
      </c>
      <c r="I59" s="429"/>
      <c r="J59" s="421">
        <v>3</v>
      </c>
      <c r="K59" s="422">
        <v>21</v>
      </c>
      <c r="L59" s="429"/>
      <c r="M59" s="81"/>
      <c r="N59" s="113">
        <f t="shared" si="1"/>
        <v>1.82</v>
      </c>
      <c r="O59" s="114">
        <f>'Raw data'!F58</f>
        <v>4.5499999999999999E-2</v>
      </c>
      <c r="P59" s="115">
        <f>'Raw data'!D58</f>
        <v>40</v>
      </c>
      <c r="Q59" s="78">
        <f>'Raw data'!G58</f>
        <v>26.365000000000002</v>
      </c>
      <c r="R59" s="79">
        <f>'Raw data'!H58</f>
        <v>96</v>
      </c>
      <c r="S59" s="102">
        <f>'Raw data'!I58</f>
        <v>63</v>
      </c>
      <c r="T59" s="92"/>
      <c r="U59" s="92"/>
    </row>
    <row r="60" spans="1:21" ht="16.5" customHeight="1" x14ac:dyDescent="0.25">
      <c r="A60" s="100">
        <v>56</v>
      </c>
      <c r="B60" s="68">
        <v>40</v>
      </c>
      <c r="C60" s="71">
        <v>1.819</v>
      </c>
      <c r="D60" s="421">
        <v>1</v>
      </c>
      <c r="E60" s="422">
        <v>16.315000000000001</v>
      </c>
      <c r="F60" s="429">
        <v>10</v>
      </c>
      <c r="G60" s="421">
        <v>4</v>
      </c>
      <c r="H60" s="422">
        <v>24</v>
      </c>
      <c r="I60" s="429"/>
      <c r="J60" s="421">
        <v>3</v>
      </c>
      <c r="K60" s="422">
        <v>21</v>
      </c>
      <c r="L60" s="429"/>
      <c r="M60" s="81"/>
      <c r="N60" s="113">
        <f t="shared" si="1"/>
        <v>1.819</v>
      </c>
      <c r="O60" s="114">
        <f>'Raw data'!F59</f>
        <v>4.5475000000000002E-2</v>
      </c>
      <c r="P60" s="115">
        <f>'Raw data'!D59</f>
        <v>40</v>
      </c>
      <c r="Q60" s="78">
        <f>'Raw data'!G59</f>
        <v>26.315000000000001</v>
      </c>
      <c r="R60" s="79">
        <f>'Raw data'!H59</f>
        <v>96</v>
      </c>
      <c r="S60" s="102">
        <f>'Raw data'!I59</f>
        <v>63</v>
      </c>
      <c r="T60" s="92"/>
      <c r="U60" s="92"/>
    </row>
    <row r="61" spans="1:21" ht="16.5" customHeight="1" x14ac:dyDescent="0.25">
      <c r="A61" s="100">
        <v>57</v>
      </c>
      <c r="B61" s="68">
        <v>40</v>
      </c>
      <c r="C61" s="71">
        <v>1.833</v>
      </c>
      <c r="D61" s="421">
        <v>1</v>
      </c>
      <c r="E61" s="422">
        <v>16.565000000000001</v>
      </c>
      <c r="F61" s="429">
        <v>10</v>
      </c>
      <c r="G61" s="421">
        <v>4</v>
      </c>
      <c r="H61" s="422">
        <v>24</v>
      </c>
      <c r="I61" s="429"/>
      <c r="J61" s="421">
        <v>3</v>
      </c>
      <c r="K61" s="422">
        <v>21</v>
      </c>
      <c r="L61" s="429"/>
      <c r="M61" s="81"/>
      <c r="N61" s="113">
        <f t="shared" si="1"/>
        <v>1.833</v>
      </c>
      <c r="O61" s="114">
        <f>'Raw data'!F60</f>
        <v>4.5824999999999998E-2</v>
      </c>
      <c r="P61" s="115">
        <f>'Raw data'!D60</f>
        <v>40</v>
      </c>
      <c r="Q61" s="78">
        <f>'Raw data'!G60</f>
        <v>26.565000000000001</v>
      </c>
      <c r="R61" s="79">
        <f>'Raw data'!H60</f>
        <v>96</v>
      </c>
      <c r="S61" s="102">
        <f>'Raw data'!I60</f>
        <v>63</v>
      </c>
      <c r="T61" s="92"/>
      <c r="U61" s="92"/>
    </row>
    <row r="62" spans="1:21" ht="16.5" customHeight="1" x14ac:dyDescent="0.25">
      <c r="A62" s="100">
        <v>58</v>
      </c>
      <c r="B62" s="68">
        <v>40</v>
      </c>
      <c r="C62" s="71">
        <v>1.8240000000000001</v>
      </c>
      <c r="D62" s="421">
        <v>1</v>
      </c>
      <c r="E62" s="422">
        <v>16.414999999999999</v>
      </c>
      <c r="F62" s="429">
        <v>10</v>
      </c>
      <c r="G62" s="421">
        <v>4</v>
      </c>
      <c r="H62" s="422">
        <v>24</v>
      </c>
      <c r="I62" s="429"/>
      <c r="J62" s="421">
        <v>3</v>
      </c>
      <c r="K62" s="422">
        <v>21</v>
      </c>
      <c r="L62" s="429"/>
      <c r="M62" s="81"/>
      <c r="N62" s="113">
        <f t="shared" si="1"/>
        <v>1.8240000000000001</v>
      </c>
      <c r="O62" s="114">
        <f>'Raw data'!F61</f>
        <v>4.5600000000000002E-2</v>
      </c>
      <c r="P62" s="115">
        <f>'Raw data'!D61</f>
        <v>40</v>
      </c>
      <c r="Q62" s="78">
        <f>'Raw data'!G61</f>
        <v>26.414999999999999</v>
      </c>
      <c r="R62" s="79">
        <f>'Raw data'!H61</f>
        <v>96</v>
      </c>
      <c r="S62" s="102">
        <f>'Raw data'!I61</f>
        <v>63</v>
      </c>
      <c r="T62" s="92"/>
      <c r="U62" s="92"/>
    </row>
    <row r="63" spans="1:21" ht="16.5" customHeight="1" x14ac:dyDescent="0.25">
      <c r="A63" s="100">
        <v>59</v>
      </c>
      <c r="B63" s="68">
        <v>40</v>
      </c>
      <c r="C63" s="71">
        <v>1.821</v>
      </c>
      <c r="D63" s="421">
        <v>1</v>
      </c>
      <c r="E63" s="422">
        <v>16.914999999999999</v>
      </c>
      <c r="F63" s="429">
        <v>10</v>
      </c>
      <c r="G63" s="421">
        <v>4</v>
      </c>
      <c r="H63" s="422">
        <v>24</v>
      </c>
      <c r="I63" s="429"/>
      <c r="J63" s="421">
        <v>3</v>
      </c>
      <c r="K63" s="422">
        <v>21</v>
      </c>
      <c r="L63" s="429"/>
      <c r="M63" s="81"/>
      <c r="N63" s="113">
        <f t="shared" si="1"/>
        <v>1.821</v>
      </c>
      <c r="O63" s="114">
        <f>'Raw data'!F62</f>
        <v>4.5524999999999996E-2</v>
      </c>
      <c r="P63" s="115">
        <f>'Raw data'!D62</f>
        <v>40</v>
      </c>
      <c r="Q63" s="78">
        <f>'Raw data'!G62</f>
        <v>26.914999999999999</v>
      </c>
      <c r="R63" s="79">
        <f>'Raw data'!H62</f>
        <v>96</v>
      </c>
      <c r="S63" s="102">
        <f>'Raw data'!I62</f>
        <v>63</v>
      </c>
      <c r="T63" s="92"/>
      <c r="U63" s="92"/>
    </row>
    <row r="64" spans="1:21" ht="16.5" customHeight="1" x14ac:dyDescent="0.25">
      <c r="A64" s="100">
        <v>60</v>
      </c>
      <c r="B64" s="68">
        <v>40</v>
      </c>
      <c r="C64" s="71">
        <v>1.8120000000000001</v>
      </c>
      <c r="D64" s="421">
        <v>1</v>
      </c>
      <c r="E64" s="422">
        <v>16.664999999999999</v>
      </c>
      <c r="F64" s="429">
        <v>10</v>
      </c>
      <c r="G64" s="421">
        <v>4</v>
      </c>
      <c r="H64" s="422">
        <v>24</v>
      </c>
      <c r="I64" s="429"/>
      <c r="J64" s="421">
        <v>3</v>
      </c>
      <c r="K64" s="422">
        <v>21</v>
      </c>
      <c r="L64" s="429"/>
      <c r="M64" s="81"/>
      <c r="N64" s="113">
        <f t="shared" si="1"/>
        <v>1.8120000000000001</v>
      </c>
      <c r="O64" s="114">
        <f>'Raw data'!F63</f>
        <v>4.53E-2</v>
      </c>
      <c r="P64" s="115">
        <f>'Raw data'!D63</f>
        <v>40</v>
      </c>
      <c r="Q64" s="78">
        <f>'Raw data'!G63</f>
        <v>26.664999999999999</v>
      </c>
      <c r="R64" s="79">
        <f>'Raw data'!H63</f>
        <v>96</v>
      </c>
      <c r="S64" s="102">
        <f>'Raw data'!I63</f>
        <v>63</v>
      </c>
      <c r="T64" s="92"/>
      <c r="U64" s="92"/>
    </row>
    <row r="65" spans="1:21" ht="16.5" customHeight="1" x14ac:dyDescent="0.25">
      <c r="A65" s="100">
        <v>61</v>
      </c>
      <c r="B65" s="68">
        <v>40</v>
      </c>
      <c r="C65" s="71">
        <v>1.83</v>
      </c>
      <c r="D65" s="421">
        <v>1</v>
      </c>
      <c r="E65" s="422">
        <v>16.664999999999999</v>
      </c>
      <c r="F65" s="429">
        <v>10</v>
      </c>
      <c r="G65" s="421">
        <v>4</v>
      </c>
      <c r="H65" s="422">
        <v>24</v>
      </c>
      <c r="I65" s="429"/>
      <c r="J65" s="421">
        <v>3</v>
      </c>
      <c r="K65" s="422">
        <v>21</v>
      </c>
      <c r="L65" s="429"/>
      <c r="M65" s="81"/>
      <c r="N65" s="113">
        <f t="shared" si="1"/>
        <v>1.83</v>
      </c>
      <c r="O65" s="114">
        <f>'Raw data'!F64</f>
        <v>4.5749999999999999E-2</v>
      </c>
      <c r="P65" s="115">
        <f>'Raw data'!D64</f>
        <v>40</v>
      </c>
      <c r="Q65" s="78">
        <f>'Raw data'!G64</f>
        <v>26.664999999999999</v>
      </c>
      <c r="R65" s="79">
        <f>'Raw data'!H64</f>
        <v>96</v>
      </c>
      <c r="S65" s="102">
        <f>'Raw data'!I64</f>
        <v>63</v>
      </c>
      <c r="T65" s="92"/>
      <c r="U65" s="92"/>
    </row>
    <row r="66" spans="1:21" ht="16.5" customHeight="1" x14ac:dyDescent="0.25">
      <c r="A66" s="100">
        <v>62</v>
      </c>
      <c r="B66" s="68">
        <v>40</v>
      </c>
      <c r="C66" s="71">
        <v>1.821</v>
      </c>
      <c r="D66" s="421">
        <v>1</v>
      </c>
      <c r="E66" s="422">
        <v>16.565000000000001</v>
      </c>
      <c r="F66" s="429">
        <v>10</v>
      </c>
      <c r="G66" s="421">
        <v>4</v>
      </c>
      <c r="H66" s="422">
        <v>24</v>
      </c>
      <c r="I66" s="429"/>
      <c r="J66" s="421">
        <v>3</v>
      </c>
      <c r="K66" s="422">
        <v>21</v>
      </c>
      <c r="L66" s="429"/>
      <c r="M66" s="81"/>
      <c r="N66" s="113">
        <f t="shared" si="1"/>
        <v>1.821</v>
      </c>
      <c r="O66" s="114">
        <f>'Raw data'!F65</f>
        <v>4.5524999999999996E-2</v>
      </c>
      <c r="P66" s="115">
        <f>'Raw data'!D65</f>
        <v>40</v>
      </c>
      <c r="Q66" s="78">
        <f>'Raw data'!G65</f>
        <v>26.565000000000001</v>
      </c>
      <c r="R66" s="79">
        <f>'Raw data'!H65</f>
        <v>96</v>
      </c>
      <c r="S66" s="102">
        <f>'Raw data'!I65</f>
        <v>63</v>
      </c>
      <c r="T66" s="92"/>
      <c r="U66" s="92"/>
    </row>
    <row r="67" spans="1:21" ht="16.5" customHeight="1" x14ac:dyDescent="0.25">
      <c r="A67" s="100">
        <v>63</v>
      </c>
      <c r="B67" s="68">
        <v>40</v>
      </c>
      <c r="C67" s="71">
        <v>1.8360000000000001</v>
      </c>
      <c r="D67" s="421">
        <v>1</v>
      </c>
      <c r="E67" s="422">
        <v>16.265000000000001</v>
      </c>
      <c r="F67" s="429">
        <v>10</v>
      </c>
      <c r="G67" s="421">
        <v>4</v>
      </c>
      <c r="H67" s="422">
        <v>24</v>
      </c>
      <c r="I67" s="429"/>
      <c r="J67" s="421">
        <v>3</v>
      </c>
      <c r="K67" s="422">
        <v>21</v>
      </c>
      <c r="L67" s="429"/>
      <c r="M67" s="81"/>
      <c r="N67" s="113">
        <f t="shared" si="1"/>
        <v>1.8360000000000001</v>
      </c>
      <c r="O67" s="114">
        <f>'Raw data'!F66</f>
        <v>4.5900000000000003E-2</v>
      </c>
      <c r="P67" s="115">
        <f>'Raw data'!D66</f>
        <v>40</v>
      </c>
      <c r="Q67" s="78">
        <f>'Raw data'!G66</f>
        <v>26.265000000000001</v>
      </c>
      <c r="R67" s="79">
        <f>'Raw data'!H66</f>
        <v>96</v>
      </c>
      <c r="S67" s="102">
        <f>'Raw data'!I66</f>
        <v>63</v>
      </c>
      <c r="T67" s="92"/>
      <c r="U67" s="92"/>
    </row>
    <row r="68" spans="1:21" ht="16.5" customHeight="1" x14ac:dyDescent="0.25">
      <c r="A68" s="100">
        <v>64</v>
      </c>
      <c r="B68" s="68">
        <v>40</v>
      </c>
      <c r="C68" s="71">
        <v>1.82</v>
      </c>
      <c r="D68" s="421">
        <v>1</v>
      </c>
      <c r="E68" s="422">
        <v>16.664999999999999</v>
      </c>
      <c r="F68" s="429">
        <v>10</v>
      </c>
      <c r="G68" s="421">
        <v>4</v>
      </c>
      <c r="H68" s="422">
        <v>24</v>
      </c>
      <c r="I68" s="429"/>
      <c r="J68" s="421">
        <v>3</v>
      </c>
      <c r="K68" s="422">
        <v>21</v>
      </c>
      <c r="L68" s="429"/>
      <c r="M68" s="81"/>
      <c r="N68" s="113">
        <f t="shared" si="1"/>
        <v>1.82</v>
      </c>
      <c r="O68" s="114">
        <f>'Raw data'!F67</f>
        <v>4.5499999999999999E-2</v>
      </c>
      <c r="P68" s="115">
        <f>'Raw data'!D67</f>
        <v>40</v>
      </c>
      <c r="Q68" s="78">
        <f>'Raw data'!G67</f>
        <v>26.664999999999999</v>
      </c>
      <c r="R68" s="79">
        <f>'Raw data'!H67</f>
        <v>96</v>
      </c>
      <c r="S68" s="102">
        <f>'Raw data'!I67</f>
        <v>63</v>
      </c>
      <c r="T68" s="92"/>
      <c r="U68" s="92"/>
    </row>
    <row r="69" spans="1:21" ht="16.5" customHeight="1" x14ac:dyDescent="0.25">
      <c r="A69" s="100">
        <v>65</v>
      </c>
      <c r="B69" s="68">
        <v>40</v>
      </c>
      <c r="C69" s="71">
        <v>1.8160000000000001</v>
      </c>
      <c r="D69" s="421">
        <v>1</v>
      </c>
      <c r="E69" s="422">
        <v>15.315000000000001</v>
      </c>
      <c r="F69" s="429">
        <v>9.6</v>
      </c>
      <c r="G69" s="421">
        <v>3</v>
      </c>
      <c r="H69" s="422">
        <v>24</v>
      </c>
      <c r="I69" s="429">
        <v>22.35</v>
      </c>
      <c r="J69" s="421">
        <v>2</v>
      </c>
      <c r="K69" s="422">
        <v>21</v>
      </c>
      <c r="L69" s="429">
        <v>19.850000000000001</v>
      </c>
      <c r="M69" s="81"/>
      <c r="N69" s="113">
        <f t="shared" si="1"/>
        <v>1.8160000000000001</v>
      </c>
      <c r="O69" s="114">
        <f>'Raw data'!F68</f>
        <v>4.5400000000000003E-2</v>
      </c>
      <c r="P69" s="115">
        <f>'Raw data'!D68</f>
        <v>40</v>
      </c>
      <c r="Q69" s="78">
        <f>'Raw data'!G68</f>
        <v>24.914999999999999</v>
      </c>
      <c r="R69" s="79">
        <f>'Raw data'!H68</f>
        <v>94.35</v>
      </c>
      <c r="S69" s="102">
        <f>'Raw data'!I68</f>
        <v>61.85</v>
      </c>
      <c r="T69" s="92"/>
      <c r="U69" s="92"/>
    </row>
    <row r="70" spans="1:21" ht="16.5" customHeight="1" thickBot="1" x14ac:dyDescent="0.3">
      <c r="A70" s="104">
        <v>66</v>
      </c>
      <c r="B70" s="85">
        <v>40</v>
      </c>
      <c r="C70" s="88">
        <v>1.8129999999999999</v>
      </c>
      <c r="D70" s="424">
        <v>1</v>
      </c>
      <c r="E70" s="425">
        <v>15.515000000000001</v>
      </c>
      <c r="F70" s="430">
        <v>9.5</v>
      </c>
      <c r="G70" s="424">
        <v>3</v>
      </c>
      <c r="H70" s="425">
        <v>24</v>
      </c>
      <c r="I70" s="430">
        <v>22.4</v>
      </c>
      <c r="J70" s="424">
        <v>2</v>
      </c>
      <c r="K70" s="425">
        <v>21</v>
      </c>
      <c r="L70" s="430">
        <v>19.899999999999999</v>
      </c>
      <c r="M70" s="81"/>
      <c r="N70" s="116">
        <f t="shared" si="1"/>
        <v>1.8129999999999999</v>
      </c>
      <c r="O70" s="117">
        <f>'Raw data'!F69</f>
        <v>4.5324999999999997E-2</v>
      </c>
      <c r="P70" s="118">
        <f>'Raw data'!D69</f>
        <v>40</v>
      </c>
      <c r="Q70" s="90">
        <f>'Raw data'!G69</f>
        <v>25.015000000000001</v>
      </c>
      <c r="R70" s="91">
        <f>'Raw data'!H69</f>
        <v>94.4</v>
      </c>
      <c r="S70" s="106">
        <f>'Raw data'!I69</f>
        <v>61.9</v>
      </c>
      <c r="T70" s="92"/>
      <c r="U70" s="92"/>
    </row>
  </sheetData>
  <protectedRanges>
    <protectedRange sqref="A5:A14" name="Intervalo9"/>
    <protectedRange sqref="B5:L70" name="Intervalo8"/>
    <protectedRange sqref="F2" name="Intervalo1_1"/>
  </protectedRanges>
  <mergeCells count="8">
    <mergeCell ref="Q3:S3"/>
    <mergeCell ref="A2:A3"/>
    <mergeCell ref="C1:L1"/>
    <mergeCell ref="J2:L3"/>
    <mergeCell ref="G2:I3"/>
    <mergeCell ref="B2:C3"/>
    <mergeCell ref="D2:E2"/>
    <mergeCell ref="D3:F3"/>
  </mergeCells>
  <pageMargins left="0.511811024" right="0.511811024" top="0.78740157499999996" bottom="0.78740157499999996" header="0.31496062000000002" footer="0.31496062000000002"/>
  <pageSetup paperSize="9" orientation="portrait" verticalDpi="300" r:id="rId1"/>
  <ignoredErrors>
    <ignoredError sqref="O26:O70" evalError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/>
  <dimension ref="A1:O72"/>
  <sheetViews>
    <sheetView zoomScaleNormal="100" workbookViewId="0">
      <pane xSplit="1" ySplit="4" topLeftCell="B5" activePane="bottomRight" state="frozen"/>
      <selection activeCell="B5" sqref="B5"/>
      <selection pane="topRight" activeCell="B5" sqref="B5"/>
      <selection pane="bottomLeft" activeCell="B5" sqref="B5"/>
      <selection pane="bottomRight" activeCell="B42" sqref="B42"/>
    </sheetView>
  </sheetViews>
  <sheetFormatPr defaultRowHeight="16.5" customHeight="1" x14ac:dyDescent="0.25"/>
  <cols>
    <col min="1" max="1" width="7.7109375" style="45" customWidth="1"/>
    <col min="2" max="2" width="10.7109375" style="45" bestFit="1" customWidth="1"/>
    <col min="3" max="4" width="14.7109375" style="45" customWidth="1"/>
    <col min="5" max="5" width="14.7109375" style="45" bestFit="1" customWidth="1"/>
    <col min="6" max="7" width="12.7109375" style="45" customWidth="1"/>
    <col min="8" max="8" width="12.28515625" style="45" bestFit="1" customWidth="1"/>
    <col min="9" max="9" width="12.7109375" style="45" customWidth="1"/>
    <col min="10" max="10" width="9.7109375" style="45" customWidth="1"/>
    <col min="11" max="11" width="12.7109375" style="45" customWidth="1"/>
    <col min="12" max="12" width="10.28515625" style="45" bestFit="1" customWidth="1"/>
    <col min="13" max="13" width="12.7109375" style="45" customWidth="1"/>
    <col min="14" max="16384" width="9.140625" style="45"/>
  </cols>
  <sheetData>
    <row r="1" spans="1:15" ht="30" customHeight="1" thickBot="1" x14ac:dyDescent="0.3">
      <c r="A1" s="43" t="s">
        <v>42</v>
      </c>
      <c r="B1" s="44">
        <v>43543</v>
      </c>
      <c r="C1" s="512" t="s">
        <v>60</v>
      </c>
      <c r="D1" s="513"/>
      <c r="E1" s="513"/>
      <c r="F1" s="513"/>
      <c r="G1" s="513"/>
      <c r="H1" s="513"/>
      <c r="I1" s="513"/>
      <c r="J1" s="513"/>
      <c r="K1" s="513"/>
      <c r="L1" s="513"/>
      <c r="M1" s="513"/>
      <c r="N1" s="514"/>
    </row>
    <row r="2" spans="1:15" ht="16.5" customHeight="1" thickBot="1" x14ac:dyDescent="0.3">
      <c r="A2" s="528"/>
      <c r="B2" s="371"/>
      <c r="C2" s="46" t="s">
        <v>57</v>
      </c>
      <c r="D2" s="46" t="s">
        <v>48</v>
      </c>
      <c r="E2" s="47" t="s">
        <v>49</v>
      </c>
      <c r="F2" s="525" t="s">
        <v>74</v>
      </c>
      <c r="G2" s="526"/>
      <c r="H2" s="202"/>
      <c r="I2" s="521" t="s">
        <v>33</v>
      </c>
      <c r="J2" s="522"/>
      <c r="K2" s="530" t="s">
        <v>50</v>
      </c>
      <c r="L2" s="531"/>
      <c r="M2" s="531"/>
      <c r="N2" s="532"/>
    </row>
    <row r="3" spans="1:15" ht="16.5" customHeight="1" thickBot="1" x14ac:dyDescent="0.3">
      <c r="A3" s="529"/>
      <c r="B3" s="372"/>
      <c r="C3" s="49">
        <v>2.06</v>
      </c>
      <c r="D3" s="50">
        <v>0.23499999999999999</v>
      </c>
      <c r="E3" s="51">
        <v>1.85</v>
      </c>
      <c r="F3" s="525" t="s">
        <v>32</v>
      </c>
      <c r="G3" s="526"/>
      <c r="H3" s="527"/>
      <c r="I3" s="523"/>
      <c r="J3" s="524"/>
      <c r="K3" s="533"/>
      <c r="L3" s="534"/>
      <c r="M3" s="534"/>
      <c r="N3" s="535"/>
    </row>
    <row r="4" spans="1:15" s="64" customFormat="1" ht="35.25" customHeight="1" thickBot="1" x14ac:dyDescent="0.3">
      <c r="A4" s="53" t="s">
        <v>0</v>
      </c>
      <c r="B4" s="55" t="s">
        <v>100</v>
      </c>
      <c r="C4" s="54" t="s">
        <v>54</v>
      </c>
      <c r="D4" s="55" t="s">
        <v>55</v>
      </c>
      <c r="E4" s="55" t="s">
        <v>56</v>
      </c>
      <c r="F4" s="56" t="s">
        <v>40</v>
      </c>
      <c r="G4" s="57" t="s">
        <v>39</v>
      </c>
      <c r="H4" s="58" t="s">
        <v>41</v>
      </c>
      <c r="I4" s="56" t="s">
        <v>34</v>
      </c>
      <c r="J4" s="54" t="s">
        <v>35</v>
      </c>
      <c r="K4" s="59" t="s">
        <v>51</v>
      </c>
      <c r="L4" s="54" t="s">
        <v>35</v>
      </c>
      <c r="M4" s="57" t="s">
        <v>52</v>
      </c>
      <c r="N4" s="54" t="s">
        <v>35</v>
      </c>
    </row>
    <row r="5" spans="1:15" ht="16.5" customHeight="1" x14ac:dyDescent="0.25">
      <c r="A5" s="374">
        <f>IF('1 day'!A5&lt;&gt;"",'1 day'!A5,"")</f>
        <v>1</v>
      </c>
      <c r="B5" s="401">
        <v>40</v>
      </c>
      <c r="C5" s="402">
        <v>16.149999999999999</v>
      </c>
      <c r="D5" s="403">
        <v>6.15</v>
      </c>
      <c r="E5" s="403">
        <v>6.35</v>
      </c>
      <c r="F5" s="395"/>
      <c r="G5" s="397"/>
      <c r="H5" s="398"/>
      <c r="I5" s="395"/>
      <c r="J5" s="396"/>
      <c r="K5" s="404"/>
      <c r="L5" s="405"/>
      <c r="M5" s="406"/>
      <c r="N5" s="405"/>
      <c r="O5" s="45" t="str">
        <f>IF(B5=('1 day'!B5-(SUM('14 days'!I5,'14 days'!K5,'14 days'!M5))),"OK","verificar")</f>
        <v>OK</v>
      </c>
    </row>
    <row r="6" spans="1:15" ht="16.5" customHeight="1" x14ac:dyDescent="0.25">
      <c r="A6" s="375">
        <f>IF('1 day'!A6&lt;&gt;"",'1 day'!A6,"")</f>
        <v>2</v>
      </c>
      <c r="B6" s="407">
        <v>40</v>
      </c>
      <c r="C6" s="408">
        <v>16.55</v>
      </c>
      <c r="D6" s="403">
        <v>4.5999999999999996</v>
      </c>
      <c r="E6" s="403">
        <v>6.9</v>
      </c>
      <c r="F6" s="395"/>
      <c r="G6" s="397"/>
      <c r="H6" s="398"/>
      <c r="I6" s="395"/>
      <c r="J6" s="396"/>
      <c r="K6" s="409"/>
      <c r="L6" s="410"/>
      <c r="M6" s="411"/>
      <c r="N6" s="410"/>
      <c r="O6" s="45" t="str">
        <f>IF(B6=('1 day'!B6-(SUM('14 days'!I6,'14 days'!K6,'14 days'!M6))),"OK","verificar")</f>
        <v>OK</v>
      </c>
    </row>
    <row r="7" spans="1:15" ht="16.5" customHeight="1" x14ac:dyDescent="0.25">
      <c r="A7" s="375">
        <f>IF('1 day'!A7&lt;&gt;"",'1 day'!A7,"")</f>
        <v>3</v>
      </c>
      <c r="B7" s="407">
        <v>37</v>
      </c>
      <c r="C7" s="408">
        <v>14.75</v>
      </c>
      <c r="D7" s="403">
        <v>4.55</v>
      </c>
      <c r="E7" s="403">
        <v>8.3000000000000007</v>
      </c>
      <c r="F7" s="395"/>
      <c r="G7" s="397"/>
      <c r="H7" s="398"/>
      <c r="I7" s="395">
        <v>1</v>
      </c>
      <c r="J7" s="396">
        <v>3.6999999999999998E-2</v>
      </c>
      <c r="K7" s="409">
        <v>2</v>
      </c>
      <c r="L7" s="410">
        <v>0.6</v>
      </c>
      <c r="M7" s="411"/>
      <c r="N7" s="410"/>
      <c r="O7" s="45" t="str">
        <f>IF(B7=('1 day'!B7-(SUM('14 days'!I7,'14 days'!K7,'14 days'!M7))),"OK","verificar")</f>
        <v>OK</v>
      </c>
    </row>
    <row r="8" spans="1:15" ht="16.5" customHeight="1" x14ac:dyDescent="0.25">
      <c r="A8" s="375">
        <f>IF('1 day'!A8&lt;&gt;"",'1 day'!A8,"")</f>
        <v>4</v>
      </c>
      <c r="B8" s="407">
        <v>39</v>
      </c>
      <c r="C8" s="408">
        <v>16.05</v>
      </c>
      <c r="D8" s="403">
        <v>3.9</v>
      </c>
      <c r="E8" s="403">
        <v>6.8</v>
      </c>
      <c r="F8" s="395"/>
      <c r="G8" s="397"/>
      <c r="H8" s="398"/>
      <c r="I8" s="395"/>
      <c r="J8" s="396"/>
      <c r="K8" s="409">
        <v>1</v>
      </c>
      <c r="L8" s="396">
        <v>0.3</v>
      </c>
      <c r="M8" s="411"/>
      <c r="N8" s="396"/>
      <c r="O8" s="45" t="str">
        <f>IF(B8=('1 day'!B8-(SUM('14 days'!I8,'14 days'!K8,'14 days'!M8))),"OK","verificar")</f>
        <v>OK</v>
      </c>
    </row>
    <row r="9" spans="1:15" ht="16.5" customHeight="1" x14ac:dyDescent="0.25">
      <c r="A9" s="375">
        <f>IF('1 day'!A9&lt;&gt;"",'1 day'!A9,"")</f>
        <v>5</v>
      </c>
      <c r="B9" s="407">
        <v>40</v>
      </c>
      <c r="C9" s="408">
        <v>15.8</v>
      </c>
      <c r="D9" s="403">
        <v>5.45</v>
      </c>
      <c r="E9" s="403">
        <v>6.65</v>
      </c>
      <c r="F9" s="395"/>
      <c r="G9" s="397"/>
      <c r="H9" s="398"/>
      <c r="I9" s="395"/>
      <c r="J9" s="396"/>
      <c r="K9" s="409"/>
      <c r="L9" s="410"/>
      <c r="M9" s="411"/>
      <c r="N9" s="410"/>
      <c r="O9" s="45" t="str">
        <f>IF(B9=('1 day'!B9-(SUM('14 days'!I9,'14 days'!K9,'14 days'!M9))),"OK","verificar")</f>
        <v>OK</v>
      </c>
    </row>
    <row r="10" spans="1:15" ht="16.5" customHeight="1" x14ac:dyDescent="0.25">
      <c r="A10" s="375">
        <f>IF('1 day'!A10&lt;&gt;"",'1 day'!A10,"")</f>
        <v>6</v>
      </c>
      <c r="B10" s="407">
        <v>38</v>
      </c>
      <c r="C10" s="408">
        <v>14.55</v>
      </c>
      <c r="D10" s="403">
        <v>3.6</v>
      </c>
      <c r="E10" s="403">
        <v>10.050000000000001</v>
      </c>
      <c r="F10" s="395"/>
      <c r="G10" s="397"/>
      <c r="H10" s="398"/>
      <c r="I10" s="395">
        <v>1</v>
      </c>
      <c r="J10" s="396">
        <v>5.8000000000000003E-2</v>
      </c>
      <c r="K10" s="409">
        <v>1</v>
      </c>
      <c r="L10" s="410">
        <v>0.25</v>
      </c>
      <c r="M10" s="411"/>
      <c r="N10" s="410"/>
      <c r="O10" s="45" t="str">
        <f>IF(B10=('1 day'!B10-(SUM('14 days'!I10,'14 days'!K10,'14 days'!M10))),"OK","verificar")</f>
        <v>OK</v>
      </c>
    </row>
    <row r="11" spans="1:15" ht="16.5" customHeight="1" x14ac:dyDescent="0.25">
      <c r="A11" s="375">
        <f>IF('1 day'!A11&lt;&gt;"",'1 day'!A11,"")</f>
        <v>7</v>
      </c>
      <c r="B11" s="407">
        <v>39</v>
      </c>
      <c r="C11" s="408">
        <v>16.100000000000001</v>
      </c>
      <c r="D11" s="403">
        <v>4.2</v>
      </c>
      <c r="E11" s="403">
        <v>8.5500000000000007</v>
      </c>
      <c r="F11" s="395"/>
      <c r="G11" s="397"/>
      <c r="H11" s="398"/>
      <c r="I11" s="395">
        <v>1</v>
      </c>
      <c r="J11" s="396">
        <v>6.3E-2</v>
      </c>
      <c r="K11" s="409"/>
      <c r="L11" s="410"/>
      <c r="M11" s="411"/>
      <c r="N11" s="410"/>
      <c r="O11" s="45" t="str">
        <f>IF(B11=('1 day'!B11-(SUM('14 days'!I11,'14 days'!K11,'14 days'!M11))),"OK","verificar")</f>
        <v>OK</v>
      </c>
    </row>
    <row r="12" spans="1:15" ht="16.5" customHeight="1" x14ac:dyDescent="0.25">
      <c r="A12" s="375">
        <f>IF('1 day'!A12&lt;&gt;"",'1 day'!A12,"")</f>
        <v>8</v>
      </c>
      <c r="B12" s="407">
        <v>39</v>
      </c>
      <c r="C12" s="408">
        <v>15.7</v>
      </c>
      <c r="D12" s="403">
        <v>3.95</v>
      </c>
      <c r="E12" s="403">
        <v>8.5</v>
      </c>
      <c r="F12" s="395"/>
      <c r="G12" s="397"/>
      <c r="H12" s="398"/>
      <c r="I12" s="395">
        <v>1</v>
      </c>
      <c r="J12" s="396">
        <v>0.16900000000000001</v>
      </c>
      <c r="K12" s="395"/>
      <c r="L12" s="396"/>
      <c r="M12" s="412"/>
      <c r="N12" s="396"/>
      <c r="O12" s="45" t="str">
        <f>IF(B12=('1 day'!B12-(SUM('14 days'!I12,'14 days'!K12,'14 days'!M12))),"OK","verificar")</f>
        <v>OK</v>
      </c>
    </row>
    <row r="13" spans="1:15" ht="16.5" customHeight="1" x14ac:dyDescent="0.25">
      <c r="A13" s="375">
        <f>IF('1 day'!A13&lt;&gt;"",'1 day'!A13,"")</f>
        <v>9</v>
      </c>
      <c r="B13" s="407">
        <v>40</v>
      </c>
      <c r="C13" s="408">
        <v>15.05</v>
      </c>
      <c r="D13" s="403">
        <v>4.55</v>
      </c>
      <c r="E13" s="403">
        <v>8.65</v>
      </c>
      <c r="F13" s="395"/>
      <c r="G13" s="397"/>
      <c r="H13" s="398"/>
      <c r="I13" s="395"/>
      <c r="J13" s="396"/>
      <c r="K13" s="409"/>
      <c r="L13" s="410"/>
      <c r="M13" s="411"/>
      <c r="N13" s="410"/>
      <c r="O13" s="45" t="str">
        <f>IF(B13=('1 day'!B13-(SUM('14 days'!I13,'14 days'!K13,'14 days'!M13))),"OK","verificar")</f>
        <v>OK</v>
      </c>
    </row>
    <row r="14" spans="1:15" ht="16.5" customHeight="1" x14ac:dyDescent="0.25">
      <c r="A14" s="375">
        <f>IF('1 day'!A14&lt;&gt;"",'1 day'!A14,"")</f>
        <v>10</v>
      </c>
      <c r="B14" s="407">
        <v>38</v>
      </c>
      <c r="C14" s="408">
        <v>16.75</v>
      </c>
      <c r="D14" s="403">
        <v>5.5</v>
      </c>
      <c r="E14" s="403">
        <v>6</v>
      </c>
      <c r="F14" s="395"/>
      <c r="G14" s="397"/>
      <c r="H14" s="398"/>
      <c r="I14" s="395">
        <v>2</v>
      </c>
      <c r="J14" s="396">
        <v>0.20300000000000001</v>
      </c>
      <c r="K14" s="395"/>
      <c r="L14" s="396"/>
      <c r="M14" s="412"/>
      <c r="N14" s="396"/>
      <c r="O14" s="45" t="str">
        <f>IF(B14=('1 day'!B14-(SUM('14 days'!I14,'14 days'!K14,'14 days'!M14))),"OK","verificar")</f>
        <v>OK</v>
      </c>
    </row>
    <row r="15" spans="1:15" ht="16.5" customHeight="1" x14ac:dyDescent="0.25">
      <c r="A15" s="375">
        <f>IF('1 day'!A15&lt;&gt;"",'1 day'!A15,"")</f>
        <v>11</v>
      </c>
      <c r="B15" s="407">
        <v>39</v>
      </c>
      <c r="C15" s="408">
        <v>14.6</v>
      </c>
      <c r="D15" s="403">
        <v>6.15</v>
      </c>
      <c r="E15" s="403">
        <v>7.9</v>
      </c>
      <c r="F15" s="395"/>
      <c r="G15" s="397"/>
      <c r="H15" s="398"/>
      <c r="I15" s="395">
        <v>1</v>
      </c>
      <c r="J15" s="396">
        <v>7.6999999999999999E-2</v>
      </c>
      <c r="K15" s="395"/>
      <c r="L15" s="396"/>
      <c r="M15" s="412"/>
      <c r="N15" s="396"/>
      <c r="O15" s="45" t="str">
        <f>IF(B15=('1 day'!B15-(SUM('14 days'!I15,'14 days'!K15,'14 days'!M15))),"OK","verificar")</f>
        <v>OK</v>
      </c>
    </row>
    <row r="16" spans="1:15" ht="16.5" customHeight="1" x14ac:dyDescent="0.25">
      <c r="A16" s="375">
        <f>IF('1 day'!A16&lt;&gt;"",'1 day'!A16,"")</f>
        <v>12</v>
      </c>
      <c r="B16" s="407">
        <v>39</v>
      </c>
      <c r="C16" s="408">
        <v>15.95</v>
      </c>
      <c r="D16" s="403">
        <v>3.8</v>
      </c>
      <c r="E16" s="403">
        <v>8.4499999999999993</v>
      </c>
      <c r="F16" s="395"/>
      <c r="G16" s="397"/>
      <c r="H16" s="398"/>
      <c r="I16" s="395">
        <v>1</v>
      </c>
      <c r="J16" s="396">
        <v>4.2999999999999997E-2</v>
      </c>
      <c r="K16" s="395"/>
      <c r="L16" s="396"/>
      <c r="M16" s="412"/>
      <c r="N16" s="396"/>
      <c r="O16" s="45" t="str">
        <f>IF(B16=('1 day'!B16-(SUM('14 days'!I16,'14 days'!K16,'14 days'!M16))),"OK","verificar")</f>
        <v>OK</v>
      </c>
    </row>
    <row r="17" spans="1:15" ht="16.5" customHeight="1" x14ac:dyDescent="0.25">
      <c r="A17" s="375">
        <f>IF('1 day'!A17&lt;&gt;"",'1 day'!A17,"")</f>
        <v>13</v>
      </c>
      <c r="B17" s="407">
        <v>39</v>
      </c>
      <c r="C17" s="408">
        <v>15.8</v>
      </c>
      <c r="D17" s="403">
        <v>4.5</v>
      </c>
      <c r="E17" s="403">
        <v>8.5500000000000007</v>
      </c>
      <c r="F17" s="395"/>
      <c r="G17" s="397"/>
      <c r="H17" s="398"/>
      <c r="I17" s="395"/>
      <c r="J17" s="396"/>
      <c r="K17" s="395">
        <v>1</v>
      </c>
      <c r="L17" s="396">
        <v>0.2</v>
      </c>
      <c r="M17" s="412"/>
      <c r="N17" s="396"/>
      <c r="O17" s="45" t="str">
        <f>IF(B17=('1 day'!B17-(SUM('14 days'!I17,'14 days'!K17,'14 days'!M17))),"OK","verificar")</f>
        <v>OK</v>
      </c>
    </row>
    <row r="18" spans="1:15" ht="16.5" customHeight="1" x14ac:dyDescent="0.25">
      <c r="A18" s="375">
        <f>IF('1 day'!A18&lt;&gt;"",'1 day'!A18,"")</f>
        <v>14</v>
      </c>
      <c r="B18" s="407">
        <v>39</v>
      </c>
      <c r="C18" s="408">
        <v>16.149999999999999</v>
      </c>
      <c r="D18" s="403">
        <v>5.25</v>
      </c>
      <c r="E18" s="403">
        <v>7</v>
      </c>
      <c r="F18" s="395"/>
      <c r="G18" s="397"/>
      <c r="H18" s="398"/>
      <c r="I18" s="395">
        <v>1</v>
      </c>
      <c r="J18" s="396">
        <v>0.114</v>
      </c>
      <c r="K18" s="395"/>
      <c r="L18" s="396"/>
      <c r="M18" s="412"/>
      <c r="N18" s="396"/>
      <c r="O18" s="45" t="str">
        <f>IF(B18=('1 day'!B18-(SUM('14 days'!I18,'14 days'!K18,'14 days'!M18))),"OK","verificar")</f>
        <v>OK</v>
      </c>
    </row>
    <row r="19" spans="1:15" ht="16.5" customHeight="1" x14ac:dyDescent="0.25">
      <c r="A19" s="375">
        <f>IF('1 day'!A19&lt;&gt;"",'1 day'!A19,"")</f>
        <v>15</v>
      </c>
      <c r="B19" s="407">
        <v>39</v>
      </c>
      <c r="C19" s="408">
        <v>16.350000000000001</v>
      </c>
      <c r="D19" s="403">
        <v>3.7</v>
      </c>
      <c r="E19" s="403">
        <v>8.1999999999999993</v>
      </c>
      <c r="F19" s="395"/>
      <c r="G19" s="397"/>
      <c r="H19" s="398"/>
      <c r="I19" s="395"/>
      <c r="J19" s="396"/>
      <c r="K19" s="395">
        <v>1</v>
      </c>
      <c r="L19" s="396">
        <v>0.25</v>
      </c>
      <c r="M19" s="412"/>
      <c r="N19" s="396"/>
      <c r="O19" s="45" t="str">
        <f>IF(B19=('1 day'!B19-(SUM('14 days'!I19,'14 days'!K19,'14 days'!M19))),"OK","verificar")</f>
        <v>OK</v>
      </c>
    </row>
    <row r="20" spans="1:15" ht="16.5" customHeight="1" x14ac:dyDescent="0.25">
      <c r="A20" s="375">
        <f>IF('1 day'!A20&lt;&gt;"",'1 day'!A20,"")</f>
        <v>16</v>
      </c>
      <c r="B20" s="407">
        <v>39</v>
      </c>
      <c r="C20" s="408">
        <v>16.899999999999999</v>
      </c>
      <c r="D20" s="403">
        <v>5.8</v>
      </c>
      <c r="E20" s="403">
        <v>6.6</v>
      </c>
      <c r="F20" s="395"/>
      <c r="G20" s="397"/>
      <c r="H20" s="398"/>
      <c r="I20" s="395">
        <v>1</v>
      </c>
      <c r="J20" s="396">
        <v>5.0999999999999997E-2</v>
      </c>
      <c r="K20" s="395"/>
      <c r="L20" s="396"/>
      <c r="M20" s="412"/>
      <c r="N20" s="396"/>
      <c r="O20" s="45" t="str">
        <f>IF(B20=('1 day'!B20-(SUM('14 days'!I20,'14 days'!K20,'14 days'!M20))),"OK","verificar")</f>
        <v>OK</v>
      </c>
    </row>
    <row r="21" spans="1:15" ht="16.5" customHeight="1" x14ac:dyDescent="0.25">
      <c r="A21" s="375">
        <f>IF('1 day'!A21&lt;&gt;"",'1 day'!A21,"")</f>
        <v>17</v>
      </c>
      <c r="B21" s="407">
        <v>40</v>
      </c>
      <c r="C21" s="408">
        <v>16.05</v>
      </c>
      <c r="D21" s="403">
        <v>6.05</v>
      </c>
      <c r="E21" s="403">
        <v>6.8</v>
      </c>
      <c r="F21" s="395"/>
      <c r="G21" s="397"/>
      <c r="H21" s="398"/>
      <c r="I21" s="395"/>
      <c r="J21" s="396"/>
      <c r="K21" s="395"/>
      <c r="L21" s="396"/>
      <c r="M21" s="412"/>
      <c r="N21" s="396"/>
      <c r="O21" s="45" t="str">
        <f>IF(B21=('1 day'!B21-(SUM('14 days'!I21,'14 days'!K21,'14 days'!M21))),"OK","verificar")</f>
        <v>OK</v>
      </c>
    </row>
    <row r="22" spans="1:15" ht="16.5" customHeight="1" x14ac:dyDescent="0.25">
      <c r="A22" s="375">
        <f>IF('1 day'!A22&lt;&gt;"",'1 day'!A22,"")</f>
        <v>18</v>
      </c>
      <c r="B22" s="407">
        <v>40</v>
      </c>
      <c r="C22" s="408">
        <v>16.3</v>
      </c>
      <c r="D22" s="403">
        <v>4.3499999999999996</v>
      </c>
      <c r="E22" s="403">
        <v>8.0500000000000007</v>
      </c>
      <c r="F22" s="395"/>
      <c r="G22" s="397"/>
      <c r="H22" s="398"/>
      <c r="I22" s="395"/>
      <c r="J22" s="396"/>
      <c r="K22" s="395"/>
      <c r="L22" s="396"/>
      <c r="M22" s="412"/>
      <c r="N22" s="396"/>
      <c r="O22" s="45" t="str">
        <f>IF(B22=('1 day'!B22-(SUM('14 days'!I22,'14 days'!K22,'14 days'!M22))),"OK","verificar")</f>
        <v>OK</v>
      </c>
    </row>
    <row r="23" spans="1:15" ht="16.5" customHeight="1" x14ac:dyDescent="0.25">
      <c r="A23" s="375">
        <f>IF('1 day'!A23&lt;&gt;"",'1 day'!A23,"")</f>
        <v>19</v>
      </c>
      <c r="B23" s="407">
        <v>36</v>
      </c>
      <c r="C23" s="408">
        <v>14</v>
      </c>
      <c r="D23" s="403">
        <v>6.4</v>
      </c>
      <c r="E23" s="403">
        <v>7.85</v>
      </c>
      <c r="F23" s="395"/>
      <c r="G23" s="397"/>
      <c r="H23" s="398"/>
      <c r="I23" s="395">
        <v>1</v>
      </c>
      <c r="J23" s="396">
        <v>0.23</v>
      </c>
      <c r="K23" s="395">
        <v>3</v>
      </c>
      <c r="L23" s="396">
        <v>0.65</v>
      </c>
      <c r="M23" s="412"/>
      <c r="N23" s="396"/>
      <c r="O23" s="45" t="str">
        <f>IF(B23=('1 day'!B23-(SUM('14 days'!I23,'14 days'!K23,'14 days'!M23))),"OK","verificar")</f>
        <v>OK</v>
      </c>
    </row>
    <row r="24" spans="1:15" ht="16.5" customHeight="1" x14ac:dyDescent="0.25">
      <c r="A24" s="375">
        <f>IF('1 day'!A24&lt;&gt;"",'1 day'!A24,"")</f>
        <v>20</v>
      </c>
      <c r="B24" s="407">
        <v>40</v>
      </c>
      <c r="C24" s="408">
        <v>16.2</v>
      </c>
      <c r="D24" s="403">
        <v>4.7</v>
      </c>
      <c r="E24" s="403">
        <v>7.5</v>
      </c>
      <c r="F24" s="395"/>
      <c r="G24" s="397"/>
      <c r="H24" s="398"/>
      <c r="I24" s="395"/>
      <c r="J24" s="396"/>
      <c r="K24" s="395"/>
      <c r="L24" s="396"/>
      <c r="M24" s="412"/>
      <c r="N24" s="396"/>
      <c r="O24" s="45" t="str">
        <f>IF(B24=('1 day'!B24-(SUM('14 days'!I24,'14 days'!K24,'14 days'!M24))),"OK","verificar")</f>
        <v>OK</v>
      </c>
    </row>
    <row r="25" spans="1:15" ht="16.5" customHeight="1" x14ac:dyDescent="0.25">
      <c r="A25" s="375">
        <f>IF('1 day'!A25&lt;&gt;"",'1 day'!A25,"")</f>
        <v>21</v>
      </c>
      <c r="B25" s="407">
        <v>37</v>
      </c>
      <c r="C25" s="408">
        <v>14.65</v>
      </c>
      <c r="D25" s="403">
        <v>2.6</v>
      </c>
      <c r="E25" s="403">
        <v>9</v>
      </c>
      <c r="F25" s="395"/>
      <c r="G25" s="397"/>
      <c r="H25" s="398"/>
      <c r="I25" s="395">
        <v>2</v>
      </c>
      <c r="J25" s="396">
        <v>0.14499999999999999</v>
      </c>
      <c r="K25" s="395">
        <v>1</v>
      </c>
      <c r="L25" s="396">
        <v>0.25</v>
      </c>
      <c r="M25" s="412"/>
      <c r="N25" s="396"/>
      <c r="O25" s="45" t="str">
        <f>IF(B25=('1 day'!B25-(SUM('14 days'!I25,'14 days'!K25,'14 days'!M25))),"OK","verificar")</f>
        <v>OK</v>
      </c>
    </row>
    <row r="26" spans="1:15" ht="16.5" customHeight="1" x14ac:dyDescent="0.25">
      <c r="A26" s="375">
        <f>IF('1 day'!A26&lt;&gt;"",'1 day'!A26,"")</f>
        <v>22</v>
      </c>
      <c r="B26" s="407">
        <v>40</v>
      </c>
      <c r="C26" s="408">
        <v>15.6</v>
      </c>
      <c r="D26" s="403">
        <v>4.5999999999999996</v>
      </c>
      <c r="E26" s="403">
        <v>7</v>
      </c>
      <c r="F26" s="395"/>
      <c r="G26" s="397"/>
      <c r="H26" s="398"/>
      <c r="I26" s="395"/>
      <c r="J26" s="396"/>
      <c r="K26" s="395"/>
      <c r="L26" s="396"/>
      <c r="M26" s="412"/>
      <c r="N26" s="396"/>
      <c r="O26" s="45" t="str">
        <f>IF(B26=('1 day'!B26-(SUM('14 days'!I26,'14 days'!K26,'14 days'!M26))),"OK","verificar")</f>
        <v>OK</v>
      </c>
    </row>
    <row r="27" spans="1:15" ht="16.5" customHeight="1" x14ac:dyDescent="0.25">
      <c r="A27" s="375">
        <f>IF('1 day'!A27&lt;&gt;"",'1 day'!A27,"")</f>
        <v>23</v>
      </c>
      <c r="B27" s="407">
        <v>39</v>
      </c>
      <c r="C27" s="408">
        <v>15.95</v>
      </c>
      <c r="D27" s="403">
        <v>4.8499999999999996</v>
      </c>
      <c r="E27" s="403">
        <v>7.9</v>
      </c>
      <c r="F27" s="395"/>
      <c r="G27" s="397"/>
      <c r="H27" s="398"/>
      <c r="I27" s="395"/>
      <c r="J27" s="396"/>
      <c r="K27" s="395">
        <v>1</v>
      </c>
      <c r="L27" s="396">
        <v>0.2</v>
      </c>
      <c r="M27" s="412"/>
      <c r="N27" s="396"/>
      <c r="O27" s="45" t="str">
        <f>IF(B27=('1 day'!B27-(SUM('14 days'!I27,'14 days'!K27,'14 days'!M27))),"OK","verificar")</f>
        <v>OK</v>
      </c>
    </row>
    <row r="28" spans="1:15" ht="16.5" customHeight="1" x14ac:dyDescent="0.25">
      <c r="A28" s="375">
        <f>IF('1 day'!A28&lt;&gt;"",'1 day'!A28,"")</f>
        <v>24</v>
      </c>
      <c r="B28" s="407">
        <v>40</v>
      </c>
      <c r="C28" s="408">
        <v>16.350000000000001</v>
      </c>
      <c r="D28" s="403">
        <v>4.55</v>
      </c>
      <c r="E28" s="403">
        <v>7.9</v>
      </c>
      <c r="F28" s="395"/>
      <c r="G28" s="397"/>
      <c r="H28" s="398"/>
      <c r="I28" s="395"/>
      <c r="J28" s="396"/>
      <c r="K28" s="395"/>
      <c r="L28" s="396"/>
      <c r="M28" s="412"/>
      <c r="N28" s="396"/>
      <c r="O28" s="45" t="str">
        <f>IF(B28=('1 day'!B28-(SUM('14 days'!I28,'14 days'!K28,'14 days'!M28))),"OK","verificar")</f>
        <v>OK</v>
      </c>
    </row>
    <row r="29" spans="1:15" ht="16.5" customHeight="1" x14ac:dyDescent="0.25">
      <c r="A29" s="375">
        <f>IF('1 day'!A29&lt;&gt;"",'1 day'!A29,"")</f>
        <v>25</v>
      </c>
      <c r="B29" s="407">
        <v>40</v>
      </c>
      <c r="C29" s="408">
        <v>16.149999999999999</v>
      </c>
      <c r="D29" s="403">
        <v>3.55</v>
      </c>
      <c r="E29" s="403">
        <v>9.3000000000000007</v>
      </c>
      <c r="F29" s="395"/>
      <c r="G29" s="397"/>
      <c r="H29" s="398"/>
      <c r="I29" s="395"/>
      <c r="J29" s="396"/>
      <c r="K29" s="395"/>
      <c r="L29" s="396"/>
      <c r="M29" s="412"/>
      <c r="N29" s="396"/>
      <c r="O29" s="45" t="str">
        <f>IF(B29=('1 day'!B29-(SUM('14 days'!I29,'14 days'!K29,'14 days'!M29))),"OK","verificar")</f>
        <v>OK</v>
      </c>
    </row>
    <row r="30" spans="1:15" ht="16.5" customHeight="1" x14ac:dyDescent="0.25">
      <c r="A30" s="375">
        <f>IF('1 day'!A30&lt;&gt;"",'1 day'!A30,"")</f>
        <v>26</v>
      </c>
      <c r="B30" s="407">
        <v>39</v>
      </c>
      <c r="C30" s="408">
        <v>15.2</v>
      </c>
      <c r="D30" s="403">
        <v>5.35</v>
      </c>
      <c r="E30" s="403">
        <v>6.95</v>
      </c>
      <c r="F30" s="395"/>
      <c r="G30" s="397"/>
      <c r="H30" s="398"/>
      <c r="I30" s="395"/>
      <c r="J30" s="396"/>
      <c r="K30" s="395">
        <v>1</v>
      </c>
      <c r="L30" s="396">
        <v>0.25</v>
      </c>
      <c r="M30" s="412"/>
      <c r="N30" s="396"/>
      <c r="O30" s="45" t="str">
        <f>IF(B30=('1 day'!B30-(SUM('14 days'!I30,'14 days'!K30,'14 days'!M30))),"OK","verificar")</f>
        <v>OK</v>
      </c>
    </row>
    <row r="31" spans="1:15" ht="16.5" customHeight="1" x14ac:dyDescent="0.25">
      <c r="A31" s="375">
        <f>IF('1 day'!A31&lt;&gt;"",'1 day'!A31,"")</f>
        <v>27</v>
      </c>
      <c r="B31" s="407">
        <v>40</v>
      </c>
      <c r="C31" s="408">
        <v>16.25</v>
      </c>
      <c r="D31" s="403">
        <v>5.8</v>
      </c>
      <c r="E31" s="403">
        <v>6.9</v>
      </c>
      <c r="F31" s="395"/>
      <c r="G31" s="397"/>
      <c r="H31" s="398"/>
      <c r="I31" s="395"/>
      <c r="J31" s="396"/>
      <c r="K31" s="395"/>
      <c r="L31" s="396"/>
      <c r="M31" s="412"/>
      <c r="N31" s="396"/>
      <c r="O31" s="45" t="str">
        <f>IF(B31=('1 day'!B31-(SUM('14 days'!I31,'14 days'!K31,'14 days'!M31))),"OK","verificar")</f>
        <v>OK</v>
      </c>
    </row>
    <row r="32" spans="1:15" ht="16.5" customHeight="1" x14ac:dyDescent="0.25">
      <c r="A32" s="375">
        <f>IF('1 day'!A32&lt;&gt;"",'1 day'!A32,"")</f>
        <v>28</v>
      </c>
      <c r="B32" s="407">
        <v>40</v>
      </c>
      <c r="C32" s="408">
        <v>16.2</v>
      </c>
      <c r="D32" s="403">
        <v>5.4</v>
      </c>
      <c r="E32" s="403">
        <v>7.25</v>
      </c>
      <c r="F32" s="395"/>
      <c r="G32" s="397"/>
      <c r="H32" s="398"/>
      <c r="I32" s="395"/>
      <c r="J32" s="396"/>
      <c r="K32" s="395"/>
      <c r="L32" s="396"/>
      <c r="M32" s="412"/>
      <c r="N32" s="396"/>
      <c r="O32" s="45" t="str">
        <f>IF(B32=('1 day'!B32-(SUM('14 days'!I32,'14 days'!K32,'14 days'!M32))),"OK","verificar")</f>
        <v>OK</v>
      </c>
    </row>
    <row r="33" spans="1:15" ht="16.5" customHeight="1" x14ac:dyDescent="0.25">
      <c r="A33" s="375">
        <f>IF('1 day'!A33&lt;&gt;"",'1 day'!A33,"")</f>
        <v>29</v>
      </c>
      <c r="B33" s="407">
        <v>40</v>
      </c>
      <c r="C33" s="408">
        <v>15.95</v>
      </c>
      <c r="D33" s="403">
        <v>5.6</v>
      </c>
      <c r="E33" s="403">
        <v>7.45</v>
      </c>
      <c r="F33" s="395"/>
      <c r="G33" s="397"/>
      <c r="H33" s="398"/>
      <c r="I33" s="395"/>
      <c r="J33" s="396"/>
      <c r="K33" s="395"/>
      <c r="L33" s="396"/>
      <c r="M33" s="412"/>
      <c r="N33" s="396"/>
      <c r="O33" s="45" t="str">
        <f>IF(B33=('1 day'!B33-(SUM('14 days'!I33,'14 days'!K33,'14 days'!M33))),"OK","verificar")</f>
        <v>OK</v>
      </c>
    </row>
    <row r="34" spans="1:15" ht="16.5" customHeight="1" x14ac:dyDescent="0.25">
      <c r="A34" s="375">
        <f>IF('1 day'!A34&lt;&gt;"",'1 day'!A34,"")</f>
        <v>30</v>
      </c>
      <c r="B34" s="407">
        <v>39</v>
      </c>
      <c r="C34" s="408">
        <v>16</v>
      </c>
      <c r="D34" s="403">
        <v>4.05</v>
      </c>
      <c r="E34" s="403">
        <v>7.7</v>
      </c>
      <c r="F34" s="395"/>
      <c r="G34" s="397"/>
      <c r="H34" s="398"/>
      <c r="I34" s="395"/>
      <c r="J34" s="396"/>
      <c r="K34" s="395">
        <v>1</v>
      </c>
      <c r="L34" s="396">
        <v>0.25</v>
      </c>
      <c r="M34" s="412"/>
      <c r="N34" s="396"/>
      <c r="O34" s="45" t="str">
        <f>IF(B34=('1 day'!B34-(SUM('14 days'!I34,'14 days'!K34,'14 days'!M34))),"OK","verificar")</f>
        <v>OK</v>
      </c>
    </row>
    <row r="35" spans="1:15" ht="16.5" customHeight="1" x14ac:dyDescent="0.25">
      <c r="A35" s="375">
        <f>IF('1 day'!A35&lt;&gt;"",'1 day'!A35,"")</f>
        <v>31</v>
      </c>
      <c r="B35" s="407">
        <v>39</v>
      </c>
      <c r="C35" s="408">
        <v>14.85</v>
      </c>
      <c r="D35" s="403">
        <v>5.4</v>
      </c>
      <c r="E35" s="403">
        <v>8.4</v>
      </c>
      <c r="F35" s="395"/>
      <c r="G35" s="397"/>
      <c r="H35" s="398"/>
      <c r="I35" s="395">
        <v>1</v>
      </c>
      <c r="J35" s="396">
        <v>6.6000000000000003E-2</v>
      </c>
      <c r="K35" s="395"/>
      <c r="L35" s="396"/>
      <c r="M35" s="412"/>
      <c r="N35" s="396"/>
      <c r="O35" s="45" t="str">
        <f>IF(B35=('1 day'!B35-(SUM('14 days'!I35,'14 days'!K35,'14 days'!M35))),"OK","verificar")</f>
        <v>OK</v>
      </c>
    </row>
    <row r="36" spans="1:15" ht="16.5" customHeight="1" x14ac:dyDescent="0.25">
      <c r="A36" s="375">
        <f>IF('1 day'!A36&lt;&gt;"",'1 day'!A36,"")</f>
        <v>32</v>
      </c>
      <c r="B36" s="407">
        <v>40</v>
      </c>
      <c r="C36" s="408">
        <v>15.4</v>
      </c>
      <c r="D36" s="403">
        <v>4.1500000000000004</v>
      </c>
      <c r="E36" s="403">
        <v>9.1999999999999993</v>
      </c>
      <c r="F36" s="395"/>
      <c r="G36" s="397"/>
      <c r="H36" s="398"/>
      <c r="I36" s="395"/>
      <c r="J36" s="396"/>
      <c r="K36" s="395"/>
      <c r="L36" s="396"/>
      <c r="M36" s="412"/>
      <c r="N36" s="396"/>
      <c r="O36" s="45" t="str">
        <f>IF(B36=('1 day'!B36-(SUM('14 days'!I36,'14 days'!K36,'14 days'!M36))),"OK","verificar")</f>
        <v>OK</v>
      </c>
    </row>
    <row r="37" spans="1:15" ht="16.5" customHeight="1" x14ac:dyDescent="0.25">
      <c r="A37" s="375">
        <f>IF('1 day'!A37&lt;&gt;"",'1 day'!A37,"")</f>
        <v>33</v>
      </c>
      <c r="B37" s="407">
        <v>40</v>
      </c>
      <c r="C37" s="408">
        <v>15.7</v>
      </c>
      <c r="D37" s="403">
        <v>3.35</v>
      </c>
      <c r="E37" s="403">
        <v>9.5</v>
      </c>
      <c r="F37" s="395"/>
      <c r="G37" s="397"/>
      <c r="H37" s="398"/>
      <c r="I37" s="395"/>
      <c r="J37" s="396"/>
      <c r="K37" s="395"/>
      <c r="L37" s="396"/>
      <c r="M37" s="412"/>
      <c r="N37" s="396"/>
      <c r="O37" s="45" t="str">
        <f>IF(B37=('1 day'!B37-(SUM('14 days'!I37,'14 days'!K37,'14 days'!M37))),"OK","verificar")</f>
        <v>OK</v>
      </c>
    </row>
    <row r="38" spans="1:15" ht="16.5" customHeight="1" x14ac:dyDescent="0.25">
      <c r="A38" s="375">
        <f>IF('1 day'!A38&lt;&gt;"",'1 day'!A38,"")</f>
        <v>34</v>
      </c>
      <c r="B38" s="407">
        <v>40</v>
      </c>
      <c r="C38" s="408">
        <v>16.05</v>
      </c>
      <c r="D38" s="403">
        <v>5.95</v>
      </c>
      <c r="E38" s="403">
        <v>7.35</v>
      </c>
      <c r="F38" s="395"/>
      <c r="G38" s="397"/>
      <c r="H38" s="398"/>
      <c r="I38" s="395"/>
      <c r="J38" s="396"/>
      <c r="K38" s="395"/>
      <c r="L38" s="396"/>
      <c r="M38" s="412"/>
      <c r="N38" s="396"/>
      <c r="O38" s="45" t="str">
        <f>IF(B38=('1 day'!B38-(SUM('14 days'!I38,'14 days'!K38,'14 days'!M38))),"OK","verificar")</f>
        <v>OK</v>
      </c>
    </row>
    <row r="39" spans="1:15" ht="16.5" customHeight="1" x14ac:dyDescent="0.25">
      <c r="A39" s="375">
        <f>IF('1 day'!A39&lt;&gt;"",'1 day'!A39,"")</f>
        <v>35</v>
      </c>
      <c r="B39" s="407">
        <v>37</v>
      </c>
      <c r="C39" s="408">
        <v>15.25</v>
      </c>
      <c r="D39" s="403">
        <v>2.8</v>
      </c>
      <c r="E39" s="403">
        <v>9.6</v>
      </c>
      <c r="F39" s="395"/>
      <c r="G39" s="397"/>
      <c r="H39" s="398"/>
      <c r="I39" s="395">
        <v>1</v>
      </c>
      <c r="J39" s="396">
        <v>0.11600000000000001</v>
      </c>
      <c r="K39" s="395">
        <v>2</v>
      </c>
      <c r="L39" s="396">
        <v>0.45</v>
      </c>
      <c r="M39" s="412"/>
      <c r="N39" s="396"/>
      <c r="O39" s="45" t="str">
        <f>IF(B39=('1 day'!B39-(SUM('14 days'!I39,'14 days'!K39,'14 days'!M39))),"OK","verificar")</f>
        <v>OK</v>
      </c>
    </row>
    <row r="40" spans="1:15" ht="16.5" customHeight="1" x14ac:dyDescent="0.25">
      <c r="A40" s="375">
        <f>IF('1 day'!A40&lt;&gt;"",'1 day'!A40,"")</f>
        <v>36</v>
      </c>
      <c r="B40" s="407">
        <v>37</v>
      </c>
      <c r="C40" s="408">
        <v>14.6</v>
      </c>
      <c r="D40" s="403">
        <v>4</v>
      </c>
      <c r="E40" s="403">
        <v>10</v>
      </c>
      <c r="F40" s="395"/>
      <c r="G40" s="397"/>
      <c r="H40" s="398"/>
      <c r="I40" s="395">
        <v>1</v>
      </c>
      <c r="J40" s="396">
        <v>0.129</v>
      </c>
      <c r="K40" s="395">
        <v>2</v>
      </c>
      <c r="L40" s="396">
        <v>0.45</v>
      </c>
      <c r="M40" s="412"/>
      <c r="N40" s="396"/>
      <c r="O40" s="45" t="str">
        <f>IF(B40=('1 day'!B40-(SUM('14 days'!I40,'14 days'!K40,'14 days'!M40))),"OK","verificar")</f>
        <v>OK</v>
      </c>
    </row>
    <row r="41" spans="1:15" ht="16.5" customHeight="1" x14ac:dyDescent="0.25">
      <c r="A41" s="375">
        <f>IF('1 day'!A41&lt;&gt;"",'1 day'!A41,"")</f>
        <v>37</v>
      </c>
      <c r="B41" s="407">
        <v>40</v>
      </c>
      <c r="C41" s="408">
        <v>16.05</v>
      </c>
      <c r="D41" s="403">
        <v>4.55</v>
      </c>
      <c r="E41" s="403">
        <v>8.0500000000000007</v>
      </c>
      <c r="F41" s="395"/>
      <c r="G41" s="397"/>
      <c r="H41" s="398"/>
      <c r="I41" s="395"/>
      <c r="J41" s="396"/>
      <c r="K41" s="395"/>
      <c r="L41" s="396"/>
      <c r="M41" s="412"/>
      <c r="N41" s="396"/>
      <c r="O41" s="45" t="str">
        <f>IF(B41=('1 day'!B41-(SUM('14 days'!I41,'14 days'!K41,'14 days'!M41))),"OK","verificar")</f>
        <v>OK</v>
      </c>
    </row>
    <row r="42" spans="1:15" ht="16.5" customHeight="1" x14ac:dyDescent="0.25">
      <c r="A42" s="375">
        <f>IF('1 day'!A42&lt;&gt;"",'1 day'!A42,"")</f>
        <v>38</v>
      </c>
      <c r="B42" s="407">
        <v>40</v>
      </c>
      <c r="C42" s="408">
        <v>15.3</v>
      </c>
      <c r="D42" s="403">
        <v>4.95</v>
      </c>
      <c r="E42" s="403">
        <v>8.8000000000000007</v>
      </c>
      <c r="F42" s="395"/>
      <c r="G42" s="397"/>
      <c r="H42" s="398"/>
      <c r="I42" s="395"/>
      <c r="J42" s="396"/>
      <c r="K42" s="395"/>
      <c r="L42" s="396"/>
      <c r="M42" s="412"/>
      <c r="N42" s="396"/>
      <c r="O42" s="45" t="str">
        <f>IF(B42=('1 day'!B42-(SUM('14 days'!I42,'14 days'!K42,'14 days'!M42))),"OK","verificar")</f>
        <v>OK</v>
      </c>
    </row>
    <row r="43" spans="1:15" ht="16.5" customHeight="1" x14ac:dyDescent="0.25">
      <c r="A43" s="375">
        <f>IF('1 day'!A43&lt;&gt;"",'1 day'!A43,"")</f>
        <v>39</v>
      </c>
      <c r="B43" s="407">
        <v>38</v>
      </c>
      <c r="C43" s="408">
        <v>15.6</v>
      </c>
      <c r="D43" s="403">
        <v>4.25</v>
      </c>
      <c r="E43" s="403">
        <v>8.8000000000000007</v>
      </c>
      <c r="F43" s="395"/>
      <c r="G43" s="397"/>
      <c r="H43" s="398"/>
      <c r="I43" s="395">
        <v>1</v>
      </c>
      <c r="J43" s="396">
        <v>4.8000000000000001E-2</v>
      </c>
      <c r="K43" s="395">
        <v>1</v>
      </c>
      <c r="L43" s="396">
        <v>0.25</v>
      </c>
      <c r="M43" s="412"/>
      <c r="N43" s="396"/>
      <c r="O43" s="45" t="str">
        <f>IF(B43=('1 day'!B43-(SUM('14 days'!I43,'14 days'!K43,'14 days'!M43))),"OK","verificar")</f>
        <v>OK</v>
      </c>
    </row>
    <row r="44" spans="1:15" ht="16.5" customHeight="1" x14ac:dyDescent="0.25">
      <c r="A44" s="375">
        <f>IF('1 day'!A44&lt;&gt;"",'1 day'!A44,"")</f>
        <v>40</v>
      </c>
      <c r="B44" s="407">
        <v>40</v>
      </c>
      <c r="C44" s="408">
        <v>15.85</v>
      </c>
      <c r="D44" s="403">
        <v>4.45</v>
      </c>
      <c r="E44" s="403">
        <v>8.6</v>
      </c>
      <c r="F44" s="395"/>
      <c r="G44" s="397"/>
      <c r="H44" s="398"/>
      <c r="I44" s="395"/>
      <c r="J44" s="396"/>
      <c r="K44" s="395"/>
      <c r="L44" s="396"/>
      <c r="M44" s="412"/>
      <c r="N44" s="396"/>
      <c r="O44" s="45" t="str">
        <f>IF(B44=('1 day'!B44-(SUM('14 days'!I44,'14 days'!K44,'14 days'!M44))),"OK","verificar")</f>
        <v>OK</v>
      </c>
    </row>
    <row r="45" spans="1:15" ht="16.5" customHeight="1" x14ac:dyDescent="0.25">
      <c r="A45" s="375">
        <f>IF('1 day'!A45&lt;&gt;"",'1 day'!A45,"")</f>
        <v>41</v>
      </c>
      <c r="B45" s="407">
        <v>40</v>
      </c>
      <c r="C45" s="408">
        <v>16.55</v>
      </c>
      <c r="D45" s="403">
        <v>4.2</v>
      </c>
      <c r="E45" s="403">
        <v>7.85</v>
      </c>
      <c r="F45" s="395"/>
      <c r="G45" s="397"/>
      <c r="H45" s="398"/>
      <c r="I45" s="395"/>
      <c r="J45" s="396"/>
      <c r="K45" s="395"/>
      <c r="L45" s="396"/>
      <c r="M45" s="412"/>
      <c r="N45" s="396"/>
      <c r="O45" s="45" t="str">
        <f>IF(B45=('1 day'!B45-(SUM('14 days'!I45,'14 days'!K45,'14 days'!M45))),"OK","verificar")</f>
        <v>OK</v>
      </c>
    </row>
    <row r="46" spans="1:15" ht="16.5" customHeight="1" x14ac:dyDescent="0.25">
      <c r="A46" s="375">
        <f>IF('1 day'!A46&lt;&gt;"",'1 day'!A46,"")</f>
        <v>42</v>
      </c>
      <c r="B46" s="407">
        <v>39</v>
      </c>
      <c r="C46" s="408">
        <v>16.2</v>
      </c>
      <c r="D46" s="403">
        <v>5.7</v>
      </c>
      <c r="E46" s="403">
        <v>7.35</v>
      </c>
      <c r="F46" s="395"/>
      <c r="G46" s="397"/>
      <c r="H46" s="398"/>
      <c r="I46" s="395">
        <v>1</v>
      </c>
      <c r="J46" s="396">
        <v>6.8000000000000005E-2</v>
      </c>
      <c r="K46" s="395"/>
      <c r="L46" s="396"/>
      <c r="M46" s="412"/>
      <c r="N46" s="396"/>
      <c r="O46" s="45" t="str">
        <f>IF(B46=('1 day'!B46-(SUM('14 days'!I46,'14 days'!K46,'14 days'!M46))),"OK","verificar")</f>
        <v>OK</v>
      </c>
    </row>
    <row r="47" spans="1:15" ht="16.5" customHeight="1" x14ac:dyDescent="0.25">
      <c r="A47" s="375">
        <f>IF('1 day'!A47&lt;&gt;"",'1 day'!A47,"")</f>
        <v>43</v>
      </c>
      <c r="B47" s="407">
        <v>38</v>
      </c>
      <c r="C47" s="408">
        <v>15.75</v>
      </c>
      <c r="D47" s="403">
        <v>3.6</v>
      </c>
      <c r="E47" s="403">
        <v>7.65</v>
      </c>
      <c r="F47" s="395"/>
      <c r="G47" s="397"/>
      <c r="H47" s="398"/>
      <c r="I47" s="395">
        <v>2</v>
      </c>
      <c r="J47" s="396">
        <v>0.16900000000000001</v>
      </c>
      <c r="K47" s="395"/>
      <c r="L47" s="396"/>
      <c r="M47" s="412"/>
      <c r="N47" s="396"/>
      <c r="O47" s="45" t="str">
        <f>IF(B47=('1 day'!B47-(SUM('14 days'!I47,'14 days'!K47,'14 days'!M47))),"OK","verificar")</f>
        <v>OK</v>
      </c>
    </row>
    <row r="48" spans="1:15" ht="16.5" customHeight="1" x14ac:dyDescent="0.25">
      <c r="A48" s="375">
        <f>IF('1 day'!A48&lt;&gt;"",'1 day'!A48,"")</f>
        <v>44</v>
      </c>
      <c r="B48" s="407">
        <v>39</v>
      </c>
      <c r="C48" s="408">
        <v>16.95</v>
      </c>
      <c r="D48" s="403">
        <v>1.75</v>
      </c>
      <c r="E48" s="403">
        <v>8.1999999999999993</v>
      </c>
      <c r="F48" s="395"/>
      <c r="G48" s="397"/>
      <c r="H48" s="398"/>
      <c r="I48" s="395"/>
      <c r="J48" s="396"/>
      <c r="K48" s="395">
        <v>1</v>
      </c>
      <c r="L48" s="396">
        <v>0.15</v>
      </c>
      <c r="M48" s="412"/>
      <c r="N48" s="396"/>
      <c r="O48" s="45" t="str">
        <f>IF(B48=('1 day'!B48-(SUM('14 days'!I48,'14 days'!K48,'14 days'!M48))),"OK","verificar")</f>
        <v>OK</v>
      </c>
    </row>
    <row r="49" spans="1:15" ht="16.5" customHeight="1" x14ac:dyDescent="0.25">
      <c r="A49" s="375">
        <f>IF('1 day'!A49&lt;&gt;"",'1 day'!A49,"")</f>
        <v>45</v>
      </c>
      <c r="B49" s="407">
        <v>40</v>
      </c>
      <c r="C49" s="408">
        <v>15.45</v>
      </c>
      <c r="D49" s="403">
        <v>6.2</v>
      </c>
      <c r="E49" s="403">
        <v>7.3</v>
      </c>
      <c r="F49" s="395"/>
      <c r="G49" s="397"/>
      <c r="H49" s="398"/>
      <c r="I49" s="395"/>
      <c r="J49" s="396"/>
      <c r="K49" s="395"/>
      <c r="L49" s="396"/>
      <c r="M49" s="412"/>
      <c r="N49" s="396"/>
      <c r="O49" s="45" t="str">
        <f>IF(B49=('1 day'!B49-(SUM('14 days'!I49,'14 days'!K49,'14 days'!M49))),"OK","verificar")</f>
        <v>OK</v>
      </c>
    </row>
    <row r="50" spans="1:15" ht="16.5" customHeight="1" x14ac:dyDescent="0.25">
      <c r="A50" s="375">
        <f>IF('1 day'!A50&lt;&gt;"",'1 day'!A50,"")</f>
        <v>46</v>
      </c>
      <c r="B50" s="407">
        <v>39</v>
      </c>
      <c r="C50" s="408">
        <v>16.399999999999999</v>
      </c>
      <c r="D50" s="403">
        <v>7.5</v>
      </c>
      <c r="E50" s="403">
        <v>4.5</v>
      </c>
      <c r="F50" s="395"/>
      <c r="G50" s="397"/>
      <c r="H50" s="398"/>
      <c r="I50" s="395">
        <v>1</v>
      </c>
      <c r="J50" s="396">
        <v>0.23</v>
      </c>
      <c r="K50" s="395"/>
      <c r="L50" s="396"/>
      <c r="M50" s="412"/>
      <c r="N50" s="396"/>
      <c r="O50" s="45" t="str">
        <f>IF(B50=('1 day'!B50-(SUM('14 days'!I50,'14 days'!K50,'14 days'!M50))),"OK","verificar")</f>
        <v>OK</v>
      </c>
    </row>
    <row r="51" spans="1:15" ht="16.5" customHeight="1" x14ac:dyDescent="0.25">
      <c r="A51" s="375">
        <f>IF('1 day'!A51&lt;&gt;"",'1 day'!A51,"")</f>
        <v>47</v>
      </c>
      <c r="B51" s="407">
        <v>40</v>
      </c>
      <c r="C51" s="408">
        <v>15.55</v>
      </c>
      <c r="D51" s="403">
        <v>5.9</v>
      </c>
      <c r="E51" s="403">
        <v>7</v>
      </c>
      <c r="F51" s="395"/>
      <c r="G51" s="397"/>
      <c r="H51" s="398"/>
      <c r="I51" s="395"/>
      <c r="J51" s="396"/>
      <c r="K51" s="395"/>
      <c r="L51" s="396"/>
      <c r="M51" s="412"/>
      <c r="N51" s="396"/>
      <c r="O51" s="45" t="str">
        <f>IF(B51=('1 day'!B51-(SUM('14 days'!I51,'14 days'!K51,'14 days'!M51))),"OK","verificar")</f>
        <v>OK</v>
      </c>
    </row>
    <row r="52" spans="1:15" ht="16.5" customHeight="1" x14ac:dyDescent="0.25">
      <c r="A52" s="375">
        <f>IF('1 day'!A52&lt;&gt;"",'1 day'!A52,"")</f>
        <v>48</v>
      </c>
      <c r="B52" s="407">
        <v>38</v>
      </c>
      <c r="C52" s="408">
        <v>15.15</v>
      </c>
      <c r="D52" s="403">
        <v>6.1</v>
      </c>
      <c r="E52" s="403">
        <v>6.85</v>
      </c>
      <c r="F52" s="395"/>
      <c r="G52" s="397"/>
      <c r="H52" s="398"/>
      <c r="I52" s="395"/>
      <c r="J52" s="396"/>
      <c r="K52" s="395">
        <v>2</v>
      </c>
      <c r="L52" s="396">
        <v>0.55000000000000004</v>
      </c>
      <c r="M52" s="412"/>
      <c r="N52" s="396"/>
      <c r="O52" s="45" t="str">
        <f>IF(B52=('1 day'!B52-(SUM('14 days'!I52,'14 days'!K52,'14 days'!M52))),"OK","verificar")</f>
        <v>OK</v>
      </c>
    </row>
    <row r="53" spans="1:15" ht="16.5" customHeight="1" x14ac:dyDescent="0.25">
      <c r="A53" s="375">
        <f>IF('1 day'!A53&lt;&gt;"",'1 day'!A53,"")</f>
        <v>49</v>
      </c>
      <c r="B53" s="407">
        <v>39</v>
      </c>
      <c r="C53" s="408">
        <v>15.7</v>
      </c>
      <c r="D53" s="403">
        <v>4.1500000000000004</v>
      </c>
      <c r="E53" s="403">
        <v>8.25</v>
      </c>
      <c r="F53" s="395"/>
      <c r="G53" s="397"/>
      <c r="H53" s="398"/>
      <c r="I53" s="395">
        <v>1</v>
      </c>
      <c r="J53" s="396">
        <v>6.6000000000000003E-2</v>
      </c>
      <c r="K53" s="395"/>
      <c r="L53" s="396"/>
      <c r="M53" s="412"/>
      <c r="N53" s="396"/>
      <c r="O53" s="45" t="str">
        <f>IF(B53=('1 day'!B53-(SUM('14 days'!I53,'14 days'!K53,'14 days'!M53))),"OK","verificar")</f>
        <v>OK</v>
      </c>
    </row>
    <row r="54" spans="1:15" ht="16.5" customHeight="1" x14ac:dyDescent="0.25">
      <c r="A54" s="375">
        <f>IF('1 day'!A54&lt;&gt;"",'1 day'!A54,"")</f>
        <v>50</v>
      </c>
      <c r="B54" s="407">
        <v>38</v>
      </c>
      <c r="C54" s="408">
        <v>16.149999999999999</v>
      </c>
      <c r="D54" s="403">
        <v>5.95</v>
      </c>
      <c r="E54" s="403">
        <v>6.7</v>
      </c>
      <c r="F54" s="395"/>
      <c r="G54" s="397"/>
      <c r="H54" s="398"/>
      <c r="I54" s="395">
        <v>1</v>
      </c>
      <c r="J54" s="396">
        <v>0.20799999999999999</v>
      </c>
      <c r="K54" s="395">
        <v>1</v>
      </c>
      <c r="L54" s="396">
        <v>0.25</v>
      </c>
      <c r="M54" s="412"/>
      <c r="N54" s="396"/>
      <c r="O54" s="45" t="str">
        <f>IF(B54=('1 day'!B54-(SUM('14 days'!I54,'14 days'!K54,'14 days'!M54))),"OK","verificar")</f>
        <v>OK</v>
      </c>
    </row>
    <row r="55" spans="1:15" ht="16.5" customHeight="1" x14ac:dyDescent="0.25">
      <c r="A55" s="375">
        <f>IF('1 day'!A55&lt;&gt;"",'1 day'!A55,"")</f>
        <v>51</v>
      </c>
      <c r="B55" s="407">
        <v>40</v>
      </c>
      <c r="C55" s="408">
        <v>16.5</v>
      </c>
      <c r="D55" s="403">
        <v>5.15</v>
      </c>
      <c r="E55" s="403">
        <v>7</v>
      </c>
      <c r="F55" s="395"/>
      <c r="G55" s="397"/>
      <c r="H55" s="398"/>
      <c r="I55" s="395"/>
      <c r="J55" s="396"/>
      <c r="K55" s="395"/>
      <c r="L55" s="396"/>
      <c r="M55" s="412"/>
      <c r="N55" s="396"/>
      <c r="O55" s="45" t="str">
        <f>IF(B55=('1 day'!B55-(SUM('14 days'!I55,'14 days'!K55,'14 days'!M55))),"OK","verificar")</f>
        <v>OK</v>
      </c>
    </row>
    <row r="56" spans="1:15" ht="16.5" customHeight="1" x14ac:dyDescent="0.25">
      <c r="A56" s="375">
        <f>IF('1 day'!A56&lt;&gt;"",'1 day'!A56,"")</f>
        <v>52</v>
      </c>
      <c r="B56" s="407">
        <v>39</v>
      </c>
      <c r="C56" s="408">
        <v>16.95</v>
      </c>
      <c r="D56" s="403">
        <v>6.4</v>
      </c>
      <c r="E56" s="403">
        <v>5.65</v>
      </c>
      <c r="F56" s="395"/>
      <c r="G56" s="397"/>
      <c r="H56" s="398"/>
      <c r="I56" s="395"/>
      <c r="J56" s="396"/>
      <c r="K56" s="395">
        <v>1</v>
      </c>
      <c r="L56" s="396">
        <v>0.25</v>
      </c>
      <c r="M56" s="412"/>
      <c r="N56" s="396"/>
      <c r="O56" s="45" t="str">
        <f>IF(B56=('1 day'!B56-(SUM('14 days'!I56,'14 days'!K56,'14 days'!M56))),"OK","verificar")</f>
        <v>OK</v>
      </c>
    </row>
    <row r="57" spans="1:15" ht="16.5" customHeight="1" x14ac:dyDescent="0.25">
      <c r="A57" s="375">
        <f>IF('1 day'!A57&lt;&gt;"",'1 day'!A57,"")</f>
        <v>53</v>
      </c>
      <c r="B57" s="407">
        <v>39</v>
      </c>
      <c r="C57" s="408">
        <v>15.6</v>
      </c>
      <c r="D57" s="403">
        <v>6.15</v>
      </c>
      <c r="E57" s="403">
        <v>7</v>
      </c>
      <c r="F57" s="395"/>
      <c r="G57" s="397"/>
      <c r="H57" s="398"/>
      <c r="I57" s="395"/>
      <c r="J57" s="396"/>
      <c r="K57" s="395">
        <v>1</v>
      </c>
      <c r="L57" s="396">
        <v>0.25</v>
      </c>
      <c r="M57" s="412"/>
      <c r="N57" s="396"/>
      <c r="O57" s="45" t="str">
        <f>IF(B57=('1 day'!B57-(SUM('14 days'!I57,'14 days'!K57,'14 days'!M57))),"OK","verificar")</f>
        <v>OK</v>
      </c>
    </row>
    <row r="58" spans="1:15" ht="16.5" customHeight="1" x14ac:dyDescent="0.25">
      <c r="A58" s="375">
        <f>IF('1 day'!A58&lt;&gt;"",'1 day'!A58,"")</f>
        <v>54</v>
      </c>
      <c r="B58" s="407">
        <v>38</v>
      </c>
      <c r="C58" s="408">
        <v>15.95</v>
      </c>
      <c r="D58" s="403">
        <v>4.95</v>
      </c>
      <c r="E58" s="403">
        <v>7.85</v>
      </c>
      <c r="F58" s="395"/>
      <c r="G58" s="397"/>
      <c r="H58" s="398"/>
      <c r="I58" s="395"/>
      <c r="J58" s="396"/>
      <c r="K58" s="395">
        <v>2</v>
      </c>
      <c r="L58" s="396">
        <v>0.4</v>
      </c>
      <c r="M58" s="412"/>
      <c r="N58" s="396"/>
      <c r="O58" s="45" t="str">
        <f>IF(B58=('1 day'!B58-(SUM('14 days'!I58,'14 days'!K58,'14 days'!M58))),"OK","verificar")</f>
        <v>OK</v>
      </c>
    </row>
    <row r="59" spans="1:15" ht="16.5" customHeight="1" x14ac:dyDescent="0.25">
      <c r="A59" s="375">
        <f>IF('1 day'!A59&lt;&gt;"",'1 day'!A59,"")</f>
        <v>55</v>
      </c>
      <c r="B59" s="407">
        <v>40</v>
      </c>
      <c r="C59" s="408">
        <v>16.2</v>
      </c>
      <c r="D59" s="403">
        <v>5.05</v>
      </c>
      <c r="E59" s="403">
        <v>7</v>
      </c>
      <c r="F59" s="395"/>
      <c r="G59" s="397"/>
      <c r="H59" s="398"/>
      <c r="I59" s="395"/>
      <c r="J59" s="396"/>
      <c r="K59" s="395"/>
      <c r="L59" s="396"/>
      <c r="M59" s="412"/>
      <c r="N59" s="396"/>
      <c r="O59" s="45" t="str">
        <f>IF(B59=('1 day'!B59-(SUM('14 days'!I59,'14 days'!K59,'14 days'!M59))),"OK","verificar")</f>
        <v>OK</v>
      </c>
    </row>
    <row r="60" spans="1:15" ht="16.5" customHeight="1" x14ac:dyDescent="0.25">
      <c r="A60" s="375">
        <f>IF('1 day'!A60&lt;&gt;"",'1 day'!A60,"")</f>
        <v>56</v>
      </c>
      <c r="B60" s="407">
        <v>39</v>
      </c>
      <c r="C60" s="408">
        <v>15.8</v>
      </c>
      <c r="D60" s="403">
        <v>5.0999999999999996</v>
      </c>
      <c r="E60" s="403">
        <v>8.1</v>
      </c>
      <c r="F60" s="395"/>
      <c r="G60" s="397"/>
      <c r="H60" s="398"/>
      <c r="I60" s="395"/>
      <c r="J60" s="396"/>
      <c r="K60" s="395">
        <v>1</v>
      </c>
      <c r="L60" s="396">
        <v>0.25</v>
      </c>
      <c r="M60" s="412"/>
      <c r="N60" s="396"/>
      <c r="O60" s="45" t="str">
        <f>IF(B60=('1 day'!B60-(SUM('14 days'!I60,'14 days'!K60,'14 days'!M60))),"OK","verificar")</f>
        <v>OK</v>
      </c>
    </row>
    <row r="61" spans="1:15" ht="16.5" customHeight="1" x14ac:dyDescent="0.25">
      <c r="A61" s="375">
        <f>IF('1 day'!A61&lt;&gt;"",'1 day'!A61,"")</f>
        <v>57</v>
      </c>
      <c r="B61" s="407">
        <v>37</v>
      </c>
      <c r="C61" s="408">
        <v>15.45</v>
      </c>
      <c r="D61" s="403">
        <v>4.25</v>
      </c>
      <c r="E61" s="403">
        <v>8.1</v>
      </c>
      <c r="F61" s="395"/>
      <c r="G61" s="397"/>
      <c r="H61" s="398"/>
      <c r="I61" s="395">
        <v>1</v>
      </c>
      <c r="J61" s="396">
        <v>3.3000000000000002E-2</v>
      </c>
      <c r="K61" s="395">
        <v>2</v>
      </c>
      <c r="L61" s="396">
        <v>0.5</v>
      </c>
      <c r="M61" s="412"/>
      <c r="N61" s="396"/>
      <c r="O61" s="45" t="str">
        <f>IF(B61=('1 day'!B61-(SUM('14 days'!I61,'14 days'!K61,'14 days'!M61))),"OK","verificar")</f>
        <v>OK</v>
      </c>
    </row>
    <row r="62" spans="1:15" ht="16.5" customHeight="1" x14ac:dyDescent="0.25">
      <c r="A62" s="375">
        <f>IF('1 day'!A62&lt;&gt;"",'1 day'!A62,"")</f>
        <v>58</v>
      </c>
      <c r="B62" s="407">
        <v>39</v>
      </c>
      <c r="C62" s="408">
        <v>16.350000000000001</v>
      </c>
      <c r="D62" s="403">
        <v>5.2</v>
      </c>
      <c r="E62" s="403">
        <v>6.75</v>
      </c>
      <c r="F62" s="395"/>
      <c r="G62" s="397"/>
      <c r="H62" s="398"/>
      <c r="I62" s="395"/>
      <c r="J62" s="396"/>
      <c r="K62" s="395">
        <v>1</v>
      </c>
      <c r="L62" s="396">
        <v>0.25</v>
      </c>
      <c r="M62" s="412"/>
      <c r="N62" s="396"/>
      <c r="O62" s="45" t="str">
        <f>IF(B62=('1 day'!B62-(SUM('14 days'!I62,'14 days'!K62,'14 days'!M62))),"OK","verificar")</f>
        <v>OK</v>
      </c>
    </row>
    <row r="63" spans="1:15" ht="16.5" customHeight="1" x14ac:dyDescent="0.25">
      <c r="A63" s="375">
        <f>IF('1 day'!A63&lt;&gt;"",'1 day'!A63,"")</f>
        <v>59</v>
      </c>
      <c r="B63" s="407">
        <v>40</v>
      </c>
      <c r="C63" s="408">
        <v>16.05</v>
      </c>
      <c r="D63" s="403">
        <v>4.6500000000000004</v>
      </c>
      <c r="E63" s="403">
        <v>7.95</v>
      </c>
      <c r="F63" s="395"/>
      <c r="G63" s="397"/>
      <c r="H63" s="398"/>
      <c r="I63" s="395"/>
      <c r="J63" s="396"/>
      <c r="K63" s="395"/>
      <c r="L63" s="396"/>
      <c r="M63" s="412"/>
      <c r="N63" s="396"/>
      <c r="O63" s="45" t="str">
        <f>IF(B63=('1 day'!B63-(SUM('14 days'!I63,'14 days'!K63,'14 days'!M63))),"OK","verificar")</f>
        <v>OK</v>
      </c>
    </row>
    <row r="64" spans="1:15" ht="16.5" customHeight="1" x14ac:dyDescent="0.25">
      <c r="A64" s="375">
        <f>IF('1 day'!A64&lt;&gt;"",'1 day'!A64,"")</f>
        <v>60</v>
      </c>
      <c r="B64" s="407">
        <v>40</v>
      </c>
      <c r="C64" s="408">
        <v>16.75</v>
      </c>
      <c r="D64" s="403">
        <v>6.05</v>
      </c>
      <c r="E64" s="403">
        <v>6.3</v>
      </c>
      <c r="F64" s="395"/>
      <c r="G64" s="397"/>
      <c r="H64" s="398"/>
      <c r="I64" s="395"/>
      <c r="J64" s="396"/>
      <c r="K64" s="395"/>
      <c r="L64" s="396"/>
      <c r="M64" s="412"/>
      <c r="N64" s="396"/>
      <c r="O64" s="45" t="str">
        <f>IF(B64=('1 day'!B64-(SUM('14 days'!I64,'14 days'!K64,'14 days'!M64))),"OK","verificar")</f>
        <v>OK</v>
      </c>
    </row>
    <row r="65" spans="1:15" ht="16.5" customHeight="1" x14ac:dyDescent="0.25">
      <c r="A65" s="375">
        <f>IF('1 day'!A65&lt;&gt;"",'1 day'!A65,"")</f>
        <v>61</v>
      </c>
      <c r="B65" s="407">
        <v>37</v>
      </c>
      <c r="C65" s="408">
        <v>15.6</v>
      </c>
      <c r="D65" s="403">
        <v>4.2</v>
      </c>
      <c r="E65" s="403">
        <v>8.5500000000000007</v>
      </c>
      <c r="F65" s="395"/>
      <c r="G65" s="397"/>
      <c r="H65" s="398"/>
      <c r="I65" s="395">
        <v>1</v>
      </c>
      <c r="J65" s="396">
        <v>5.7000000000000002E-2</v>
      </c>
      <c r="K65" s="395">
        <v>2</v>
      </c>
      <c r="L65" s="396">
        <v>0.4</v>
      </c>
      <c r="M65" s="412"/>
      <c r="N65" s="396"/>
      <c r="O65" s="45" t="str">
        <f>IF(B65=('1 day'!B65-(SUM('14 days'!I65,'14 days'!K65,'14 days'!M65))),"OK","verificar")</f>
        <v>OK</v>
      </c>
    </row>
    <row r="66" spans="1:15" ht="16.5" customHeight="1" x14ac:dyDescent="0.25">
      <c r="A66" s="375">
        <f>IF('1 day'!A66&lt;&gt;"",'1 day'!A66,"")</f>
        <v>62</v>
      </c>
      <c r="B66" s="407">
        <v>40</v>
      </c>
      <c r="C66" s="408">
        <v>15.6</v>
      </c>
      <c r="D66" s="403">
        <v>5.2</v>
      </c>
      <c r="E66" s="403">
        <v>8.25</v>
      </c>
      <c r="F66" s="395"/>
      <c r="G66" s="397"/>
      <c r="H66" s="398"/>
      <c r="I66" s="395"/>
      <c r="J66" s="396"/>
      <c r="K66" s="395"/>
      <c r="L66" s="396"/>
      <c r="M66" s="412"/>
      <c r="N66" s="396"/>
      <c r="O66" s="45" t="str">
        <f>IF(B66=('1 day'!B66-(SUM('14 days'!I66,'14 days'!K66,'14 days'!M66))),"OK","verificar")</f>
        <v>OK</v>
      </c>
    </row>
    <row r="67" spans="1:15" ht="16.5" customHeight="1" x14ac:dyDescent="0.25">
      <c r="A67" s="375">
        <f>IF('1 day'!A67&lt;&gt;"",'1 day'!A67,"")</f>
        <v>63</v>
      </c>
      <c r="B67" s="407">
        <v>39</v>
      </c>
      <c r="C67" s="408">
        <v>16.3</v>
      </c>
      <c r="D67" s="403">
        <v>5.3</v>
      </c>
      <c r="E67" s="403">
        <v>6.45</v>
      </c>
      <c r="F67" s="395"/>
      <c r="G67" s="397"/>
      <c r="H67" s="398"/>
      <c r="I67" s="395"/>
      <c r="J67" s="396"/>
      <c r="K67" s="395">
        <v>1</v>
      </c>
      <c r="L67" s="396">
        <v>0.25</v>
      </c>
      <c r="M67" s="412"/>
      <c r="N67" s="396"/>
      <c r="O67" s="45" t="str">
        <f>IF(B67=('1 day'!B67-(SUM('14 days'!I67,'14 days'!K67,'14 days'!M67))),"OK","verificar")</f>
        <v>OK</v>
      </c>
    </row>
    <row r="68" spans="1:15" ht="16.5" customHeight="1" x14ac:dyDescent="0.25">
      <c r="A68" s="375">
        <f>IF('1 day'!A68&lt;&gt;"",'1 day'!A68,"")</f>
        <v>64</v>
      </c>
      <c r="B68" s="407">
        <v>38</v>
      </c>
      <c r="C68" s="408">
        <v>15.7</v>
      </c>
      <c r="D68" s="403">
        <v>4.5999999999999996</v>
      </c>
      <c r="E68" s="403">
        <v>8.5</v>
      </c>
      <c r="F68" s="395"/>
      <c r="G68" s="397"/>
      <c r="H68" s="398"/>
      <c r="I68" s="395"/>
      <c r="J68" s="396"/>
      <c r="K68" s="395">
        <v>2</v>
      </c>
      <c r="L68" s="396">
        <v>0.3</v>
      </c>
      <c r="M68" s="412"/>
      <c r="N68" s="396"/>
      <c r="O68" s="45" t="str">
        <f>IF(B68=('1 day'!B68-(SUM('14 days'!I68,'14 days'!K68,'14 days'!M68))),"OK","verificar")</f>
        <v>OK</v>
      </c>
    </row>
    <row r="69" spans="1:15" ht="16.5" customHeight="1" x14ac:dyDescent="0.25">
      <c r="A69" s="375">
        <f>IF('1 day'!A69&lt;&gt;"",'1 day'!A69,"")</f>
        <v>65</v>
      </c>
      <c r="B69" s="407">
        <v>38</v>
      </c>
      <c r="C69" s="408">
        <v>16.3</v>
      </c>
      <c r="D69" s="403">
        <v>3.5</v>
      </c>
      <c r="E69" s="403">
        <v>7.2</v>
      </c>
      <c r="F69" s="395"/>
      <c r="G69" s="397"/>
      <c r="H69" s="398"/>
      <c r="I69" s="395"/>
      <c r="J69" s="396"/>
      <c r="K69" s="395">
        <v>2</v>
      </c>
      <c r="L69" s="396">
        <v>0.4</v>
      </c>
      <c r="M69" s="412"/>
      <c r="N69" s="396"/>
      <c r="O69" s="45" t="str">
        <f>IF(B69=('1 day'!B69-(SUM('14 days'!I69,'14 days'!K69,'14 days'!M69))),"OK","verificar")</f>
        <v>OK</v>
      </c>
    </row>
    <row r="70" spans="1:15" ht="16.5" customHeight="1" thickBot="1" x14ac:dyDescent="0.3">
      <c r="A70" s="376">
        <f>IF('1 day'!A70&lt;&gt;"",'1 day'!A70,"")</f>
        <v>66</v>
      </c>
      <c r="B70" s="413">
        <v>39</v>
      </c>
      <c r="C70" s="414">
        <v>16.850000000000001</v>
      </c>
      <c r="D70" s="403">
        <v>4.95</v>
      </c>
      <c r="E70" s="403">
        <v>5.6</v>
      </c>
      <c r="F70" s="395"/>
      <c r="G70" s="397"/>
      <c r="H70" s="398"/>
      <c r="I70" s="399"/>
      <c r="J70" s="400"/>
      <c r="K70" s="399">
        <v>1</v>
      </c>
      <c r="L70" s="400">
        <v>0.25</v>
      </c>
      <c r="M70" s="415"/>
      <c r="N70" s="400"/>
      <c r="O70" s="45" t="str">
        <f>IF(B70=('1 day'!B70-(SUM('14 days'!I70,'14 days'!K70,'14 days'!M70))),"OK","verificar")</f>
        <v>OK</v>
      </c>
    </row>
    <row r="72" spans="1:15" ht="16.5" customHeight="1" x14ac:dyDescent="0.25">
      <c r="L72" s="81"/>
    </row>
  </sheetData>
  <protectedRanges>
    <protectedRange sqref="A5:B14" name="Intervalo9"/>
    <protectedRange sqref="C5:N70" name="Intervalo8"/>
    <protectedRange sqref="H2" name="Intervalo1_1"/>
    <protectedRange sqref="C3:E3" name="Intervalo1_2"/>
  </protectedRanges>
  <mergeCells count="6">
    <mergeCell ref="C1:N1"/>
    <mergeCell ref="A2:A3"/>
    <mergeCell ref="I2:J3"/>
    <mergeCell ref="K2:N3"/>
    <mergeCell ref="F2:G2"/>
    <mergeCell ref="F3:H3"/>
  </mergeCells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1:O70"/>
  <sheetViews>
    <sheetView zoomScaleNormal="100" workbookViewId="0">
      <pane xSplit="1" ySplit="4" topLeftCell="B5" activePane="bottomRight" state="frozen"/>
      <selection activeCell="B5" sqref="B5"/>
      <selection pane="topRight" activeCell="B5" sqref="B5"/>
      <selection pane="bottomLeft" activeCell="B5" sqref="B5"/>
      <selection pane="bottomRight" activeCell="D5" sqref="D5"/>
    </sheetView>
  </sheetViews>
  <sheetFormatPr defaultRowHeight="16.5" customHeight="1" x14ac:dyDescent="0.25"/>
  <cols>
    <col min="1" max="1" width="7.7109375" style="45" customWidth="1"/>
    <col min="2" max="2" width="10.7109375" style="45" bestFit="1" customWidth="1"/>
    <col min="3" max="4" width="14.7109375" style="45" customWidth="1"/>
    <col min="5" max="5" width="14.7109375" style="45" bestFit="1" customWidth="1"/>
    <col min="6" max="7" width="12.7109375" style="45" customWidth="1"/>
    <col min="8" max="8" width="12.28515625" style="45" bestFit="1" customWidth="1"/>
    <col min="9" max="9" width="12.7109375" style="45" customWidth="1"/>
    <col min="10" max="10" width="9.7109375" style="45" customWidth="1"/>
    <col min="11" max="11" width="12.7109375" style="45" customWidth="1"/>
    <col min="12" max="12" width="10.28515625" style="45" bestFit="1" customWidth="1"/>
    <col min="13" max="13" width="12.7109375" style="45" customWidth="1"/>
    <col min="14" max="16384" width="9.140625" style="45"/>
  </cols>
  <sheetData>
    <row r="1" spans="1:15" ht="30" customHeight="1" thickBot="1" x14ac:dyDescent="0.3">
      <c r="A1" s="43" t="s">
        <v>42</v>
      </c>
      <c r="B1" s="464">
        <v>43552</v>
      </c>
      <c r="C1" s="512" t="s">
        <v>97</v>
      </c>
      <c r="D1" s="513"/>
      <c r="E1" s="513"/>
      <c r="F1" s="513"/>
      <c r="G1" s="513"/>
      <c r="H1" s="513"/>
      <c r="I1" s="513"/>
      <c r="J1" s="513"/>
      <c r="K1" s="513"/>
      <c r="L1" s="513"/>
      <c r="M1" s="513"/>
      <c r="N1" s="514"/>
    </row>
    <row r="2" spans="1:15" ht="16.5" customHeight="1" thickBot="1" x14ac:dyDescent="0.3">
      <c r="A2" s="528"/>
      <c r="B2" s="371"/>
      <c r="C2" s="46" t="s">
        <v>57</v>
      </c>
      <c r="D2" s="46" t="s">
        <v>48</v>
      </c>
      <c r="E2" s="201" t="s">
        <v>49</v>
      </c>
      <c r="F2" s="525" t="s">
        <v>74</v>
      </c>
      <c r="G2" s="526"/>
      <c r="H2" s="202">
        <v>149.1</v>
      </c>
      <c r="I2" s="521" t="s">
        <v>33</v>
      </c>
      <c r="J2" s="522"/>
      <c r="K2" s="530" t="s">
        <v>50</v>
      </c>
      <c r="L2" s="531"/>
      <c r="M2" s="531"/>
      <c r="N2" s="532"/>
    </row>
    <row r="3" spans="1:15" ht="16.5" customHeight="1" thickBot="1" x14ac:dyDescent="0.3">
      <c r="A3" s="529"/>
      <c r="B3" s="372"/>
      <c r="C3" s="49">
        <v>8.1999999999999993</v>
      </c>
      <c r="D3" s="50">
        <v>0.23499999999999999</v>
      </c>
      <c r="E3" s="51">
        <v>1.85</v>
      </c>
      <c r="F3" s="525" t="s">
        <v>32</v>
      </c>
      <c r="G3" s="526"/>
      <c r="H3" s="527"/>
      <c r="I3" s="523"/>
      <c r="J3" s="524"/>
      <c r="K3" s="533"/>
      <c r="L3" s="534"/>
      <c r="M3" s="534"/>
      <c r="N3" s="535"/>
    </row>
    <row r="4" spans="1:15" s="64" customFormat="1" ht="35.25" customHeight="1" thickBot="1" x14ac:dyDescent="0.3">
      <c r="A4" s="53" t="s">
        <v>0</v>
      </c>
      <c r="B4" s="54" t="s">
        <v>100</v>
      </c>
      <c r="C4" s="54" t="s">
        <v>54</v>
      </c>
      <c r="D4" s="55" t="s">
        <v>55</v>
      </c>
      <c r="E4" s="55" t="s">
        <v>56</v>
      </c>
      <c r="F4" s="56" t="s">
        <v>40</v>
      </c>
      <c r="G4" s="57" t="s">
        <v>39</v>
      </c>
      <c r="H4" s="58" t="s">
        <v>41</v>
      </c>
      <c r="I4" s="56" t="s">
        <v>34</v>
      </c>
      <c r="J4" s="54" t="s">
        <v>35</v>
      </c>
      <c r="K4" s="59" t="s">
        <v>51</v>
      </c>
      <c r="L4" s="54" t="s">
        <v>35</v>
      </c>
      <c r="M4" s="57" t="s">
        <v>52</v>
      </c>
      <c r="N4" s="54" t="s">
        <v>35</v>
      </c>
    </row>
    <row r="5" spans="1:15" ht="16.5" customHeight="1" x14ac:dyDescent="0.25">
      <c r="A5" s="65">
        <f>IF('1 day'!A5&lt;&gt;"",'1 day'!A5,"")</f>
        <v>1</v>
      </c>
      <c r="B5" s="377">
        <v>40</v>
      </c>
      <c r="C5" s="66">
        <v>45.6</v>
      </c>
      <c r="D5" s="119">
        <v>10.45</v>
      </c>
      <c r="E5" s="119">
        <v>6.75</v>
      </c>
      <c r="F5" s="94">
        <v>2</v>
      </c>
      <c r="G5" s="95">
        <v>24</v>
      </c>
      <c r="H5" s="96"/>
      <c r="I5" s="94"/>
      <c r="J5" s="127"/>
      <c r="K5" s="72"/>
      <c r="L5" s="120"/>
      <c r="M5" s="73"/>
      <c r="N5" s="120"/>
      <c r="O5" s="45" t="str">
        <f>IF(B5=('14 days'!B5-(SUM(I5,K5,M5))),"OK","verificar")</f>
        <v>OK</v>
      </c>
    </row>
    <row r="6" spans="1:15" ht="16.5" customHeight="1" x14ac:dyDescent="0.25">
      <c r="A6" s="74">
        <f>IF('1 day'!A6&lt;&gt;"",'1 day'!A6,"")</f>
        <v>2</v>
      </c>
      <c r="B6" s="378">
        <v>40</v>
      </c>
      <c r="C6" s="75">
        <v>46.9</v>
      </c>
      <c r="D6" s="67">
        <v>11</v>
      </c>
      <c r="E6" s="67">
        <v>6.3</v>
      </c>
      <c r="F6" s="68">
        <v>2</v>
      </c>
      <c r="G6" s="69">
        <v>24</v>
      </c>
      <c r="H6" s="101"/>
      <c r="I6" s="68"/>
      <c r="J6" s="128"/>
      <c r="K6" s="76"/>
      <c r="L6" s="121"/>
      <c r="M6" s="77"/>
      <c r="N6" s="121"/>
      <c r="O6" s="45" t="str">
        <f>IF(B6=('14 days'!B6-(SUM(I6,K6,M6))),"OK","verificar")</f>
        <v>OK</v>
      </c>
    </row>
    <row r="7" spans="1:15" ht="16.5" customHeight="1" x14ac:dyDescent="0.25">
      <c r="A7" s="74">
        <f>IF('1 day'!A7&lt;&gt;"",'1 day'!A7,"")</f>
        <v>3</v>
      </c>
      <c r="B7" s="378">
        <v>36</v>
      </c>
      <c r="C7" s="75">
        <v>42.25</v>
      </c>
      <c r="D7" s="67">
        <v>12.1</v>
      </c>
      <c r="E7" s="67">
        <v>7.05</v>
      </c>
      <c r="F7" s="68">
        <v>2</v>
      </c>
      <c r="G7" s="69">
        <v>24</v>
      </c>
      <c r="H7" s="101"/>
      <c r="I7" s="68">
        <v>1</v>
      </c>
      <c r="J7" s="128">
        <v>0.72</v>
      </c>
      <c r="K7" s="76"/>
      <c r="L7" s="121"/>
      <c r="M7" s="77"/>
      <c r="N7" s="121"/>
      <c r="O7" s="45" t="str">
        <f>IF(B7=('14 days'!B7-(SUM(I7,K7,M7))),"OK","verificar")</f>
        <v>OK</v>
      </c>
    </row>
    <row r="8" spans="1:15" ht="16.5" customHeight="1" x14ac:dyDescent="0.25">
      <c r="A8" s="74">
        <f>IF('1 day'!A8&lt;&gt;"",'1 day'!A8,"")</f>
        <v>4</v>
      </c>
      <c r="B8" s="378">
        <v>39</v>
      </c>
      <c r="C8" s="75">
        <v>47.2</v>
      </c>
      <c r="D8" s="67">
        <v>10.35</v>
      </c>
      <c r="E8" s="67">
        <v>5.95</v>
      </c>
      <c r="F8" s="68">
        <v>2</v>
      </c>
      <c r="G8" s="69">
        <v>24</v>
      </c>
      <c r="H8" s="101"/>
      <c r="I8" s="68"/>
      <c r="J8" s="128"/>
      <c r="K8" s="76"/>
      <c r="L8" s="122"/>
      <c r="M8" s="77"/>
      <c r="N8" s="122"/>
      <c r="O8" s="45" t="str">
        <f>IF(B8=('14 days'!B8-(SUM(I8,K8,M8))),"OK","verificar")</f>
        <v>OK</v>
      </c>
    </row>
    <row r="9" spans="1:15" ht="16.5" customHeight="1" x14ac:dyDescent="0.25">
      <c r="A9" s="74">
        <f>IF('1 day'!A9&lt;&gt;"",'1 day'!A9,"")</f>
        <v>5</v>
      </c>
      <c r="B9" s="378">
        <v>40</v>
      </c>
      <c r="C9" s="75">
        <v>46.85</v>
      </c>
      <c r="D9" s="67">
        <v>11.75</v>
      </c>
      <c r="E9" s="67">
        <v>4.55</v>
      </c>
      <c r="F9" s="68">
        <v>2</v>
      </c>
      <c r="G9" s="69">
        <v>24</v>
      </c>
      <c r="H9" s="101"/>
      <c r="I9" s="68"/>
      <c r="J9" s="128"/>
      <c r="K9" s="76"/>
      <c r="L9" s="121"/>
      <c r="M9" s="77"/>
      <c r="N9" s="121"/>
      <c r="O9" s="45" t="str">
        <f>IF(B9=('14 days'!B9-(SUM(I9,K9,M9))),"OK","verificar")</f>
        <v>OK</v>
      </c>
    </row>
    <row r="10" spans="1:15" ht="16.5" customHeight="1" x14ac:dyDescent="0.25">
      <c r="A10" s="74">
        <f>IF('1 day'!A10&lt;&gt;"",'1 day'!A10,"")</f>
        <v>6</v>
      </c>
      <c r="B10" s="378">
        <v>38</v>
      </c>
      <c r="C10" s="75">
        <v>43.8</v>
      </c>
      <c r="D10" s="67">
        <v>11.8</v>
      </c>
      <c r="E10" s="67">
        <v>6.3</v>
      </c>
      <c r="F10" s="68">
        <v>2</v>
      </c>
      <c r="G10" s="69">
        <v>24</v>
      </c>
      <c r="H10" s="101"/>
      <c r="I10" s="68"/>
      <c r="J10" s="128"/>
      <c r="K10" s="76"/>
      <c r="L10" s="121"/>
      <c r="M10" s="77"/>
      <c r="N10" s="121"/>
      <c r="O10" s="45" t="str">
        <f>IF(B10=('14 days'!B10-(SUM(I10,K10,M10))),"OK","verificar")</f>
        <v>OK</v>
      </c>
    </row>
    <row r="11" spans="1:15" ht="16.5" customHeight="1" x14ac:dyDescent="0.25">
      <c r="A11" s="74">
        <f>IF('1 day'!A11&lt;&gt;"",'1 day'!A11,"")</f>
        <v>7</v>
      </c>
      <c r="B11" s="378">
        <v>39</v>
      </c>
      <c r="C11" s="75">
        <v>46.95</v>
      </c>
      <c r="D11" s="67">
        <v>11.75</v>
      </c>
      <c r="E11" s="67">
        <v>5.25</v>
      </c>
      <c r="F11" s="68">
        <v>2</v>
      </c>
      <c r="G11" s="69">
        <v>24</v>
      </c>
      <c r="H11" s="101"/>
      <c r="I11" s="68"/>
      <c r="J11" s="128"/>
      <c r="K11" s="76"/>
      <c r="L11" s="121"/>
      <c r="M11" s="77"/>
      <c r="N11" s="121"/>
      <c r="O11" s="45" t="str">
        <f>IF(B11=('14 days'!B11-(SUM(I11,K11,M11))),"OK","verificar")</f>
        <v>OK</v>
      </c>
    </row>
    <row r="12" spans="1:15" ht="16.5" customHeight="1" x14ac:dyDescent="0.25">
      <c r="A12" s="74">
        <f>IF('1 day'!A12&lt;&gt;"",'1 day'!A12,"")</f>
        <v>8</v>
      </c>
      <c r="B12" s="378">
        <v>39</v>
      </c>
      <c r="C12" s="75">
        <v>46</v>
      </c>
      <c r="D12" s="67">
        <v>11.95</v>
      </c>
      <c r="E12" s="67">
        <v>5.4</v>
      </c>
      <c r="F12" s="68">
        <v>2</v>
      </c>
      <c r="G12" s="69">
        <v>24</v>
      </c>
      <c r="H12" s="101"/>
      <c r="I12" s="68"/>
      <c r="J12" s="128"/>
      <c r="K12" s="68"/>
      <c r="L12" s="122"/>
      <c r="M12" s="80"/>
      <c r="N12" s="122"/>
      <c r="O12" s="45" t="str">
        <f>IF(B12=('14 days'!B12-(SUM(I12,K12,M12))),"OK","verificar")</f>
        <v>OK</v>
      </c>
    </row>
    <row r="13" spans="1:15" ht="16.5" customHeight="1" x14ac:dyDescent="0.25">
      <c r="A13" s="74">
        <f>IF('1 day'!A13&lt;&gt;"",'1 day'!A13,"")</f>
        <v>9</v>
      </c>
      <c r="B13" s="378">
        <v>40</v>
      </c>
      <c r="C13" s="75">
        <v>44.5</v>
      </c>
      <c r="D13" s="67">
        <v>11.9</v>
      </c>
      <c r="E13" s="67">
        <v>6.35</v>
      </c>
      <c r="F13" s="68">
        <v>2</v>
      </c>
      <c r="G13" s="69">
        <v>24</v>
      </c>
      <c r="H13" s="101"/>
      <c r="I13" s="68"/>
      <c r="J13" s="128"/>
      <c r="K13" s="76"/>
      <c r="L13" s="121"/>
      <c r="M13" s="77"/>
      <c r="N13" s="121"/>
      <c r="O13" s="45" t="str">
        <f>IF(B13=('14 days'!B13-(SUM(I13,K13,M13))),"OK","verificar")</f>
        <v>OK</v>
      </c>
    </row>
    <row r="14" spans="1:15" ht="16.5" customHeight="1" x14ac:dyDescent="0.25">
      <c r="A14" s="74">
        <f>IF('1 day'!A14&lt;&gt;"",'1 day'!A14,"")</f>
        <v>10</v>
      </c>
      <c r="B14" s="378">
        <v>38</v>
      </c>
      <c r="C14" s="75">
        <v>48.55</v>
      </c>
      <c r="D14" s="67">
        <v>10.85</v>
      </c>
      <c r="E14" s="67">
        <v>4</v>
      </c>
      <c r="F14" s="68">
        <v>2</v>
      </c>
      <c r="G14" s="69">
        <v>24</v>
      </c>
      <c r="H14" s="101"/>
      <c r="I14" s="68"/>
      <c r="J14" s="128"/>
      <c r="K14" s="68"/>
      <c r="L14" s="122"/>
      <c r="M14" s="80"/>
      <c r="N14" s="122"/>
      <c r="O14" s="45" t="str">
        <f>IF(B14=('14 days'!B14-(SUM(I14,K14,M14))),"OK","verificar")</f>
        <v>OK</v>
      </c>
    </row>
    <row r="15" spans="1:15" ht="16.5" customHeight="1" x14ac:dyDescent="0.25">
      <c r="A15" s="74">
        <f>IF('1 day'!A15&lt;&gt;"",'1 day'!A15,"")</f>
        <v>11</v>
      </c>
      <c r="B15" s="378">
        <v>39</v>
      </c>
      <c r="C15" s="75">
        <v>42</v>
      </c>
      <c r="D15" s="67">
        <v>13.2</v>
      </c>
      <c r="E15" s="67">
        <v>8.0500000000000007</v>
      </c>
      <c r="F15" s="68">
        <v>2</v>
      </c>
      <c r="G15" s="69">
        <v>24</v>
      </c>
      <c r="H15" s="101"/>
      <c r="I15" s="68"/>
      <c r="J15" s="128"/>
      <c r="K15" s="68"/>
      <c r="L15" s="122"/>
      <c r="M15" s="80"/>
      <c r="N15" s="122"/>
      <c r="O15" s="45" t="str">
        <f>IF(B15=('14 days'!B15-(SUM(I15,K15,M15))),"OK","verificar")</f>
        <v>OK</v>
      </c>
    </row>
    <row r="16" spans="1:15" ht="16.5" customHeight="1" x14ac:dyDescent="0.25">
      <c r="A16" s="74">
        <f>IF('1 day'!A16&lt;&gt;"",'1 day'!A16,"")</f>
        <v>12</v>
      </c>
      <c r="B16" s="378">
        <v>39</v>
      </c>
      <c r="C16" s="75">
        <v>45.35</v>
      </c>
      <c r="D16" s="67">
        <v>11.75</v>
      </c>
      <c r="E16" s="67">
        <v>5.9</v>
      </c>
      <c r="F16" s="68">
        <v>2</v>
      </c>
      <c r="G16" s="69">
        <v>24</v>
      </c>
      <c r="H16" s="101"/>
      <c r="I16" s="68"/>
      <c r="J16" s="128"/>
      <c r="K16" s="68"/>
      <c r="L16" s="122"/>
      <c r="M16" s="80"/>
      <c r="N16" s="122"/>
      <c r="O16" s="45" t="str">
        <f>IF(B16=('14 days'!B16-(SUM(I16,K16,M16))),"OK","verificar")</f>
        <v>OK</v>
      </c>
    </row>
    <row r="17" spans="1:15" ht="16.5" customHeight="1" x14ac:dyDescent="0.25">
      <c r="A17" s="74">
        <f>IF('1 day'!A17&lt;&gt;"",'1 day'!A17,"")</f>
        <v>13</v>
      </c>
      <c r="B17" s="378">
        <v>38</v>
      </c>
      <c r="C17" s="75">
        <v>44.45</v>
      </c>
      <c r="D17" s="67">
        <v>11</v>
      </c>
      <c r="E17" s="67">
        <v>7.2</v>
      </c>
      <c r="F17" s="68">
        <v>2</v>
      </c>
      <c r="G17" s="69">
        <v>24</v>
      </c>
      <c r="H17" s="101"/>
      <c r="I17" s="68">
        <v>1</v>
      </c>
      <c r="J17" s="128">
        <v>0.42</v>
      </c>
      <c r="K17" s="68"/>
      <c r="L17" s="122"/>
      <c r="M17" s="80"/>
      <c r="N17" s="122"/>
      <c r="O17" s="45" t="str">
        <f>IF(B17=('14 days'!B17-(SUM(I17,K17,M17))),"OK","verificar")</f>
        <v>OK</v>
      </c>
    </row>
    <row r="18" spans="1:15" ht="16.5" customHeight="1" x14ac:dyDescent="0.25">
      <c r="A18" s="74">
        <f>IF('1 day'!A18&lt;&gt;"",'1 day'!A18,"")</f>
        <v>14</v>
      </c>
      <c r="B18" s="378">
        <v>39</v>
      </c>
      <c r="C18" s="75">
        <v>46.05</v>
      </c>
      <c r="D18" s="67">
        <v>11.25</v>
      </c>
      <c r="E18" s="67">
        <v>6.3</v>
      </c>
      <c r="F18" s="68">
        <v>2</v>
      </c>
      <c r="G18" s="69">
        <v>24</v>
      </c>
      <c r="H18" s="101"/>
      <c r="I18" s="68"/>
      <c r="J18" s="128"/>
      <c r="K18" s="68"/>
      <c r="L18" s="122"/>
      <c r="M18" s="80"/>
      <c r="N18" s="122"/>
      <c r="O18" s="45" t="str">
        <f>IF(B18=('14 days'!B18-(SUM(I18,K18,M18))),"OK","verificar")</f>
        <v>OK</v>
      </c>
    </row>
    <row r="19" spans="1:15" ht="16.5" customHeight="1" x14ac:dyDescent="0.25">
      <c r="A19" s="74">
        <f>IF('1 day'!A19&lt;&gt;"",'1 day'!A19,"")</f>
        <v>15</v>
      </c>
      <c r="B19" s="378">
        <v>38</v>
      </c>
      <c r="C19" s="75">
        <v>45.05</v>
      </c>
      <c r="D19" s="67">
        <v>12</v>
      </c>
      <c r="E19" s="67">
        <v>6.05</v>
      </c>
      <c r="F19" s="68">
        <v>2</v>
      </c>
      <c r="G19" s="69">
        <v>24</v>
      </c>
      <c r="H19" s="101"/>
      <c r="I19" s="68"/>
      <c r="J19" s="128"/>
      <c r="K19" s="68">
        <v>1</v>
      </c>
      <c r="L19" s="122">
        <v>0.45</v>
      </c>
      <c r="M19" s="80"/>
      <c r="N19" s="122"/>
      <c r="O19" s="45" t="str">
        <f>IF(B19=('14 days'!B19-(SUM(I19,K19,M19))),"OK","verificar")</f>
        <v>OK</v>
      </c>
    </row>
    <row r="20" spans="1:15" ht="16.5" customHeight="1" x14ac:dyDescent="0.25">
      <c r="A20" s="74">
        <f>IF('1 day'!A20&lt;&gt;"",'1 day'!A20,"")</f>
        <v>16</v>
      </c>
      <c r="B20" s="378">
        <v>39</v>
      </c>
      <c r="C20" s="75">
        <v>47.25</v>
      </c>
      <c r="D20" s="67">
        <v>11.5</v>
      </c>
      <c r="E20" s="67">
        <v>5.6</v>
      </c>
      <c r="F20" s="68">
        <v>2</v>
      </c>
      <c r="G20" s="69">
        <v>24</v>
      </c>
      <c r="H20" s="101"/>
      <c r="I20" s="68"/>
      <c r="J20" s="128"/>
      <c r="K20" s="68"/>
      <c r="L20" s="122"/>
      <c r="M20" s="80"/>
      <c r="N20" s="122"/>
      <c r="O20" s="45" t="str">
        <f>IF(B20=('14 days'!B20-(SUM(I20,K20,M20))),"OK","verificar")</f>
        <v>OK</v>
      </c>
    </row>
    <row r="21" spans="1:15" ht="16.5" customHeight="1" x14ac:dyDescent="0.25">
      <c r="A21" s="74">
        <f>IF('1 day'!A21&lt;&gt;"",'1 day'!A21,"")</f>
        <v>17</v>
      </c>
      <c r="B21" s="378">
        <v>40</v>
      </c>
      <c r="C21" s="75">
        <v>44.8</v>
      </c>
      <c r="D21" s="67">
        <v>12.3</v>
      </c>
      <c r="E21" s="67">
        <v>6.2</v>
      </c>
      <c r="F21" s="68">
        <v>2</v>
      </c>
      <c r="G21" s="69">
        <v>24</v>
      </c>
      <c r="H21" s="101"/>
      <c r="I21" s="68"/>
      <c r="J21" s="128"/>
      <c r="K21" s="68"/>
      <c r="L21" s="122"/>
      <c r="M21" s="80"/>
      <c r="N21" s="122"/>
      <c r="O21" s="45" t="str">
        <f>IF(B21=('14 days'!B21-(SUM(I21,K21,M21))),"OK","verificar")</f>
        <v>OK</v>
      </c>
    </row>
    <row r="22" spans="1:15" ht="16.5" customHeight="1" x14ac:dyDescent="0.25">
      <c r="A22" s="74">
        <f>IF('1 day'!A22&lt;&gt;"",'1 day'!A22,"")</f>
        <v>18</v>
      </c>
      <c r="B22" s="378">
        <v>40</v>
      </c>
      <c r="C22" s="75">
        <v>46.7</v>
      </c>
      <c r="D22" s="67">
        <v>10.95</v>
      </c>
      <c r="E22" s="67">
        <v>6.1</v>
      </c>
      <c r="F22" s="68">
        <v>2</v>
      </c>
      <c r="G22" s="69">
        <v>24</v>
      </c>
      <c r="H22" s="101"/>
      <c r="I22" s="68"/>
      <c r="J22" s="128"/>
      <c r="K22" s="68"/>
      <c r="L22" s="122"/>
      <c r="M22" s="80"/>
      <c r="N22" s="122"/>
      <c r="O22" s="45" t="str">
        <f>IF(B22=('14 days'!B22-(SUM(I22,K22,M22))),"OK","verificar")</f>
        <v>OK</v>
      </c>
    </row>
    <row r="23" spans="1:15" ht="16.5" customHeight="1" x14ac:dyDescent="0.25">
      <c r="A23" s="74">
        <f>IF('1 day'!A23&lt;&gt;"",'1 day'!A23,"")</f>
        <v>19</v>
      </c>
      <c r="B23" s="378">
        <v>34</v>
      </c>
      <c r="C23" s="75">
        <v>39.35</v>
      </c>
      <c r="D23" s="67">
        <v>13.25</v>
      </c>
      <c r="E23" s="67">
        <v>8.9499999999999993</v>
      </c>
      <c r="F23" s="68">
        <v>2</v>
      </c>
      <c r="G23" s="69">
        <v>24</v>
      </c>
      <c r="H23" s="101"/>
      <c r="I23" s="68">
        <v>1</v>
      </c>
      <c r="J23" s="128">
        <v>0.4</v>
      </c>
      <c r="K23" s="68">
        <v>1</v>
      </c>
      <c r="L23" s="122">
        <v>0.65</v>
      </c>
      <c r="M23" s="80"/>
      <c r="N23" s="122"/>
      <c r="O23" s="45" t="str">
        <f>IF(B23=('14 days'!B23-(SUM(I23,K23,M23))),"OK","verificar")</f>
        <v>OK</v>
      </c>
    </row>
    <row r="24" spans="1:15" ht="16.5" customHeight="1" x14ac:dyDescent="0.25">
      <c r="A24" s="74">
        <f>IF('1 day'!A24&lt;&gt;"",'1 day'!A24,"")</f>
        <v>20</v>
      </c>
      <c r="B24" s="378">
        <v>40</v>
      </c>
      <c r="C24" s="75">
        <v>45.9</v>
      </c>
      <c r="D24" s="67">
        <v>12.3</v>
      </c>
      <c r="E24" s="67">
        <v>4.8</v>
      </c>
      <c r="F24" s="68">
        <v>2</v>
      </c>
      <c r="G24" s="69">
        <v>24</v>
      </c>
      <c r="H24" s="101"/>
      <c r="I24" s="68"/>
      <c r="J24" s="128"/>
      <c r="K24" s="68"/>
      <c r="L24" s="122"/>
      <c r="M24" s="80"/>
      <c r="N24" s="122"/>
      <c r="O24" s="45" t="str">
        <f>IF(B24=('14 days'!B24-(SUM(I24,K24,M24))),"OK","verificar")</f>
        <v>OK</v>
      </c>
    </row>
    <row r="25" spans="1:15" ht="16.5" customHeight="1" x14ac:dyDescent="0.25">
      <c r="A25" s="74">
        <f>IF('1 day'!A25&lt;&gt;"",'1 day'!A25,"")</f>
        <v>21</v>
      </c>
      <c r="B25" s="378">
        <v>37</v>
      </c>
      <c r="C25" s="75">
        <v>42.3</v>
      </c>
      <c r="D25" s="67">
        <v>12.85</v>
      </c>
      <c r="E25" s="67">
        <v>8.1</v>
      </c>
      <c r="F25" s="68">
        <v>2</v>
      </c>
      <c r="G25" s="69">
        <v>24</v>
      </c>
      <c r="H25" s="101"/>
      <c r="I25" s="68"/>
      <c r="J25" s="128"/>
      <c r="K25" s="68"/>
      <c r="L25" s="122"/>
      <c r="M25" s="80"/>
      <c r="N25" s="122"/>
      <c r="O25" s="45" t="str">
        <f>IF(B25=('14 days'!B25-(SUM(I25,K25,M25))),"OK","verificar")</f>
        <v>OK</v>
      </c>
    </row>
    <row r="26" spans="1:15" ht="16.5" customHeight="1" x14ac:dyDescent="0.25">
      <c r="A26" s="74">
        <f>IF('1 day'!A26&lt;&gt;"",'1 day'!A26,"")</f>
        <v>22</v>
      </c>
      <c r="B26" s="378">
        <v>40</v>
      </c>
      <c r="C26" s="75">
        <v>43.95</v>
      </c>
      <c r="D26" s="67">
        <v>12.8</v>
      </c>
      <c r="E26" s="67">
        <v>6.4</v>
      </c>
      <c r="F26" s="68">
        <v>2</v>
      </c>
      <c r="G26" s="69">
        <v>24</v>
      </c>
      <c r="H26" s="101"/>
      <c r="I26" s="68"/>
      <c r="J26" s="128"/>
      <c r="K26" s="68"/>
      <c r="L26" s="122"/>
      <c r="M26" s="80"/>
      <c r="N26" s="122"/>
      <c r="O26" s="45" t="str">
        <f>IF(B26=('14 days'!B26-(SUM(I26,K26,M26))),"OK","verificar")</f>
        <v>OK</v>
      </c>
    </row>
    <row r="27" spans="1:15" ht="16.5" customHeight="1" x14ac:dyDescent="0.25">
      <c r="A27" s="74">
        <f>IF('1 day'!A27&lt;&gt;"",'1 day'!A27,"")</f>
        <v>23</v>
      </c>
      <c r="B27" s="378">
        <v>39</v>
      </c>
      <c r="C27" s="75">
        <v>44.9</v>
      </c>
      <c r="D27" s="67">
        <v>11.7</v>
      </c>
      <c r="E27" s="67">
        <v>6.75</v>
      </c>
      <c r="F27" s="68">
        <v>2</v>
      </c>
      <c r="G27" s="69">
        <v>24</v>
      </c>
      <c r="H27" s="101"/>
      <c r="I27" s="68"/>
      <c r="J27" s="128"/>
      <c r="K27" s="68"/>
      <c r="L27" s="122"/>
      <c r="M27" s="80"/>
      <c r="N27" s="122"/>
      <c r="O27" s="45" t="str">
        <f>IF(B27=('14 days'!B27-(SUM(I27,K27,M27))),"OK","verificar")</f>
        <v>OK</v>
      </c>
    </row>
    <row r="28" spans="1:15" ht="16.5" customHeight="1" x14ac:dyDescent="0.25">
      <c r="A28" s="74">
        <f>IF('1 day'!A28&lt;&gt;"",'1 day'!A28,"")</f>
        <v>24</v>
      </c>
      <c r="B28" s="378">
        <v>40</v>
      </c>
      <c r="C28" s="75">
        <v>47.05</v>
      </c>
      <c r="D28" s="67">
        <v>11.1</v>
      </c>
      <c r="E28" s="67">
        <v>5.3</v>
      </c>
      <c r="F28" s="68">
        <v>2</v>
      </c>
      <c r="G28" s="69">
        <v>24</v>
      </c>
      <c r="H28" s="101"/>
      <c r="I28" s="68"/>
      <c r="J28" s="128"/>
      <c r="K28" s="68"/>
      <c r="L28" s="122"/>
      <c r="M28" s="80"/>
      <c r="N28" s="122"/>
      <c r="O28" s="45" t="str">
        <f>IF(B28=('14 days'!B28-(SUM(I28,K28,M28))),"OK","verificar")</f>
        <v>OK</v>
      </c>
    </row>
    <row r="29" spans="1:15" ht="16.5" customHeight="1" x14ac:dyDescent="0.25">
      <c r="A29" s="74">
        <f>IF('1 day'!A29&lt;&gt;"",'1 day'!A29,"")</f>
        <v>25</v>
      </c>
      <c r="B29" s="378">
        <v>40</v>
      </c>
      <c r="C29" s="75">
        <v>46.45</v>
      </c>
      <c r="D29" s="67">
        <v>11.55</v>
      </c>
      <c r="E29" s="67">
        <v>6.35</v>
      </c>
      <c r="F29" s="68">
        <v>2</v>
      </c>
      <c r="G29" s="69">
        <v>24</v>
      </c>
      <c r="H29" s="101"/>
      <c r="I29" s="68"/>
      <c r="J29" s="128"/>
      <c r="K29" s="68"/>
      <c r="L29" s="122"/>
      <c r="M29" s="80"/>
      <c r="N29" s="122"/>
      <c r="O29" s="45" t="str">
        <f>IF(B29=('14 days'!B29-(SUM(I29,K29,M29))),"OK","verificar")</f>
        <v>OK</v>
      </c>
    </row>
    <row r="30" spans="1:15" ht="16.5" customHeight="1" x14ac:dyDescent="0.25">
      <c r="A30" s="74">
        <f>IF('1 day'!A30&lt;&gt;"",'1 day'!A30,"")</f>
        <v>26</v>
      </c>
      <c r="B30" s="378">
        <v>39</v>
      </c>
      <c r="C30" s="75">
        <v>43.6</v>
      </c>
      <c r="D30" s="67">
        <v>12.6</v>
      </c>
      <c r="E30" s="67">
        <v>7.1</v>
      </c>
      <c r="F30" s="68">
        <v>2</v>
      </c>
      <c r="G30" s="69">
        <v>24</v>
      </c>
      <c r="H30" s="101"/>
      <c r="I30" s="68"/>
      <c r="J30" s="128"/>
      <c r="K30" s="68"/>
      <c r="L30" s="122"/>
      <c r="M30" s="80"/>
      <c r="N30" s="122"/>
      <c r="O30" s="45" t="str">
        <f>IF(B30=('14 days'!B30-(SUM(I30,K30,M30))),"OK","verificar")</f>
        <v>OK</v>
      </c>
    </row>
    <row r="31" spans="1:15" ht="16.5" customHeight="1" x14ac:dyDescent="0.25">
      <c r="A31" s="74">
        <f>IF('1 day'!A31&lt;&gt;"",'1 day'!A31,"")</f>
        <v>27</v>
      </c>
      <c r="B31" s="378">
        <v>40</v>
      </c>
      <c r="C31" s="75">
        <v>47.4</v>
      </c>
      <c r="D31" s="67">
        <v>10.5</v>
      </c>
      <c r="E31" s="67">
        <v>6.05</v>
      </c>
      <c r="F31" s="68">
        <v>2</v>
      </c>
      <c r="G31" s="69">
        <v>24</v>
      </c>
      <c r="H31" s="101"/>
      <c r="I31" s="68"/>
      <c r="J31" s="128"/>
      <c r="K31" s="68"/>
      <c r="L31" s="122"/>
      <c r="M31" s="80"/>
      <c r="N31" s="122"/>
      <c r="O31" s="45" t="str">
        <f>IF(B31=('14 days'!B31-(SUM(I31,K31,M31))),"OK","verificar")</f>
        <v>OK</v>
      </c>
    </row>
    <row r="32" spans="1:15" ht="16.5" customHeight="1" x14ac:dyDescent="0.25">
      <c r="A32" s="74">
        <f>IF('1 day'!A32&lt;&gt;"",'1 day'!A32,"")</f>
        <v>28</v>
      </c>
      <c r="B32" s="378">
        <v>40</v>
      </c>
      <c r="C32" s="75">
        <v>47.55</v>
      </c>
      <c r="D32" s="67">
        <v>11.15</v>
      </c>
      <c r="E32" s="67">
        <v>5.2</v>
      </c>
      <c r="F32" s="68">
        <v>2</v>
      </c>
      <c r="G32" s="69">
        <v>24</v>
      </c>
      <c r="H32" s="101"/>
      <c r="I32" s="68"/>
      <c r="J32" s="128"/>
      <c r="K32" s="68"/>
      <c r="L32" s="122"/>
      <c r="M32" s="80"/>
      <c r="N32" s="122"/>
      <c r="O32" s="45" t="str">
        <f>IF(B32=('14 days'!B32-(SUM(I32,K32,M32))),"OK","verificar")</f>
        <v>OK</v>
      </c>
    </row>
    <row r="33" spans="1:15" ht="16.5" customHeight="1" x14ac:dyDescent="0.25">
      <c r="A33" s="74">
        <f>IF('1 day'!A33&lt;&gt;"",'1 day'!A33,"")</f>
        <v>29</v>
      </c>
      <c r="B33" s="378">
        <v>40</v>
      </c>
      <c r="C33" s="75">
        <v>46.85</v>
      </c>
      <c r="D33" s="67">
        <v>11.3</v>
      </c>
      <c r="E33" s="67">
        <v>5.15</v>
      </c>
      <c r="F33" s="68">
        <v>2</v>
      </c>
      <c r="G33" s="69">
        <v>24</v>
      </c>
      <c r="H33" s="101"/>
      <c r="I33" s="68"/>
      <c r="J33" s="128"/>
      <c r="K33" s="68"/>
      <c r="L33" s="122"/>
      <c r="M33" s="80"/>
      <c r="N33" s="122"/>
      <c r="O33" s="45" t="str">
        <f>IF(B33=('14 days'!B33-(SUM(I33,K33,M33))),"OK","verificar")</f>
        <v>OK</v>
      </c>
    </row>
    <row r="34" spans="1:15" ht="16.5" customHeight="1" x14ac:dyDescent="0.25">
      <c r="A34" s="74">
        <f>IF('1 day'!A34&lt;&gt;"",'1 day'!A34,"")</f>
        <v>30</v>
      </c>
      <c r="B34" s="378">
        <v>38</v>
      </c>
      <c r="C34" s="75">
        <v>44.95</v>
      </c>
      <c r="D34" s="67">
        <v>10.45</v>
      </c>
      <c r="E34" s="67">
        <v>7.45</v>
      </c>
      <c r="F34" s="68">
        <v>2</v>
      </c>
      <c r="G34" s="69">
        <v>24</v>
      </c>
      <c r="H34" s="101"/>
      <c r="I34" s="68">
        <v>1</v>
      </c>
      <c r="J34" s="128">
        <v>0.39</v>
      </c>
      <c r="K34" s="68"/>
      <c r="L34" s="122"/>
      <c r="M34" s="80"/>
      <c r="N34" s="122"/>
      <c r="O34" s="45" t="str">
        <f>IF(B34=('14 days'!B34-(SUM(I34,K34,M34))),"OK","verificar")</f>
        <v>OK</v>
      </c>
    </row>
    <row r="35" spans="1:15" ht="16.5" customHeight="1" x14ac:dyDescent="0.25">
      <c r="A35" s="74">
        <f>IF('1 day'!A35&lt;&gt;"",'1 day'!A35,"")</f>
        <v>31</v>
      </c>
      <c r="B35" s="378">
        <v>39</v>
      </c>
      <c r="C35" s="75">
        <v>43.1</v>
      </c>
      <c r="D35" s="67">
        <v>11.85</v>
      </c>
      <c r="E35" s="67">
        <v>8.15</v>
      </c>
      <c r="F35" s="68">
        <v>2</v>
      </c>
      <c r="G35" s="69">
        <v>24</v>
      </c>
      <c r="H35" s="101"/>
      <c r="I35" s="68"/>
      <c r="J35" s="128"/>
      <c r="K35" s="68"/>
      <c r="L35" s="122"/>
      <c r="M35" s="80"/>
      <c r="N35" s="122"/>
      <c r="O35" s="45" t="str">
        <f>IF(B35=('14 days'!B35-(SUM(I35,K35,M35))),"OK","verificar")</f>
        <v>OK</v>
      </c>
    </row>
    <row r="36" spans="1:15" ht="16.5" customHeight="1" x14ac:dyDescent="0.25">
      <c r="A36" s="74">
        <f>IF('1 day'!A36&lt;&gt;"",'1 day'!A36,"")</f>
        <v>32</v>
      </c>
      <c r="B36" s="378">
        <v>40</v>
      </c>
      <c r="C36" s="75">
        <v>45.3</v>
      </c>
      <c r="D36" s="67">
        <v>11.7</v>
      </c>
      <c r="E36" s="67">
        <v>6.25</v>
      </c>
      <c r="F36" s="68">
        <v>2</v>
      </c>
      <c r="G36" s="69">
        <v>24</v>
      </c>
      <c r="H36" s="101"/>
      <c r="I36" s="68"/>
      <c r="J36" s="128"/>
      <c r="K36" s="68"/>
      <c r="L36" s="122"/>
      <c r="M36" s="80"/>
      <c r="N36" s="122"/>
      <c r="O36" s="45" t="str">
        <f>IF(B36=('14 days'!B36-(SUM(I36,K36,M36))),"OK","verificar")</f>
        <v>OK</v>
      </c>
    </row>
    <row r="37" spans="1:15" ht="16.5" customHeight="1" x14ac:dyDescent="0.25">
      <c r="A37" s="74">
        <f>IF('1 day'!A37&lt;&gt;"",'1 day'!A37,"")</f>
        <v>33</v>
      </c>
      <c r="B37" s="378">
        <v>40</v>
      </c>
      <c r="C37" s="75">
        <v>45.3</v>
      </c>
      <c r="D37" s="67">
        <v>11.7</v>
      </c>
      <c r="E37" s="67">
        <v>6.25</v>
      </c>
      <c r="F37" s="68">
        <v>2</v>
      </c>
      <c r="G37" s="69">
        <v>24</v>
      </c>
      <c r="H37" s="101"/>
      <c r="I37" s="68"/>
      <c r="J37" s="128"/>
      <c r="K37" s="68"/>
      <c r="L37" s="122"/>
      <c r="M37" s="80"/>
      <c r="N37" s="122"/>
      <c r="O37" s="45" t="str">
        <f>IF(B37=('14 days'!B37-(SUM(I37,K37,M37))),"OK","verificar")</f>
        <v>OK</v>
      </c>
    </row>
    <row r="38" spans="1:15" ht="16.5" customHeight="1" x14ac:dyDescent="0.25">
      <c r="A38" s="74">
        <f>IF('1 day'!A38&lt;&gt;"",'1 day'!A38,"")</f>
        <v>34</v>
      </c>
      <c r="B38" s="378">
        <v>40</v>
      </c>
      <c r="C38" s="75">
        <v>46</v>
      </c>
      <c r="D38" s="67">
        <v>11.25</v>
      </c>
      <c r="E38" s="67">
        <v>6.4</v>
      </c>
      <c r="F38" s="68">
        <v>2</v>
      </c>
      <c r="G38" s="69">
        <v>24</v>
      </c>
      <c r="H38" s="101"/>
      <c r="I38" s="68"/>
      <c r="J38" s="128"/>
      <c r="K38" s="68"/>
      <c r="L38" s="122"/>
      <c r="M38" s="80"/>
      <c r="N38" s="122"/>
      <c r="O38" s="45" t="str">
        <f>IF(B38=('14 days'!B38-(SUM(I38,K38,M38))),"OK","verificar")</f>
        <v>OK</v>
      </c>
    </row>
    <row r="39" spans="1:15" ht="16.5" customHeight="1" x14ac:dyDescent="0.25">
      <c r="A39" s="74">
        <f>IF('1 day'!A39&lt;&gt;"",'1 day'!A39,"")</f>
        <v>35</v>
      </c>
      <c r="B39" s="378">
        <v>37</v>
      </c>
      <c r="C39" s="75">
        <v>46.3</v>
      </c>
      <c r="D39" s="67">
        <v>12.2</v>
      </c>
      <c r="E39" s="67">
        <v>5.75</v>
      </c>
      <c r="F39" s="68">
        <v>2</v>
      </c>
      <c r="G39" s="69">
        <v>24</v>
      </c>
      <c r="H39" s="101"/>
      <c r="I39" s="68"/>
      <c r="J39" s="128"/>
      <c r="K39" s="68"/>
      <c r="L39" s="122"/>
      <c r="M39" s="80"/>
      <c r="N39" s="122"/>
      <c r="O39" s="45" t="str">
        <f>IF(B39=('14 days'!B39-(SUM(I39,K39,M39))),"OK","verificar")</f>
        <v>OK</v>
      </c>
    </row>
    <row r="40" spans="1:15" ht="16.5" customHeight="1" x14ac:dyDescent="0.25">
      <c r="A40" s="74">
        <f>IF('1 day'!A40&lt;&gt;"",'1 day'!A40,"")</f>
        <v>36</v>
      </c>
      <c r="B40" s="378">
        <v>37</v>
      </c>
      <c r="C40" s="75">
        <v>44</v>
      </c>
      <c r="D40" s="67">
        <v>12.25</v>
      </c>
      <c r="E40" s="67">
        <v>7.15</v>
      </c>
      <c r="F40" s="68">
        <v>2</v>
      </c>
      <c r="G40" s="69">
        <v>24</v>
      </c>
      <c r="H40" s="101"/>
      <c r="I40" s="68"/>
      <c r="J40" s="128"/>
      <c r="K40" s="68"/>
      <c r="L40" s="122"/>
      <c r="M40" s="80"/>
      <c r="N40" s="122"/>
      <c r="O40" s="45" t="str">
        <f>IF(B40=('14 days'!B40-(SUM(I40,K40,M40))),"OK","verificar")</f>
        <v>OK</v>
      </c>
    </row>
    <row r="41" spans="1:15" ht="16.5" customHeight="1" x14ac:dyDescent="0.25">
      <c r="A41" s="74">
        <f>IF('1 day'!A41&lt;&gt;"",'1 day'!A41,"")</f>
        <v>37</v>
      </c>
      <c r="B41" s="378">
        <v>39</v>
      </c>
      <c r="C41" s="75">
        <v>42.45</v>
      </c>
      <c r="D41" s="67">
        <v>12.65</v>
      </c>
      <c r="E41" s="67">
        <v>7.4</v>
      </c>
      <c r="F41" s="68">
        <v>2</v>
      </c>
      <c r="G41" s="69">
        <v>24</v>
      </c>
      <c r="H41" s="101"/>
      <c r="I41" s="68"/>
      <c r="J41" s="128"/>
      <c r="K41" s="68">
        <v>1</v>
      </c>
      <c r="L41" s="122">
        <v>0.6</v>
      </c>
      <c r="M41" s="80"/>
      <c r="N41" s="122"/>
      <c r="O41" s="45" t="str">
        <f>IF(B41=('14 days'!B41-(SUM(I41,K41,M41))),"OK","verificar")</f>
        <v>OK</v>
      </c>
    </row>
    <row r="42" spans="1:15" ht="16.5" customHeight="1" x14ac:dyDescent="0.25">
      <c r="A42" s="74">
        <f>IF('1 day'!A42&lt;&gt;"",'1 day'!A42,"")</f>
        <v>38</v>
      </c>
      <c r="B42" s="378">
        <v>39</v>
      </c>
      <c r="C42" s="75">
        <v>46.45</v>
      </c>
      <c r="D42" s="67">
        <v>11.7</v>
      </c>
      <c r="E42" s="67">
        <v>5.8</v>
      </c>
      <c r="F42" s="68">
        <v>2</v>
      </c>
      <c r="G42" s="69">
        <v>24</v>
      </c>
      <c r="H42" s="101"/>
      <c r="I42" s="68">
        <v>1</v>
      </c>
      <c r="J42" s="128">
        <v>0.55000000000000004</v>
      </c>
      <c r="K42" s="68"/>
      <c r="L42" s="122"/>
      <c r="M42" s="80"/>
      <c r="N42" s="122"/>
      <c r="O42" s="45" t="str">
        <f>IF(B42=('14 days'!B42-(SUM(I42,K42,M42))),"OK","verificar")</f>
        <v>OK</v>
      </c>
    </row>
    <row r="43" spans="1:15" ht="16.5" customHeight="1" x14ac:dyDescent="0.25">
      <c r="A43" s="74">
        <f>IF('1 day'!A43&lt;&gt;"",'1 day'!A43,"")</f>
        <v>39</v>
      </c>
      <c r="B43" s="378">
        <v>38</v>
      </c>
      <c r="C43" s="75">
        <v>45.85</v>
      </c>
      <c r="D43" s="67">
        <v>11.3</v>
      </c>
      <c r="E43" s="67">
        <v>6.4</v>
      </c>
      <c r="F43" s="68">
        <v>2</v>
      </c>
      <c r="G43" s="69">
        <v>24</v>
      </c>
      <c r="H43" s="101"/>
      <c r="I43" s="68"/>
      <c r="J43" s="128"/>
      <c r="K43" s="68"/>
      <c r="L43" s="122"/>
      <c r="M43" s="80"/>
      <c r="N43" s="122"/>
      <c r="O43" s="45" t="str">
        <f>IF(B43=('14 days'!B43-(SUM(I43,K43,M43))),"OK","verificar")</f>
        <v>OK</v>
      </c>
    </row>
    <row r="44" spans="1:15" ht="16.5" customHeight="1" x14ac:dyDescent="0.25">
      <c r="A44" s="74">
        <f>IF('1 day'!A44&lt;&gt;"",'1 day'!A44,"")</f>
        <v>40</v>
      </c>
      <c r="B44" s="378">
        <v>40</v>
      </c>
      <c r="C44" s="75">
        <v>46.4</v>
      </c>
      <c r="D44" s="67">
        <v>11.15</v>
      </c>
      <c r="E44" s="67">
        <v>6.05</v>
      </c>
      <c r="F44" s="68">
        <v>2</v>
      </c>
      <c r="G44" s="69">
        <v>24</v>
      </c>
      <c r="H44" s="101"/>
      <c r="I44" s="68"/>
      <c r="J44" s="128"/>
      <c r="K44" s="68"/>
      <c r="L44" s="122"/>
      <c r="M44" s="80"/>
      <c r="N44" s="122"/>
      <c r="O44" s="45" t="str">
        <f>IF(B44=('14 days'!B44-(SUM(I44,K44,M44))),"OK","verificar")</f>
        <v>OK</v>
      </c>
    </row>
    <row r="45" spans="1:15" ht="16.5" customHeight="1" x14ac:dyDescent="0.25">
      <c r="A45" s="74">
        <f>IF('1 day'!A45&lt;&gt;"",'1 day'!A45,"")</f>
        <v>41</v>
      </c>
      <c r="B45" s="378">
        <v>40</v>
      </c>
      <c r="C45" s="75">
        <v>47.65</v>
      </c>
      <c r="D45" s="67">
        <v>11.05</v>
      </c>
      <c r="E45" s="67">
        <v>5.25</v>
      </c>
      <c r="F45" s="68">
        <v>2</v>
      </c>
      <c r="G45" s="69">
        <v>24</v>
      </c>
      <c r="H45" s="101"/>
      <c r="I45" s="68"/>
      <c r="J45" s="128"/>
      <c r="K45" s="68"/>
      <c r="L45" s="122"/>
      <c r="M45" s="80"/>
      <c r="N45" s="122"/>
      <c r="O45" s="45" t="str">
        <f>IF(B45=('14 days'!B45-(SUM(I45,K45,M45))),"OK","verificar")</f>
        <v>OK</v>
      </c>
    </row>
    <row r="46" spans="1:15" ht="16.5" customHeight="1" x14ac:dyDescent="0.25">
      <c r="A46" s="74">
        <f>IF('1 day'!A46&lt;&gt;"",'1 day'!A46,"")</f>
        <v>42</v>
      </c>
      <c r="B46" s="378">
        <v>39</v>
      </c>
      <c r="C46" s="75">
        <v>45.95</v>
      </c>
      <c r="D46" s="67">
        <v>11.3</v>
      </c>
      <c r="E46" s="67">
        <v>6.35</v>
      </c>
      <c r="F46" s="68">
        <v>2</v>
      </c>
      <c r="G46" s="69">
        <v>24</v>
      </c>
      <c r="H46" s="101"/>
      <c r="I46" s="68"/>
      <c r="J46" s="128"/>
      <c r="K46" s="68"/>
      <c r="L46" s="122"/>
      <c r="M46" s="80"/>
      <c r="N46" s="122"/>
      <c r="O46" s="45" t="str">
        <f>IF(B46=('14 days'!B46-(SUM(I46,K46,M46))),"OK","verificar")</f>
        <v>OK</v>
      </c>
    </row>
    <row r="47" spans="1:15" ht="16.5" customHeight="1" x14ac:dyDescent="0.25">
      <c r="A47" s="74">
        <f>IF('1 day'!A47&lt;&gt;"",'1 day'!A47,"")</f>
        <v>43</v>
      </c>
      <c r="B47" s="378">
        <v>38</v>
      </c>
      <c r="C47" s="75">
        <v>45.25</v>
      </c>
      <c r="D47" s="67">
        <v>10.199999999999999</v>
      </c>
      <c r="E47" s="67">
        <v>6.1</v>
      </c>
      <c r="F47" s="68">
        <v>2</v>
      </c>
      <c r="G47" s="69">
        <v>24</v>
      </c>
      <c r="H47" s="101"/>
      <c r="I47" s="68"/>
      <c r="J47" s="128"/>
      <c r="K47" s="68"/>
      <c r="L47" s="122"/>
      <c r="M47" s="80"/>
      <c r="N47" s="122"/>
      <c r="O47" s="45" t="str">
        <f>IF(B47=('14 days'!B47-(SUM(I47,K47,M47))),"OK","verificar")</f>
        <v>OK</v>
      </c>
    </row>
    <row r="48" spans="1:15" ht="16.5" customHeight="1" x14ac:dyDescent="0.25">
      <c r="A48" s="74">
        <f>IF('1 day'!A48&lt;&gt;"",'1 day'!A48,"")</f>
        <v>44</v>
      </c>
      <c r="B48" s="378">
        <v>39</v>
      </c>
      <c r="C48" s="75">
        <v>48.3</v>
      </c>
      <c r="D48" s="67">
        <v>9.6999999999999993</v>
      </c>
      <c r="E48" s="67">
        <v>4.9000000000000004</v>
      </c>
      <c r="F48" s="68">
        <v>2</v>
      </c>
      <c r="G48" s="69">
        <v>24</v>
      </c>
      <c r="H48" s="101"/>
      <c r="I48" s="68"/>
      <c r="J48" s="101"/>
      <c r="K48" s="68"/>
      <c r="L48" s="122"/>
      <c r="M48" s="80"/>
      <c r="N48" s="122"/>
      <c r="O48" s="45" t="str">
        <f>IF(B48=('14 days'!B48-(SUM(I48,K48,M48))),"OK","verificar")</f>
        <v>OK</v>
      </c>
    </row>
    <row r="49" spans="1:15" ht="16.5" customHeight="1" x14ac:dyDescent="0.25">
      <c r="A49" s="74">
        <f>IF('1 day'!A49&lt;&gt;"",'1 day'!A49,"")</f>
        <v>45</v>
      </c>
      <c r="B49" s="378">
        <v>40</v>
      </c>
      <c r="C49" s="75">
        <v>46.75</v>
      </c>
      <c r="D49" s="67">
        <v>10.85</v>
      </c>
      <c r="E49" s="67">
        <v>5.9</v>
      </c>
      <c r="F49" s="68">
        <v>2</v>
      </c>
      <c r="G49" s="69">
        <v>24</v>
      </c>
      <c r="H49" s="101"/>
      <c r="I49" s="68"/>
      <c r="J49" s="128"/>
      <c r="K49" s="68"/>
      <c r="L49" s="122"/>
      <c r="M49" s="80"/>
      <c r="N49" s="122"/>
      <c r="O49" s="45" t="str">
        <f>IF(B49=('14 days'!B49-(SUM(I49,K49,M49))),"OK","verificar")</f>
        <v>OK</v>
      </c>
    </row>
    <row r="50" spans="1:15" ht="16.5" customHeight="1" x14ac:dyDescent="0.25">
      <c r="A50" s="74">
        <f>IF('1 day'!A50&lt;&gt;"",'1 day'!A50,"")</f>
        <v>46</v>
      </c>
      <c r="B50" s="378">
        <v>39</v>
      </c>
      <c r="C50" s="75">
        <v>47.95</v>
      </c>
      <c r="D50" s="67">
        <v>10.45</v>
      </c>
      <c r="E50" s="67">
        <v>5.35</v>
      </c>
      <c r="F50" s="68">
        <v>2</v>
      </c>
      <c r="G50" s="69">
        <v>24</v>
      </c>
      <c r="H50" s="101"/>
      <c r="I50" s="68"/>
      <c r="J50" s="128"/>
      <c r="K50" s="68"/>
      <c r="L50" s="122"/>
      <c r="M50" s="80"/>
      <c r="N50" s="122"/>
      <c r="O50" s="45" t="str">
        <f>IF(B50=('14 days'!B50-(SUM(I50,K50,M50))),"OK","verificar")</f>
        <v>OK</v>
      </c>
    </row>
    <row r="51" spans="1:15" ht="16.5" customHeight="1" x14ac:dyDescent="0.25">
      <c r="A51" s="74">
        <f>IF('1 day'!A51&lt;&gt;"",'1 day'!A51,"")</f>
        <v>47</v>
      </c>
      <c r="B51" s="378">
        <v>40</v>
      </c>
      <c r="C51" s="75">
        <v>45.7</v>
      </c>
      <c r="D51" s="67">
        <v>12.45</v>
      </c>
      <c r="E51" s="67">
        <v>5.65</v>
      </c>
      <c r="F51" s="68">
        <v>2</v>
      </c>
      <c r="G51" s="69">
        <v>24</v>
      </c>
      <c r="H51" s="101"/>
      <c r="I51" s="68"/>
      <c r="J51" s="128"/>
      <c r="K51" s="68"/>
      <c r="L51" s="122"/>
      <c r="M51" s="80"/>
      <c r="N51" s="122"/>
      <c r="O51" s="45" t="str">
        <f>IF(B51=('14 days'!B51-(SUM(I51,K51,M51))),"OK","verificar")</f>
        <v>OK</v>
      </c>
    </row>
    <row r="52" spans="1:15" ht="16.5" customHeight="1" x14ac:dyDescent="0.25">
      <c r="A52" s="74">
        <f>IF('1 day'!A52&lt;&gt;"",'1 day'!A52,"")</f>
        <v>48</v>
      </c>
      <c r="B52" s="378">
        <v>38</v>
      </c>
      <c r="C52" s="75">
        <v>44.75</v>
      </c>
      <c r="D52" s="67">
        <v>11.5</v>
      </c>
      <c r="E52" s="67">
        <v>6.65</v>
      </c>
      <c r="F52" s="68">
        <v>2</v>
      </c>
      <c r="G52" s="69">
        <v>24</v>
      </c>
      <c r="H52" s="101"/>
      <c r="I52" s="68"/>
      <c r="J52" s="128"/>
      <c r="K52" s="68"/>
      <c r="L52" s="122"/>
      <c r="M52" s="80"/>
      <c r="N52" s="122"/>
      <c r="O52" s="45" t="str">
        <f>IF(B52=('14 days'!B52-(SUM(I52,K52,M52))),"OK","verificar")</f>
        <v>OK</v>
      </c>
    </row>
    <row r="53" spans="1:15" ht="16.5" customHeight="1" x14ac:dyDescent="0.25">
      <c r="A53" s="74">
        <f>IF('1 day'!A53&lt;&gt;"",'1 day'!A53,"")</f>
        <v>49</v>
      </c>
      <c r="B53" s="378">
        <v>39</v>
      </c>
      <c r="C53" s="75">
        <v>45.9</v>
      </c>
      <c r="D53" s="67">
        <v>11.7</v>
      </c>
      <c r="E53" s="67">
        <v>5.55</v>
      </c>
      <c r="F53" s="68">
        <v>2</v>
      </c>
      <c r="G53" s="69">
        <v>24</v>
      </c>
      <c r="H53" s="101"/>
      <c r="I53" s="68"/>
      <c r="J53" s="128"/>
      <c r="K53" s="68"/>
      <c r="L53" s="122"/>
      <c r="M53" s="80"/>
      <c r="N53" s="122"/>
      <c r="O53" s="45" t="str">
        <f>IF(B53=('14 days'!B53-(SUM(I53,K53,M53))),"OK","verificar")</f>
        <v>OK</v>
      </c>
    </row>
    <row r="54" spans="1:15" ht="16.5" customHeight="1" x14ac:dyDescent="0.25">
      <c r="A54" s="74">
        <f>IF('1 day'!A54&lt;&gt;"",'1 day'!A54,"")</f>
        <v>50</v>
      </c>
      <c r="B54" s="378">
        <v>38</v>
      </c>
      <c r="C54" s="75">
        <v>45.7</v>
      </c>
      <c r="D54" s="67">
        <v>11.4</v>
      </c>
      <c r="E54" s="67">
        <v>6.85</v>
      </c>
      <c r="F54" s="68">
        <v>2</v>
      </c>
      <c r="G54" s="69">
        <v>24</v>
      </c>
      <c r="H54" s="101"/>
      <c r="I54" s="68"/>
      <c r="J54" s="128"/>
      <c r="K54" s="68"/>
      <c r="L54" s="122"/>
      <c r="M54" s="80"/>
      <c r="N54" s="122"/>
      <c r="O54" s="45" t="str">
        <f>IF(B54=('14 days'!B54-(SUM(I54,K54,M54))),"OK","verificar")</f>
        <v>OK</v>
      </c>
    </row>
    <row r="55" spans="1:15" ht="16.5" customHeight="1" x14ac:dyDescent="0.25">
      <c r="A55" s="74">
        <f>IF('1 day'!A55&lt;&gt;"",'1 day'!A55,"")</f>
        <v>51</v>
      </c>
      <c r="B55" s="378">
        <v>40</v>
      </c>
      <c r="C55" s="75">
        <v>45.7</v>
      </c>
      <c r="D55" s="67">
        <v>11.5</v>
      </c>
      <c r="E55" s="67">
        <v>6.25</v>
      </c>
      <c r="F55" s="68">
        <v>2</v>
      </c>
      <c r="G55" s="69">
        <v>24</v>
      </c>
      <c r="H55" s="101"/>
      <c r="I55" s="68"/>
      <c r="J55" s="128"/>
      <c r="K55" s="68"/>
      <c r="L55" s="122"/>
      <c r="M55" s="80"/>
      <c r="N55" s="122"/>
      <c r="O55" s="45" t="str">
        <f>IF(B55=('14 days'!B55-(SUM(I55,K55,M55))),"OK","verificar")</f>
        <v>OK</v>
      </c>
    </row>
    <row r="56" spans="1:15" ht="16.5" customHeight="1" x14ac:dyDescent="0.25">
      <c r="A56" s="74">
        <f>IF('1 day'!A56&lt;&gt;"",'1 day'!A56,"")</f>
        <v>52</v>
      </c>
      <c r="B56" s="378">
        <v>39</v>
      </c>
      <c r="C56" s="75">
        <v>46.45</v>
      </c>
      <c r="D56" s="67">
        <v>11.45</v>
      </c>
      <c r="E56" s="67">
        <v>5.5</v>
      </c>
      <c r="F56" s="68">
        <v>2</v>
      </c>
      <c r="G56" s="69">
        <v>24</v>
      </c>
      <c r="H56" s="101"/>
      <c r="I56" s="68"/>
      <c r="J56" s="128"/>
      <c r="K56" s="68"/>
      <c r="L56" s="122"/>
      <c r="M56" s="80"/>
      <c r="N56" s="122"/>
      <c r="O56" s="45" t="str">
        <f>IF(B56=('14 days'!B56-(SUM(I56,K56,M56))),"OK","verificar")</f>
        <v>OK</v>
      </c>
    </row>
    <row r="57" spans="1:15" ht="16.5" customHeight="1" x14ac:dyDescent="0.25">
      <c r="A57" s="74">
        <f>IF('1 day'!A57&lt;&gt;"",'1 day'!A57,"")</f>
        <v>53</v>
      </c>
      <c r="B57" s="378">
        <v>39</v>
      </c>
      <c r="C57" s="75">
        <v>45.7</v>
      </c>
      <c r="D57" s="67">
        <v>11.6</v>
      </c>
      <c r="E57" s="67">
        <v>6.15</v>
      </c>
      <c r="F57" s="68">
        <v>2</v>
      </c>
      <c r="G57" s="69">
        <v>24</v>
      </c>
      <c r="H57" s="101"/>
      <c r="I57" s="68"/>
      <c r="J57" s="128"/>
      <c r="K57" s="68"/>
      <c r="L57" s="122"/>
      <c r="M57" s="80"/>
      <c r="N57" s="122"/>
      <c r="O57" s="45" t="str">
        <f>IF(B57=('14 days'!B57-(SUM(I57,K57,M57))),"OK","verificar")</f>
        <v>OK</v>
      </c>
    </row>
    <row r="58" spans="1:15" ht="16.5" customHeight="1" x14ac:dyDescent="0.25">
      <c r="A58" s="74">
        <f>IF('1 day'!A58&lt;&gt;"",'1 day'!A58,"")</f>
        <v>54</v>
      </c>
      <c r="B58" s="378">
        <v>37</v>
      </c>
      <c r="C58" s="75">
        <v>44.8</v>
      </c>
      <c r="D58" s="67">
        <v>12.05</v>
      </c>
      <c r="E58" s="67">
        <v>6.85</v>
      </c>
      <c r="F58" s="68">
        <v>2</v>
      </c>
      <c r="G58" s="69">
        <v>24</v>
      </c>
      <c r="H58" s="101"/>
      <c r="I58" s="68"/>
      <c r="J58" s="128"/>
      <c r="K58" s="68">
        <v>1</v>
      </c>
      <c r="L58" s="122">
        <v>0.45</v>
      </c>
      <c r="M58" s="80"/>
      <c r="N58" s="122"/>
      <c r="O58" s="45" t="str">
        <f>IF(B58=('14 days'!B58-(SUM(I58,K58,M58))),"OK","verificar")</f>
        <v>OK</v>
      </c>
    </row>
    <row r="59" spans="1:15" ht="16.5" customHeight="1" x14ac:dyDescent="0.25">
      <c r="A59" s="74">
        <f>IF('1 day'!A59&lt;&gt;"",'1 day'!A59,"")</f>
        <v>55</v>
      </c>
      <c r="B59" s="378">
        <v>39</v>
      </c>
      <c r="C59" s="75">
        <v>46.25</v>
      </c>
      <c r="D59" s="67">
        <v>10.8</v>
      </c>
      <c r="E59" s="67">
        <v>5.75</v>
      </c>
      <c r="F59" s="68">
        <v>2</v>
      </c>
      <c r="G59" s="69">
        <v>24</v>
      </c>
      <c r="H59" s="101"/>
      <c r="I59" s="68">
        <v>1</v>
      </c>
      <c r="J59" s="128">
        <v>0.43</v>
      </c>
      <c r="K59" s="68"/>
      <c r="L59" s="122"/>
      <c r="M59" s="80"/>
      <c r="N59" s="122"/>
      <c r="O59" s="45" t="str">
        <f>IF(B59=('14 days'!B59-(SUM(I59,K59,M59))),"OK","verificar")</f>
        <v>OK</v>
      </c>
    </row>
    <row r="60" spans="1:15" ht="16.5" customHeight="1" x14ac:dyDescent="0.25">
      <c r="A60" s="74">
        <f>IF('1 day'!A60&lt;&gt;"",'1 day'!A60,"")</f>
        <v>56</v>
      </c>
      <c r="B60" s="378">
        <v>38</v>
      </c>
      <c r="C60" s="75">
        <v>45.3</v>
      </c>
      <c r="D60" s="67">
        <v>10.9</v>
      </c>
      <c r="E60" s="67">
        <v>7.4</v>
      </c>
      <c r="F60" s="68">
        <v>2</v>
      </c>
      <c r="G60" s="69">
        <v>24</v>
      </c>
      <c r="H60" s="101"/>
      <c r="I60" s="68"/>
      <c r="J60" s="128"/>
      <c r="K60" s="68">
        <v>1</v>
      </c>
      <c r="L60" s="122">
        <v>0.45</v>
      </c>
      <c r="M60" s="80"/>
      <c r="N60" s="122"/>
      <c r="O60" s="45" t="str">
        <f>IF(B60=('14 days'!B60-(SUM(I60,K60,M60))),"OK","verificar")</f>
        <v>OK</v>
      </c>
    </row>
    <row r="61" spans="1:15" ht="16.5" customHeight="1" x14ac:dyDescent="0.25">
      <c r="A61" s="74">
        <f>IF('1 day'!A61&lt;&gt;"",'1 day'!A61,"")</f>
        <v>57</v>
      </c>
      <c r="B61" s="378">
        <v>37</v>
      </c>
      <c r="C61" s="75">
        <v>44.55</v>
      </c>
      <c r="D61" s="67">
        <v>12.25</v>
      </c>
      <c r="E61" s="67">
        <v>6.75</v>
      </c>
      <c r="F61" s="68">
        <v>2</v>
      </c>
      <c r="G61" s="69">
        <v>24</v>
      </c>
      <c r="H61" s="101"/>
      <c r="I61" s="68"/>
      <c r="J61" s="128"/>
      <c r="K61" s="68"/>
      <c r="L61" s="122"/>
      <c r="M61" s="80"/>
      <c r="N61" s="122"/>
      <c r="O61" s="45" t="str">
        <f>IF(B61=('14 days'!B61-(SUM(I61,K61,M61))),"OK","verificar")</f>
        <v>OK</v>
      </c>
    </row>
    <row r="62" spans="1:15" ht="16.5" customHeight="1" x14ac:dyDescent="0.25">
      <c r="A62" s="74">
        <f>IF('1 day'!A62&lt;&gt;"",'1 day'!A62,"")</f>
        <v>58</v>
      </c>
      <c r="B62" s="378">
        <v>39</v>
      </c>
      <c r="C62" s="75">
        <v>46.75</v>
      </c>
      <c r="D62" s="67">
        <v>11.75</v>
      </c>
      <c r="E62" s="67">
        <v>5.9</v>
      </c>
      <c r="F62" s="68">
        <v>2</v>
      </c>
      <c r="G62" s="69">
        <v>24</v>
      </c>
      <c r="H62" s="101"/>
      <c r="I62" s="68"/>
      <c r="J62" s="128"/>
      <c r="K62" s="68"/>
      <c r="L62" s="122"/>
      <c r="M62" s="80"/>
      <c r="N62" s="122"/>
      <c r="O62" s="45" t="str">
        <f>IF(B62=('14 days'!B62-(SUM(I62,K62,M62))),"OK","verificar")</f>
        <v>OK</v>
      </c>
    </row>
    <row r="63" spans="1:15" ht="16.5" customHeight="1" x14ac:dyDescent="0.25">
      <c r="A63" s="74">
        <f>IF('1 day'!A63&lt;&gt;"",'1 day'!A63,"")</f>
        <v>59</v>
      </c>
      <c r="B63" s="378">
        <v>40</v>
      </c>
      <c r="C63" s="75">
        <v>46.7</v>
      </c>
      <c r="D63" s="67">
        <v>11.8</v>
      </c>
      <c r="E63" s="67">
        <v>5.55</v>
      </c>
      <c r="F63" s="68">
        <v>2</v>
      </c>
      <c r="G63" s="69">
        <v>24</v>
      </c>
      <c r="H63" s="101"/>
      <c r="I63" s="68"/>
      <c r="J63" s="128"/>
      <c r="K63" s="68"/>
      <c r="L63" s="122"/>
      <c r="M63" s="80"/>
      <c r="N63" s="122"/>
      <c r="O63" s="45" t="str">
        <f>IF(B63=('14 days'!B63-(SUM(I63,K63,M63))),"OK","verificar")</f>
        <v>OK</v>
      </c>
    </row>
    <row r="64" spans="1:15" ht="16.5" customHeight="1" x14ac:dyDescent="0.25">
      <c r="A64" s="74">
        <f>IF('1 day'!A64&lt;&gt;"",'1 day'!A64,"")</f>
        <v>60</v>
      </c>
      <c r="B64" s="378">
        <v>39</v>
      </c>
      <c r="C64" s="75">
        <v>47</v>
      </c>
      <c r="D64" s="67">
        <v>10.85</v>
      </c>
      <c r="E64" s="67">
        <v>5.7</v>
      </c>
      <c r="F64" s="68">
        <v>2</v>
      </c>
      <c r="G64" s="69">
        <v>24</v>
      </c>
      <c r="H64" s="101"/>
      <c r="I64" s="68"/>
      <c r="J64" s="128"/>
      <c r="K64" s="68">
        <v>1</v>
      </c>
      <c r="L64" s="122">
        <v>0.4</v>
      </c>
      <c r="M64" s="80"/>
      <c r="N64" s="122"/>
      <c r="O64" s="45" t="str">
        <f>IF(B64=('14 days'!B64-(SUM(I64,K64,M64))),"OK","verificar")</f>
        <v>OK</v>
      </c>
    </row>
    <row r="65" spans="1:15" ht="16.5" customHeight="1" x14ac:dyDescent="0.25">
      <c r="A65" s="74">
        <f>IF('1 day'!A65&lt;&gt;"",'1 day'!A65,"")</f>
        <v>61</v>
      </c>
      <c r="B65" s="378">
        <v>37</v>
      </c>
      <c r="C65" s="75">
        <v>45.95</v>
      </c>
      <c r="D65" s="67">
        <v>11.3</v>
      </c>
      <c r="E65" s="67">
        <v>6.3</v>
      </c>
      <c r="F65" s="68">
        <v>2</v>
      </c>
      <c r="G65" s="69">
        <v>24</v>
      </c>
      <c r="H65" s="101"/>
      <c r="I65" s="68"/>
      <c r="J65" s="128"/>
      <c r="K65" s="68"/>
      <c r="L65" s="122"/>
      <c r="M65" s="80"/>
      <c r="N65" s="122"/>
      <c r="O65" s="45" t="str">
        <f>IF(B65=('14 days'!B65-(SUM(I65,K65,M65))),"OK","verificar")</f>
        <v>OK</v>
      </c>
    </row>
    <row r="66" spans="1:15" ht="16.5" customHeight="1" x14ac:dyDescent="0.25">
      <c r="A66" s="74">
        <f>IF('1 day'!A66&lt;&gt;"",'1 day'!A66,"")</f>
        <v>62</v>
      </c>
      <c r="B66" s="378">
        <v>38</v>
      </c>
      <c r="C66" s="75">
        <v>46.3</v>
      </c>
      <c r="D66" s="67">
        <v>11.45</v>
      </c>
      <c r="E66" s="67">
        <v>6</v>
      </c>
      <c r="F66" s="68">
        <v>2</v>
      </c>
      <c r="G66" s="69">
        <v>24</v>
      </c>
      <c r="H66" s="101"/>
      <c r="I66" s="68">
        <v>2</v>
      </c>
      <c r="J66" s="128">
        <v>0.74</v>
      </c>
      <c r="K66" s="68"/>
      <c r="L66" s="122"/>
      <c r="M66" s="80"/>
      <c r="N66" s="122"/>
      <c r="O66" s="45" t="str">
        <f>IF(B66=('14 days'!B66-(SUM(I66,K66,M66))),"OK","verificar")</f>
        <v>OK</v>
      </c>
    </row>
    <row r="67" spans="1:15" ht="16.5" customHeight="1" x14ac:dyDescent="0.25">
      <c r="A67" s="74">
        <f>IF('1 day'!A67&lt;&gt;"",'1 day'!A67,"")</f>
        <v>63</v>
      </c>
      <c r="B67" s="378">
        <v>39</v>
      </c>
      <c r="C67" s="75">
        <v>47.85</v>
      </c>
      <c r="D67" s="67">
        <v>11.35</v>
      </c>
      <c r="E67" s="67">
        <v>5.15</v>
      </c>
      <c r="F67" s="68">
        <v>2</v>
      </c>
      <c r="G67" s="69">
        <v>24</v>
      </c>
      <c r="H67" s="101"/>
      <c r="I67" s="68"/>
      <c r="J67" s="128"/>
      <c r="K67" s="68"/>
      <c r="L67" s="122"/>
      <c r="M67" s="80"/>
      <c r="N67" s="122"/>
      <c r="O67" s="45" t="str">
        <f>IF(B67=('14 days'!B67-(SUM(I67,K67,M67))),"OK","verificar")</f>
        <v>OK</v>
      </c>
    </row>
    <row r="68" spans="1:15" ht="16.5" customHeight="1" x14ac:dyDescent="0.25">
      <c r="A68" s="74">
        <f>IF('1 day'!A68&lt;&gt;"",'1 day'!A68,"")</f>
        <v>64</v>
      </c>
      <c r="B68" s="378">
        <v>37</v>
      </c>
      <c r="C68" s="75">
        <v>45.15</v>
      </c>
      <c r="D68" s="67">
        <v>11.95</v>
      </c>
      <c r="E68" s="67">
        <v>6.05</v>
      </c>
      <c r="F68" s="68">
        <v>2</v>
      </c>
      <c r="G68" s="69">
        <v>24</v>
      </c>
      <c r="H68" s="101"/>
      <c r="I68" s="68"/>
      <c r="J68" s="128"/>
      <c r="K68" s="68">
        <v>1</v>
      </c>
      <c r="L68" s="122">
        <v>0.7</v>
      </c>
      <c r="M68" s="80"/>
      <c r="N68" s="122"/>
      <c r="O68" s="45" t="str">
        <f>IF(B68=('14 days'!B68-(SUM(I68,K68,M68))),"OK","verificar")</f>
        <v>OK</v>
      </c>
    </row>
    <row r="69" spans="1:15" ht="16.5" customHeight="1" x14ac:dyDescent="0.25">
      <c r="A69" s="74">
        <f>IF('1 day'!A69&lt;&gt;"",'1 day'!A69,"")</f>
        <v>65</v>
      </c>
      <c r="B69" s="378">
        <v>38</v>
      </c>
      <c r="C69" s="75">
        <v>47.1</v>
      </c>
      <c r="D69" s="67">
        <v>9</v>
      </c>
      <c r="E69" s="67">
        <v>6.1</v>
      </c>
      <c r="F69" s="68">
        <v>2</v>
      </c>
      <c r="G69" s="69">
        <v>24</v>
      </c>
      <c r="H69" s="101"/>
      <c r="I69" s="68"/>
      <c r="J69" s="128"/>
      <c r="K69" s="68"/>
      <c r="L69" s="122"/>
      <c r="M69" s="80"/>
      <c r="N69" s="122"/>
      <c r="O69" s="45" t="str">
        <f>IF(B69=('14 days'!B69-(SUM(I69,K69,M69))),"OK","verificar")</f>
        <v>OK</v>
      </c>
    </row>
    <row r="70" spans="1:15" ht="16.5" customHeight="1" thickBot="1" x14ac:dyDescent="0.3">
      <c r="A70" s="82">
        <f>IF('1 day'!A70&lt;&gt;"",'1 day'!A70,"")</f>
        <v>66</v>
      </c>
      <c r="B70" s="379">
        <v>38</v>
      </c>
      <c r="C70" s="83">
        <v>47.4</v>
      </c>
      <c r="D70" s="84">
        <v>10.6</v>
      </c>
      <c r="E70" s="84">
        <v>5.75</v>
      </c>
      <c r="F70" s="85">
        <v>2</v>
      </c>
      <c r="G70" s="86">
        <v>24</v>
      </c>
      <c r="H70" s="105"/>
      <c r="I70" s="85">
        <v>1</v>
      </c>
      <c r="J70" s="105">
        <v>0.49</v>
      </c>
      <c r="K70" s="85"/>
      <c r="L70" s="123"/>
      <c r="M70" s="89"/>
      <c r="N70" s="123"/>
      <c r="O70" s="45" t="str">
        <f>IF(B70=('14 days'!B70-(SUM(I70,K70,M70))),"OK","verificar")</f>
        <v>OK</v>
      </c>
    </row>
  </sheetData>
  <protectedRanges>
    <protectedRange sqref="A5:B14" name="Intervalo9"/>
    <protectedRange sqref="C5:N70" name="Intervalo8_1"/>
    <protectedRange sqref="C3:E3" name="Intervalo1_1_1_1"/>
    <protectedRange sqref="H2" name="Intervalo1_1"/>
  </protectedRanges>
  <mergeCells count="6">
    <mergeCell ref="C1:N1"/>
    <mergeCell ref="A2:A3"/>
    <mergeCell ref="I2:J3"/>
    <mergeCell ref="K2:N3"/>
    <mergeCell ref="F2:G2"/>
    <mergeCell ref="F3:H3"/>
  </mergeCells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4"/>
  <dimension ref="A1:P71"/>
  <sheetViews>
    <sheetView zoomScaleNormal="100" workbookViewId="0">
      <pane xSplit="1" ySplit="4" topLeftCell="B20" activePane="bottomRight" state="frozen"/>
      <selection activeCell="B5" sqref="B5"/>
      <selection pane="topRight" activeCell="B5" sqref="B5"/>
      <selection pane="bottomLeft" activeCell="B5" sqref="B5"/>
      <selection pane="bottomRight" activeCell="B39" sqref="B39"/>
    </sheetView>
  </sheetViews>
  <sheetFormatPr defaultRowHeight="16.5" customHeight="1" x14ac:dyDescent="0.25"/>
  <cols>
    <col min="1" max="1" width="7.7109375" style="45" customWidth="1"/>
    <col min="2" max="2" width="10.7109375" style="45" bestFit="1" customWidth="1"/>
    <col min="3" max="4" width="7.7109375" style="45" customWidth="1"/>
    <col min="5" max="6" width="14.85546875" style="45" customWidth="1"/>
    <col min="7" max="8" width="12.7109375" style="45" customWidth="1"/>
    <col min="9" max="9" width="12.28515625" style="45" bestFit="1" customWidth="1"/>
    <col min="10" max="10" width="12.7109375" style="45" customWidth="1"/>
    <col min="11" max="11" width="9.7109375" style="45" customWidth="1"/>
    <col min="12" max="12" width="12.7109375" style="45" customWidth="1"/>
    <col min="13" max="13" width="10.28515625" style="45" bestFit="1" customWidth="1"/>
    <col min="14" max="14" width="12.7109375" style="45" customWidth="1"/>
    <col min="15" max="16384" width="9.140625" style="45"/>
  </cols>
  <sheetData>
    <row r="1" spans="1:16" ht="30" customHeight="1" thickBot="1" x14ac:dyDescent="0.3">
      <c r="A1" s="43" t="s">
        <v>42</v>
      </c>
      <c r="B1" s="464">
        <v>43561</v>
      </c>
      <c r="C1" s="512" t="s">
        <v>98</v>
      </c>
      <c r="D1" s="513"/>
      <c r="E1" s="513"/>
      <c r="F1" s="513"/>
      <c r="G1" s="513"/>
      <c r="H1" s="513"/>
      <c r="I1" s="513"/>
      <c r="J1" s="513"/>
      <c r="K1" s="513"/>
      <c r="L1" s="513"/>
      <c r="M1" s="513"/>
      <c r="N1" s="513"/>
      <c r="O1" s="514"/>
    </row>
    <row r="2" spans="1:16" ht="16.5" customHeight="1" thickBot="1" x14ac:dyDescent="0.3">
      <c r="A2" s="528"/>
      <c r="B2" s="369"/>
      <c r="C2" s="525" t="s">
        <v>57</v>
      </c>
      <c r="D2" s="527"/>
      <c r="E2" s="46" t="s">
        <v>48</v>
      </c>
      <c r="F2" s="201" t="s">
        <v>49</v>
      </c>
      <c r="G2" s="525" t="s">
        <v>74</v>
      </c>
      <c r="H2" s="527"/>
      <c r="I2" s="202">
        <v>155</v>
      </c>
      <c r="J2" s="521" t="s">
        <v>33</v>
      </c>
      <c r="K2" s="522"/>
      <c r="L2" s="530" t="s">
        <v>50</v>
      </c>
      <c r="M2" s="531"/>
      <c r="N2" s="531"/>
      <c r="O2" s="532"/>
    </row>
    <row r="3" spans="1:16" ht="16.5" customHeight="1" thickBot="1" x14ac:dyDescent="0.3">
      <c r="A3" s="529"/>
      <c r="B3" s="370"/>
      <c r="C3" s="538">
        <v>16.600000000000001</v>
      </c>
      <c r="D3" s="539"/>
      <c r="E3" s="50">
        <v>0.3</v>
      </c>
      <c r="F3" s="51">
        <v>1.85</v>
      </c>
      <c r="G3" s="525" t="s">
        <v>32</v>
      </c>
      <c r="H3" s="526"/>
      <c r="I3" s="527"/>
      <c r="J3" s="523"/>
      <c r="K3" s="524"/>
      <c r="L3" s="533"/>
      <c r="M3" s="534"/>
      <c r="N3" s="534"/>
      <c r="O3" s="535"/>
    </row>
    <row r="4" spans="1:16" s="64" customFormat="1" ht="35.25" customHeight="1" thickBot="1" x14ac:dyDescent="0.3">
      <c r="A4" s="53" t="s">
        <v>0</v>
      </c>
      <c r="B4" s="55" t="s">
        <v>100</v>
      </c>
      <c r="C4" s="536" t="s">
        <v>54</v>
      </c>
      <c r="D4" s="537"/>
      <c r="E4" s="55" t="s">
        <v>55</v>
      </c>
      <c r="F4" s="55" t="s">
        <v>56</v>
      </c>
      <c r="G4" s="56" t="s">
        <v>40</v>
      </c>
      <c r="H4" s="57" t="s">
        <v>39</v>
      </c>
      <c r="I4" s="58" t="s">
        <v>41</v>
      </c>
      <c r="J4" s="56" t="s">
        <v>34</v>
      </c>
      <c r="K4" s="54" t="s">
        <v>35</v>
      </c>
      <c r="L4" s="59" t="s">
        <v>51</v>
      </c>
      <c r="M4" s="54" t="s">
        <v>35</v>
      </c>
      <c r="N4" s="57" t="s">
        <v>52</v>
      </c>
      <c r="O4" s="54" t="s">
        <v>35</v>
      </c>
    </row>
    <row r="5" spans="1:16" ht="16.5" customHeight="1" x14ac:dyDescent="0.25">
      <c r="A5" s="65">
        <f>IF('1 day'!A5&lt;&gt;"",'1 day'!A5,"")</f>
        <v>1</v>
      </c>
      <c r="B5" s="378">
        <v>39</v>
      </c>
      <c r="C5" s="366">
        <v>43.15</v>
      </c>
      <c r="D5" s="363">
        <v>46.06</v>
      </c>
      <c r="E5" s="67">
        <v>7.5</v>
      </c>
      <c r="F5" s="67">
        <v>3.9</v>
      </c>
      <c r="G5" s="68"/>
      <c r="H5" s="69"/>
      <c r="I5" s="70"/>
      <c r="J5" s="68"/>
      <c r="K5" s="122"/>
      <c r="L5" s="72">
        <v>1</v>
      </c>
      <c r="M5" s="120">
        <v>1.05</v>
      </c>
      <c r="N5" s="73"/>
      <c r="O5" s="120"/>
      <c r="P5" s="45" t="str">
        <f>IF(B5=('23 days'!B5-(SUM(J5,L5,N5))),"OK","verificar")</f>
        <v>OK</v>
      </c>
    </row>
    <row r="6" spans="1:16" ht="16.5" customHeight="1" x14ac:dyDescent="0.25">
      <c r="A6" s="74">
        <f>IF('1 day'!A6&lt;&gt;"",'1 day'!A6,"")</f>
        <v>2</v>
      </c>
      <c r="B6" s="378">
        <v>39</v>
      </c>
      <c r="C6" s="367">
        <v>41.55</v>
      </c>
      <c r="D6" s="364">
        <v>48.25</v>
      </c>
      <c r="E6" s="67">
        <v>7.2</v>
      </c>
      <c r="F6" s="67">
        <v>4.6500000000000004</v>
      </c>
      <c r="G6" s="68"/>
      <c r="H6" s="69"/>
      <c r="I6" s="70"/>
      <c r="J6" s="68"/>
      <c r="K6" s="122"/>
      <c r="L6" s="76">
        <v>1</v>
      </c>
      <c r="M6" s="121">
        <v>1</v>
      </c>
      <c r="N6" s="77"/>
      <c r="O6" s="121"/>
      <c r="P6" s="45" t="str">
        <f>IF(B6=('23 days'!B6-(SUM(J6,L6,N6))),"OK","verificar")</f>
        <v>OK</v>
      </c>
    </row>
    <row r="7" spans="1:16" ht="16.5" customHeight="1" x14ac:dyDescent="0.25">
      <c r="A7" s="74">
        <f>IF('1 day'!A7&lt;&gt;"",'1 day'!A7,"")</f>
        <v>3</v>
      </c>
      <c r="B7" s="378">
        <v>36</v>
      </c>
      <c r="C7" s="367">
        <v>41.3</v>
      </c>
      <c r="D7" s="364">
        <v>43.45</v>
      </c>
      <c r="E7" s="67">
        <v>10</v>
      </c>
      <c r="F7" s="67">
        <v>6.3</v>
      </c>
      <c r="G7" s="68"/>
      <c r="H7" s="69"/>
      <c r="I7" s="70"/>
      <c r="J7" s="68"/>
      <c r="K7" s="122"/>
      <c r="L7" s="76"/>
      <c r="M7" s="121"/>
      <c r="N7" s="77"/>
      <c r="O7" s="121"/>
      <c r="P7" s="45" t="str">
        <f>IF(B7=('23 days'!B7-(SUM(J7,L7,N7))),"OK","verificar")</f>
        <v>OK</v>
      </c>
    </row>
    <row r="8" spans="1:16" ht="16.5" customHeight="1" x14ac:dyDescent="0.25">
      <c r="A8" s="74">
        <f>IF('1 day'!A8&lt;&gt;"",'1 day'!A8,"")</f>
        <v>4</v>
      </c>
      <c r="B8" s="378">
        <v>39</v>
      </c>
      <c r="C8" s="367">
        <v>50.9</v>
      </c>
      <c r="D8" s="364">
        <v>41.7</v>
      </c>
      <c r="E8" s="67">
        <v>5.15</v>
      </c>
      <c r="F8" s="67">
        <v>3.2</v>
      </c>
      <c r="G8" s="68"/>
      <c r="H8" s="69"/>
      <c r="I8" s="70"/>
      <c r="J8" s="68"/>
      <c r="K8" s="122"/>
      <c r="L8" s="76"/>
      <c r="M8" s="122"/>
      <c r="N8" s="77"/>
      <c r="O8" s="122"/>
      <c r="P8" s="45" t="str">
        <f>IF(B8=('23 days'!B8-(SUM(J8,L8,N8))),"OK","verificar")</f>
        <v>OK</v>
      </c>
    </row>
    <row r="9" spans="1:16" ht="16.5" customHeight="1" x14ac:dyDescent="0.25">
      <c r="A9" s="74">
        <f>IF('1 day'!A9&lt;&gt;"",'1 day'!A9,"")</f>
        <v>5</v>
      </c>
      <c r="B9" s="378">
        <v>39</v>
      </c>
      <c r="C9" s="367">
        <v>43.4</v>
      </c>
      <c r="D9" s="364">
        <v>47.2</v>
      </c>
      <c r="E9" s="67">
        <v>6.3</v>
      </c>
      <c r="F9" s="67">
        <v>3.1</v>
      </c>
      <c r="G9" s="68"/>
      <c r="H9" s="69"/>
      <c r="I9" s="70"/>
      <c r="J9" s="68"/>
      <c r="K9" s="122"/>
      <c r="L9" s="76">
        <v>1</v>
      </c>
      <c r="M9" s="121">
        <v>1.1000000000000001</v>
      </c>
      <c r="N9" s="77"/>
      <c r="O9" s="121"/>
      <c r="P9" s="45" t="str">
        <f>IF(B9=('23 days'!B9-(SUM(J9,L9,N9))),"OK","verificar")</f>
        <v>OK</v>
      </c>
    </row>
    <row r="10" spans="1:16" ht="16.5" customHeight="1" x14ac:dyDescent="0.25">
      <c r="A10" s="74">
        <f>IF('1 day'!A10&lt;&gt;"",'1 day'!A10,"")</f>
        <v>6</v>
      </c>
      <c r="B10" s="378">
        <v>36</v>
      </c>
      <c r="C10" s="367">
        <v>44.8</v>
      </c>
      <c r="D10" s="364">
        <v>37.85</v>
      </c>
      <c r="E10" s="67">
        <v>11</v>
      </c>
      <c r="F10" s="67">
        <v>5.8</v>
      </c>
      <c r="G10" s="68"/>
      <c r="H10" s="69"/>
      <c r="I10" s="70"/>
      <c r="J10" s="68">
        <v>1</v>
      </c>
      <c r="K10" s="122">
        <v>1.1100000000000001</v>
      </c>
      <c r="L10" s="76">
        <v>1</v>
      </c>
      <c r="M10" s="121">
        <v>1.1000000000000001</v>
      </c>
      <c r="N10" s="77"/>
      <c r="O10" s="121"/>
      <c r="P10" s="45" t="str">
        <f>IF(B10=('23 days'!B10-(SUM(J10,L10,N10))),"OK","verificar")</f>
        <v>OK</v>
      </c>
    </row>
    <row r="11" spans="1:16" ht="16.5" customHeight="1" x14ac:dyDescent="0.25">
      <c r="A11" s="74">
        <f>IF('1 day'!A11&lt;&gt;"",'1 day'!A11,"")</f>
        <v>7</v>
      </c>
      <c r="B11" s="378">
        <v>38</v>
      </c>
      <c r="C11" s="367">
        <v>47.45</v>
      </c>
      <c r="D11" s="364">
        <v>43.8</v>
      </c>
      <c r="E11" s="67">
        <v>6.85</v>
      </c>
      <c r="F11" s="67">
        <v>3.5</v>
      </c>
      <c r="G11" s="68"/>
      <c r="H11" s="69"/>
      <c r="I11" s="70"/>
      <c r="J11" s="68"/>
      <c r="K11" s="122"/>
      <c r="L11" s="76">
        <v>1</v>
      </c>
      <c r="M11" s="121">
        <v>1.05</v>
      </c>
      <c r="N11" s="77"/>
      <c r="O11" s="121"/>
      <c r="P11" s="45" t="str">
        <f>IF(B11=('23 days'!B11-(SUM(J11,L11,N11))),"OK","verificar")</f>
        <v>OK</v>
      </c>
    </row>
    <row r="12" spans="1:16" ht="16.5" customHeight="1" x14ac:dyDescent="0.25">
      <c r="A12" s="74">
        <f>IF('1 day'!A12&lt;&gt;"",'1 day'!A12,"")</f>
        <v>8</v>
      </c>
      <c r="B12" s="378">
        <v>38</v>
      </c>
      <c r="C12" s="367">
        <v>44.55</v>
      </c>
      <c r="D12" s="364">
        <v>42.7</v>
      </c>
      <c r="E12" s="67">
        <v>10.050000000000001</v>
      </c>
      <c r="F12" s="67">
        <v>3.85</v>
      </c>
      <c r="G12" s="68"/>
      <c r="H12" s="69"/>
      <c r="I12" s="70"/>
      <c r="J12" s="68"/>
      <c r="K12" s="122"/>
      <c r="L12" s="68">
        <v>1</v>
      </c>
      <c r="M12" s="122">
        <v>0.75</v>
      </c>
      <c r="N12" s="80"/>
      <c r="O12" s="122"/>
      <c r="P12" s="45" t="str">
        <f>IF(B12=('23 days'!B12-(SUM(J12,L12,N12))),"OK","verificar")</f>
        <v>OK</v>
      </c>
    </row>
    <row r="13" spans="1:16" ht="16.5" customHeight="1" x14ac:dyDescent="0.25">
      <c r="A13" s="74">
        <f>IF('1 day'!A13&lt;&gt;"",'1 day'!A13,"")</f>
        <v>9</v>
      </c>
      <c r="B13" s="378">
        <v>39</v>
      </c>
      <c r="C13" s="367">
        <v>40.85</v>
      </c>
      <c r="D13" s="364">
        <v>45.7</v>
      </c>
      <c r="E13" s="67">
        <v>10.3</v>
      </c>
      <c r="F13" s="67">
        <v>3.85</v>
      </c>
      <c r="G13" s="68"/>
      <c r="H13" s="69"/>
      <c r="I13" s="70"/>
      <c r="J13" s="68"/>
      <c r="K13" s="122"/>
      <c r="L13" s="76">
        <v>1</v>
      </c>
      <c r="M13" s="121">
        <v>1.05</v>
      </c>
      <c r="N13" s="77"/>
      <c r="O13" s="121"/>
      <c r="P13" s="45" t="str">
        <f>IF(B13=('23 days'!B13-(SUM(J13,L13,N13))),"OK","verificar")</f>
        <v>OK</v>
      </c>
    </row>
    <row r="14" spans="1:16" ht="16.5" customHeight="1" x14ac:dyDescent="0.25">
      <c r="A14" s="74">
        <f>IF('1 day'!A14&lt;&gt;"",'1 day'!A14,"")</f>
        <v>10</v>
      </c>
      <c r="B14" s="378">
        <v>37</v>
      </c>
      <c r="C14" s="367">
        <v>55.25</v>
      </c>
      <c r="D14" s="364">
        <v>39.5</v>
      </c>
      <c r="E14" s="67">
        <v>0</v>
      </c>
      <c r="F14" s="67">
        <v>4.3</v>
      </c>
      <c r="G14" s="68"/>
      <c r="H14" s="69"/>
      <c r="I14" s="70"/>
      <c r="J14" s="68"/>
      <c r="K14" s="122"/>
      <c r="L14" s="68">
        <v>1</v>
      </c>
      <c r="M14" s="122">
        <v>1</v>
      </c>
      <c r="N14" s="80"/>
      <c r="O14" s="122"/>
      <c r="P14" s="45" t="str">
        <f>IF(B14=('23 days'!B14-(SUM(J14,L14,N14))),"OK","verificar")</f>
        <v>OK</v>
      </c>
    </row>
    <row r="15" spans="1:16" ht="16.5" customHeight="1" x14ac:dyDescent="0.25">
      <c r="A15" s="74">
        <f>IF('1 day'!A15&lt;&gt;"",'1 day'!A15,"")</f>
        <v>11</v>
      </c>
      <c r="B15" s="378">
        <v>38</v>
      </c>
      <c r="C15" s="367">
        <v>44.9</v>
      </c>
      <c r="D15" s="364">
        <v>38.5</v>
      </c>
      <c r="E15" s="67">
        <v>13.65</v>
      </c>
      <c r="F15" s="67">
        <v>5.95</v>
      </c>
      <c r="G15" s="68"/>
      <c r="H15" s="69"/>
      <c r="I15" s="70"/>
      <c r="J15" s="68"/>
      <c r="K15" s="122"/>
      <c r="L15" s="68">
        <v>1</v>
      </c>
      <c r="M15" s="122">
        <v>1</v>
      </c>
      <c r="N15" s="80"/>
      <c r="O15" s="122"/>
      <c r="P15" s="45" t="str">
        <f>IF(B15=('23 days'!B15-(SUM(J15,L15,N15))),"OK","verificar")</f>
        <v>OK</v>
      </c>
    </row>
    <row r="16" spans="1:16" ht="16.5" customHeight="1" x14ac:dyDescent="0.25">
      <c r="A16" s="74">
        <f>IF('1 day'!A16&lt;&gt;"",'1 day'!A16,"")</f>
        <v>12</v>
      </c>
      <c r="B16" s="378">
        <v>38</v>
      </c>
      <c r="C16" s="367">
        <v>40.9</v>
      </c>
      <c r="D16" s="364">
        <v>45.35</v>
      </c>
      <c r="E16" s="67">
        <v>9.35</v>
      </c>
      <c r="F16" s="67">
        <v>4.3</v>
      </c>
      <c r="G16" s="68"/>
      <c r="H16" s="69"/>
      <c r="I16" s="70"/>
      <c r="J16" s="68"/>
      <c r="K16" s="122"/>
      <c r="L16" s="68">
        <v>1</v>
      </c>
      <c r="M16" s="122">
        <v>1.95</v>
      </c>
      <c r="N16" s="80"/>
      <c r="O16" s="122"/>
      <c r="P16" s="45" t="str">
        <f>IF(B16=('23 days'!B16-(SUM(J16,L16,N16))),"OK","verificar")</f>
        <v>OK</v>
      </c>
    </row>
    <row r="17" spans="1:16" ht="16.5" customHeight="1" x14ac:dyDescent="0.25">
      <c r="A17" s="74">
        <f>IF('1 day'!A17&lt;&gt;"",'1 day'!A17,"")</f>
        <v>13</v>
      </c>
      <c r="B17" s="378">
        <v>38</v>
      </c>
      <c r="C17" s="367">
        <v>44.4</v>
      </c>
      <c r="D17" s="364">
        <v>43.8</v>
      </c>
      <c r="E17" s="67">
        <v>8.35</v>
      </c>
      <c r="F17" s="67">
        <v>4.5999999999999996</v>
      </c>
      <c r="G17" s="68"/>
      <c r="H17" s="69"/>
      <c r="I17" s="70"/>
      <c r="J17" s="68"/>
      <c r="K17" s="122"/>
      <c r="L17" s="68"/>
      <c r="M17" s="122"/>
      <c r="N17" s="80"/>
      <c r="O17" s="122"/>
      <c r="P17" s="45" t="str">
        <f>IF(B17=('23 days'!B17-(SUM(J17,L17,N17))),"OK","verificar")</f>
        <v>OK</v>
      </c>
    </row>
    <row r="18" spans="1:16" ht="16.5" customHeight="1" x14ac:dyDescent="0.25">
      <c r="A18" s="74">
        <f>IF('1 day'!A18&lt;&gt;"",'1 day'!A18,"")</f>
        <v>14</v>
      </c>
      <c r="B18" s="378">
        <v>37</v>
      </c>
      <c r="C18" s="367">
        <v>46.1</v>
      </c>
      <c r="D18" s="364">
        <v>40.700000000000003</v>
      </c>
      <c r="E18" s="67">
        <v>8.6</v>
      </c>
      <c r="F18" s="67">
        <v>3.75</v>
      </c>
      <c r="G18" s="68"/>
      <c r="H18" s="69"/>
      <c r="I18" s="70"/>
      <c r="J18" s="68">
        <v>2</v>
      </c>
      <c r="K18" s="122">
        <v>3.77</v>
      </c>
      <c r="L18" s="68"/>
      <c r="M18" s="122"/>
      <c r="N18" s="80"/>
      <c r="O18" s="122"/>
      <c r="P18" s="45" t="str">
        <f>IF(B18=('23 days'!B18-(SUM(J18,L18,N18))),"OK","verificar")</f>
        <v>OK</v>
      </c>
    </row>
    <row r="19" spans="1:16" ht="16.5" customHeight="1" x14ac:dyDescent="0.25">
      <c r="A19" s="74">
        <f>IF('1 day'!A19&lt;&gt;"",'1 day'!A19,"")</f>
        <v>15</v>
      </c>
      <c r="B19" s="378">
        <v>37</v>
      </c>
      <c r="C19" s="367">
        <v>33.5</v>
      </c>
      <c r="D19" s="364">
        <v>54.2</v>
      </c>
      <c r="E19" s="67">
        <v>9.35</v>
      </c>
      <c r="F19" s="67">
        <v>4.5</v>
      </c>
      <c r="G19" s="68"/>
      <c r="H19" s="69"/>
      <c r="I19" s="70"/>
      <c r="J19" s="68"/>
      <c r="K19" s="122"/>
      <c r="L19" s="68">
        <v>1</v>
      </c>
      <c r="M19" s="122">
        <v>1</v>
      </c>
      <c r="N19" s="80"/>
      <c r="O19" s="122"/>
      <c r="P19" s="45" t="str">
        <f>IF(B19=('23 days'!B19-(SUM(J19,L19,N19))),"OK","verificar")</f>
        <v>OK</v>
      </c>
    </row>
    <row r="20" spans="1:16" ht="16.5" customHeight="1" x14ac:dyDescent="0.25">
      <c r="A20" s="74">
        <f>IF('1 day'!A20&lt;&gt;"",'1 day'!A20,"")</f>
        <v>16</v>
      </c>
      <c r="B20" s="378">
        <v>38</v>
      </c>
      <c r="C20" s="367">
        <v>47.95</v>
      </c>
      <c r="D20" s="364">
        <v>43.05</v>
      </c>
      <c r="E20" s="67">
        <v>6.95</v>
      </c>
      <c r="F20" s="67">
        <v>3.5</v>
      </c>
      <c r="G20" s="68"/>
      <c r="H20" s="69"/>
      <c r="I20" s="70"/>
      <c r="J20" s="68"/>
      <c r="K20" s="122"/>
      <c r="L20" s="68">
        <v>1</v>
      </c>
      <c r="M20" s="122">
        <v>0.95</v>
      </c>
      <c r="N20" s="80"/>
      <c r="O20" s="122"/>
      <c r="P20" s="45" t="str">
        <f>IF(B20=('23 days'!B20-(SUM(J20,L20,N20))),"OK","verificar")</f>
        <v>OK</v>
      </c>
    </row>
    <row r="21" spans="1:16" ht="16.5" customHeight="1" x14ac:dyDescent="0.25">
      <c r="A21" s="74">
        <f>IF('1 day'!A21&lt;&gt;"",'1 day'!A21,"")</f>
        <v>17</v>
      </c>
      <c r="B21" s="378">
        <v>39</v>
      </c>
      <c r="C21" s="367">
        <v>45.6</v>
      </c>
      <c r="D21" s="364">
        <v>42.35</v>
      </c>
      <c r="E21" s="67">
        <v>8.9</v>
      </c>
      <c r="F21" s="67">
        <v>4.5</v>
      </c>
      <c r="G21" s="68"/>
      <c r="H21" s="69"/>
      <c r="I21" s="70"/>
      <c r="J21" s="68"/>
      <c r="K21" s="122"/>
      <c r="L21" s="68">
        <v>1</v>
      </c>
      <c r="M21" s="122">
        <v>1.05</v>
      </c>
      <c r="N21" s="80"/>
      <c r="O21" s="122"/>
      <c r="P21" s="45" t="str">
        <f>IF(B21=('23 days'!B21-(SUM(J21,L21,N21))),"OK","verificar")</f>
        <v>OK</v>
      </c>
    </row>
    <row r="22" spans="1:16" ht="16.5" customHeight="1" x14ac:dyDescent="0.25">
      <c r="A22" s="74">
        <f>IF('1 day'!A22&lt;&gt;"",'1 day'!A22,"")</f>
        <v>18</v>
      </c>
      <c r="B22" s="378">
        <v>40</v>
      </c>
      <c r="C22" s="367">
        <v>49.9</v>
      </c>
      <c r="D22" s="364">
        <v>43.15</v>
      </c>
      <c r="E22" s="67">
        <v>5.0999999999999996</v>
      </c>
      <c r="F22" s="67">
        <v>3.55</v>
      </c>
      <c r="G22" s="68"/>
      <c r="H22" s="69"/>
      <c r="I22" s="70"/>
      <c r="J22" s="68"/>
      <c r="K22" s="122"/>
      <c r="L22" s="68"/>
      <c r="M22" s="122"/>
      <c r="N22" s="80"/>
      <c r="O22" s="122"/>
      <c r="P22" s="45" t="str">
        <f>IF(B22=('23 days'!B22-(SUM(J22,L22,N22))),"OK","verificar")</f>
        <v>OK</v>
      </c>
    </row>
    <row r="23" spans="1:16" ht="16.5" customHeight="1" x14ac:dyDescent="0.25">
      <c r="A23" s="74">
        <f>IF('1 day'!A23&lt;&gt;"",'1 day'!A23,"")</f>
        <v>19</v>
      </c>
      <c r="B23" s="378">
        <v>34</v>
      </c>
      <c r="C23" s="367">
        <v>45.45</v>
      </c>
      <c r="D23" s="364">
        <v>33.4</v>
      </c>
      <c r="E23" s="67">
        <v>19.100000000000001</v>
      </c>
      <c r="F23" s="67">
        <v>5.05</v>
      </c>
      <c r="G23" s="68"/>
      <c r="H23" s="69"/>
      <c r="I23" s="70"/>
      <c r="J23" s="68"/>
      <c r="K23" s="122"/>
      <c r="L23" s="68"/>
      <c r="M23" s="122"/>
      <c r="N23" s="80"/>
      <c r="O23" s="122"/>
      <c r="P23" s="45" t="str">
        <f>IF(B23=('23 days'!B23-(SUM(J23,L23,N23))),"OK","verificar")</f>
        <v>OK</v>
      </c>
    </row>
    <row r="24" spans="1:16" ht="16.5" customHeight="1" x14ac:dyDescent="0.25">
      <c r="A24" s="74">
        <f>IF('1 day'!A24&lt;&gt;"",'1 day'!A24,"")</f>
        <v>20</v>
      </c>
      <c r="B24" s="378">
        <v>39</v>
      </c>
      <c r="C24" s="367">
        <v>49.5</v>
      </c>
      <c r="D24" s="364">
        <v>40.75</v>
      </c>
      <c r="E24" s="67">
        <v>6.25</v>
      </c>
      <c r="F24" s="67">
        <v>3.9</v>
      </c>
      <c r="G24" s="68"/>
      <c r="H24" s="69"/>
      <c r="I24" s="70"/>
      <c r="J24" s="68"/>
      <c r="K24" s="122"/>
      <c r="L24" s="68">
        <v>1</v>
      </c>
      <c r="M24" s="122">
        <v>1</v>
      </c>
      <c r="N24" s="80"/>
      <c r="O24" s="122"/>
      <c r="P24" s="45" t="str">
        <f>IF(B24=('23 days'!B24-(SUM(J24,L24,N24))),"OK","verificar")</f>
        <v>OK</v>
      </c>
    </row>
    <row r="25" spans="1:16" ht="16.5" customHeight="1" x14ac:dyDescent="0.25">
      <c r="A25" s="74">
        <f>IF('1 day'!A25&lt;&gt;"",'1 day'!A25,"")</f>
        <v>21</v>
      </c>
      <c r="B25" s="378">
        <v>35</v>
      </c>
      <c r="C25" s="367">
        <v>40.200000000000003</v>
      </c>
      <c r="D25" s="364">
        <v>40.950000000000003</v>
      </c>
      <c r="E25" s="67">
        <v>13.8</v>
      </c>
      <c r="F25" s="67">
        <v>6.2</v>
      </c>
      <c r="G25" s="68"/>
      <c r="H25" s="69"/>
      <c r="I25" s="70"/>
      <c r="J25" s="68">
        <v>1</v>
      </c>
      <c r="K25" s="122">
        <v>0.62</v>
      </c>
      <c r="L25" s="68">
        <v>1</v>
      </c>
      <c r="M25" s="122">
        <v>1</v>
      </c>
      <c r="N25" s="80"/>
      <c r="O25" s="122"/>
      <c r="P25" s="45" t="str">
        <f>IF(B25=('23 days'!B25-(SUM(J25,L25,N25))),"OK","verificar")</f>
        <v>OK</v>
      </c>
    </row>
    <row r="26" spans="1:16" ht="16.5" customHeight="1" x14ac:dyDescent="0.25">
      <c r="A26" s="74">
        <f>IF('1 day'!A26&lt;&gt;"",'1 day'!A26,"")</f>
        <v>22</v>
      </c>
      <c r="B26" s="378">
        <v>39</v>
      </c>
      <c r="C26" s="367">
        <v>43.15</v>
      </c>
      <c r="D26" s="364">
        <v>41.15</v>
      </c>
      <c r="E26" s="67">
        <v>12.05</v>
      </c>
      <c r="F26" s="67">
        <v>4.3</v>
      </c>
      <c r="G26" s="68"/>
      <c r="H26" s="69"/>
      <c r="I26" s="70"/>
      <c r="J26" s="68">
        <v>1</v>
      </c>
      <c r="K26" s="122">
        <v>0.72</v>
      </c>
      <c r="L26" s="68"/>
      <c r="M26" s="122"/>
      <c r="N26" s="80"/>
      <c r="O26" s="122"/>
      <c r="P26" s="45" t="str">
        <f>IF(B26=('23 days'!B26-(SUM(J26,L26,N26))),"OK","verificar")</f>
        <v>OK</v>
      </c>
    </row>
    <row r="27" spans="1:16" ht="16.5" customHeight="1" x14ac:dyDescent="0.25">
      <c r="A27" s="74">
        <f>IF('1 day'!A27&lt;&gt;"",'1 day'!A27,"")</f>
        <v>23</v>
      </c>
      <c r="B27" s="378">
        <v>39</v>
      </c>
      <c r="C27" s="367">
        <v>48.4</v>
      </c>
      <c r="D27" s="364">
        <v>41.55</v>
      </c>
      <c r="E27" s="67">
        <v>2.4</v>
      </c>
      <c r="F27" s="67">
        <v>9.5</v>
      </c>
      <c r="G27" s="68"/>
      <c r="H27" s="69"/>
      <c r="I27" s="70"/>
      <c r="J27" s="68"/>
      <c r="K27" s="122"/>
      <c r="L27" s="68"/>
      <c r="M27" s="122"/>
      <c r="N27" s="80"/>
      <c r="O27" s="122"/>
      <c r="P27" s="45" t="str">
        <f>IF(B27=('23 days'!B27-(SUM(J27,L27,N27))),"OK","verificar")</f>
        <v>OK</v>
      </c>
    </row>
    <row r="28" spans="1:16" ht="16.5" customHeight="1" x14ac:dyDescent="0.25">
      <c r="A28" s="74">
        <f>IF('1 day'!A28&lt;&gt;"",'1 day'!A28,"")</f>
        <v>24</v>
      </c>
      <c r="B28" s="378">
        <v>39</v>
      </c>
      <c r="C28" s="367">
        <v>47.3</v>
      </c>
      <c r="D28" s="364">
        <v>43.6</v>
      </c>
      <c r="E28" s="67">
        <v>2.25</v>
      </c>
      <c r="F28" s="67">
        <v>7.7</v>
      </c>
      <c r="G28" s="68"/>
      <c r="H28" s="69"/>
      <c r="I28" s="70"/>
      <c r="J28" s="68"/>
      <c r="K28" s="122"/>
      <c r="L28" s="68">
        <v>1</v>
      </c>
      <c r="M28" s="122">
        <v>1.05</v>
      </c>
      <c r="N28" s="80"/>
      <c r="O28" s="122"/>
      <c r="P28" s="45" t="str">
        <f>IF(B28=('23 days'!B28-(SUM(J28,L28,N28))),"OK","verificar")</f>
        <v>OK</v>
      </c>
    </row>
    <row r="29" spans="1:16" ht="16.5" customHeight="1" x14ac:dyDescent="0.25">
      <c r="A29" s="74">
        <f>IF('1 day'!A29&lt;&gt;"",'1 day'!A29,"")</f>
        <v>25</v>
      </c>
      <c r="B29" s="378">
        <v>39</v>
      </c>
      <c r="C29" s="367">
        <v>42.65</v>
      </c>
      <c r="D29" s="364">
        <v>47.5</v>
      </c>
      <c r="E29" s="67">
        <v>3.2</v>
      </c>
      <c r="F29" s="67">
        <v>9.5</v>
      </c>
      <c r="G29" s="68"/>
      <c r="H29" s="69"/>
      <c r="I29" s="70"/>
      <c r="J29" s="68"/>
      <c r="K29" s="122"/>
      <c r="L29" s="68">
        <v>1</v>
      </c>
      <c r="M29" s="122">
        <v>1</v>
      </c>
      <c r="N29" s="80"/>
      <c r="O29" s="122"/>
      <c r="P29" s="45" t="str">
        <f>IF(B29=('23 days'!B29-(SUM(J29,L29,N29))),"OK","verificar")</f>
        <v>OK</v>
      </c>
    </row>
    <row r="30" spans="1:16" ht="16.5" customHeight="1" x14ac:dyDescent="0.25">
      <c r="A30" s="74">
        <f>IF('1 day'!A30&lt;&gt;"",'1 day'!A30,"")</f>
        <v>26</v>
      </c>
      <c r="B30" s="378">
        <v>39</v>
      </c>
      <c r="C30" s="367">
        <v>47.2</v>
      </c>
      <c r="D30" s="364">
        <v>40.15</v>
      </c>
      <c r="E30" s="67">
        <v>5.35</v>
      </c>
      <c r="F30" s="67">
        <v>10.5</v>
      </c>
      <c r="G30" s="68"/>
      <c r="H30" s="69"/>
      <c r="I30" s="70"/>
      <c r="J30" s="68"/>
      <c r="K30" s="122"/>
      <c r="L30" s="68"/>
      <c r="M30" s="122"/>
      <c r="N30" s="80"/>
      <c r="O30" s="122"/>
      <c r="P30" s="45" t="str">
        <f>IF(B30=('23 days'!B30-(SUM(J30,L30,N30))),"OK","verificar")</f>
        <v>OK</v>
      </c>
    </row>
    <row r="31" spans="1:16" ht="16.5" customHeight="1" x14ac:dyDescent="0.25">
      <c r="A31" s="74">
        <f>IF('1 day'!A31&lt;&gt;"",'1 day'!A31,"")</f>
        <v>27</v>
      </c>
      <c r="B31" s="378">
        <v>39</v>
      </c>
      <c r="C31" s="367">
        <v>43.15</v>
      </c>
      <c r="D31" s="364">
        <v>48.55</v>
      </c>
      <c r="E31" s="67">
        <v>1.85</v>
      </c>
      <c r="F31" s="67">
        <v>7.8</v>
      </c>
      <c r="G31" s="68"/>
      <c r="H31" s="69"/>
      <c r="I31" s="70"/>
      <c r="J31" s="68"/>
      <c r="K31" s="122"/>
      <c r="L31" s="68">
        <v>1</v>
      </c>
      <c r="M31" s="122">
        <v>1.1000000000000001</v>
      </c>
      <c r="N31" s="80"/>
      <c r="O31" s="122"/>
      <c r="P31" s="45" t="str">
        <f>IF(B31=('23 days'!B31-(SUM(J31,L31,N31))),"OK","verificar")</f>
        <v>OK</v>
      </c>
    </row>
    <row r="32" spans="1:16" ht="16.5" customHeight="1" x14ac:dyDescent="0.25">
      <c r="A32" s="74">
        <f>IF('1 day'!A32&lt;&gt;"",'1 day'!A32,"")</f>
        <v>28</v>
      </c>
      <c r="B32" s="378">
        <v>40</v>
      </c>
      <c r="C32" s="367">
        <v>42.75</v>
      </c>
      <c r="D32" s="364">
        <v>50</v>
      </c>
      <c r="E32" s="67">
        <v>1.85</v>
      </c>
      <c r="F32" s="67">
        <v>7.05</v>
      </c>
      <c r="G32" s="68"/>
      <c r="H32" s="69"/>
      <c r="I32" s="70"/>
      <c r="J32" s="68"/>
      <c r="K32" s="122"/>
      <c r="L32" s="68"/>
      <c r="M32" s="122"/>
      <c r="N32" s="80"/>
      <c r="O32" s="122"/>
      <c r="P32" s="45" t="str">
        <f>IF(B32=('23 days'!B32-(SUM(J32,L32,N32))),"OK","verificar")</f>
        <v>OK</v>
      </c>
    </row>
    <row r="33" spans="1:16" ht="16.5" customHeight="1" x14ac:dyDescent="0.25">
      <c r="A33" s="74">
        <f>IF('1 day'!A33&lt;&gt;"",'1 day'!A33,"")</f>
        <v>29</v>
      </c>
      <c r="B33" s="378">
        <v>38</v>
      </c>
      <c r="C33" s="367">
        <v>42.8</v>
      </c>
      <c r="D33" s="364">
        <v>45.25</v>
      </c>
      <c r="E33" s="67">
        <v>2.8</v>
      </c>
      <c r="F33" s="67">
        <v>7.8</v>
      </c>
      <c r="G33" s="68"/>
      <c r="H33" s="69"/>
      <c r="I33" s="70"/>
      <c r="J33" s="68">
        <v>1</v>
      </c>
      <c r="K33" s="122">
        <v>0.68</v>
      </c>
      <c r="L33" s="68">
        <v>1</v>
      </c>
      <c r="M33" s="122">
        <v>1.1000000000000001</v>
      </c>
      <c r="N33" s="80"/>
      <c r="O33" s="122"/>
      <c r="P33" s="45" t="str">
        <f>IF(B33=('23 days'!B33-(SUM(J33,L33,N33))),"OK","verificar")</f>
        <v>OK</v>
      </c>
    </row>
    <row r="34" spans="1:16" ht="16.5" customHeight="1" x14ac:dyDescent="0.25">
      <c r="A34" s="74">
        <f>IF('1 day'!A34&lt;&gt;"",'1 day'!A34,"")</f>
        <v>30</v>
      </c>
      <c r="B34" s="378">
        <v>37</v>
      </c>
      <c r="C34" s="367">
        <v>41.6</v>
      </c>
      <c r="D34" s="364">
        <v>45.85</v>
      </c>
      <c r="E34" s="67">
        <v>5</v>
      </c>
      <c r="F34" s="67">
        <v>8.3000000000000007</v>
      </c>
      <c r="G34" s="68"/>
      <c r="H34" s="69"/>
      <c r="I34" s="70"/>
      <c r="J34" s="68"/>
      <c r="K34" s="122"/>
      <c r="L34" s="68">
        <v>1</v>
      </c>
      <c r="M34" s="122">
        <v>0.95</v>
      </c>
      <c r="N34" s="80"/>
      <c r="O34" s="122"/>
      <c r="P34" s="45" t="str">
        <f>IF(B34=('23 days'!B34-(SUM(J34,L34,N34))),"OK","verificar")</f>
        <v>OK</v>
      </c>
    </row>
    <row r="35" spans="1:16" ht="16.5" customHeight="1" x14ac:dyDescent="0.25">
      <c r="A35" s="74">
        <f>IF('1 day'!A35&lt;&gt;"",'1 day'!A35,"")</f>
        <v>31</v>
      </c>
      <c r="B35" s="378">
        <v>38</v>
      </c>
      <c r="C35" s="367">
        <v>44.35</v>
      </c>
      <c r="D35" s="364">
        <v>39.65</v>
      </c>
      <c r="E35" s="67">
        <v>6.3</v>
      </c>
      <c r="F35" s="67">
        <v>12.25</v>
      </c>
      <c r="G35" s="68"/>
      <c r="H35" s="69"/>
      <c r="I35" s="70"/>
      <c r="J35" s="68"/>
      <c r="K35" s="122"/>
      <c r="L35" s="68">
        <v>1</v>
      </c>
      <c r="M35" s="122"/>
      <c r="N35" s="80"/>
      <c r="O35" s="122"/>
      <c r="P35" s="45" t="str">
        <f>IF(B35=('23 days'!B35-(SUM(J35,L35,N35))),"OK","verificar")</f>
        <v>OK</v>
      </c>
    </row>
    <row r="36" spans="1:16" ht="16.5" customHeight="1" x14ac:dyDescent="0.25">
      <c r="A36" s="74">
        <f>IF('1 day'!A36&lt;&gt;"",'1 day'!A36,"")</f>
        <v>32</v>
      </c>
      <c r="B36" s="378">
        <v>39</v>
      </c>
      <c r="C36" s="367">
        <v>48.65</v>
      </c>
      <c r="D36" s="364">
        <v>39.4</v>
      </c>
      <c r="E36" s="67">
        <v>4.5</v>
      </c>
      <c r="F36" s="67">
        <v>8.6999999999999993</v>
      </c>
      <c r="G36" s="68"/>
      <c r="H36" s="69"/>
      <c r="I36" s="70"/>
      <c r="J36" s="68"/>
      <c r="K36" s="122"/>
      <c r="L36" s="68">
        <v>1</v>
      </c>
      <c r="M36" s="122">
        <v>0.95</v>
      </c>
      <c r="N36" s="80"/>
      <c r="O36" s="122"/>
      <c r="P36" s="45" t="str">
        <f>IF(B36=('23 days'!B36-(SUM(J36,L36,N36))),"OK","verificar")</f>
        <v>OK</v>
      </c>
    </row>
    <row r="37" spans="1:16" ht="16.5" customHeight="1" x14ac:dyDescent="0.25">
      <c r="A37" s="74">
        <f>IF('1 day'!A37&lt;&gt;"",'1 day'!A37,"")</f>
        <v>33</v>
      </c>
      <c r="B37" s="378">
        <v>40</v>
      </c>
      <c r="C37" s="367">
        <v>49.4</v>
      </c>
      <c r="D37" s="364">
        <v>41.9</v>
      </c>
      <c r="E37" s="67">
        <v>1.85</v>
      </c>
      <c r="F37" s="67">
        <v>8.35</v>
      </c>
      <c r="G37" s="68"/>
      <c r="H37" s="69"/>
      <c r="I37" s="70"/>
      <c r="J37" s="68"/>
      <c r="K37" s="122"/>
      <c r="L37" s="68"/>
      <c r="M37" s="122"/>
      <c r="N37" s="80"/>
      <c r="O37" s="122"/>
      <c r="P37" s="45" t="str">
        <f>IF(B37=('23 days'!B37-(SUM(J37,L37,N37))),"OK","verificar")</f>
        <v>OK</v>
      </c>
    </row>
    <row r="38" spans="1:16" ht="16.5" customHeight="1" x14ac:dyDescent="0.25">
      <c r="A38" s="74">
        <f>IF('1 day'!A38&lt;&gt;"",'1 day'!A38,"")</f>
        <v>34</v>
      </c>
      <c r="B38" s="378">
        <v>39</v>
      </c>
      <c r="C38" s="367">
        <v>46.05</v>
      </c>
      <c r="D38" s="364">
        <v>43.55</v>
      </c>
      <c r="E38" s="67">
        <v>1.6</v>
      </c>
      <c r="F38" s="67">
        <v>10.75</v>
      </c>
      <c r="G38" s="68"/>
      <c r="H38" s="69"/>
      <c r="I38" s="70"/>
      <c r="J38" s="68"/>
      <c r="K38" s="122"/>
      <c r="L38" s="68">
        <v>1</v>
      </c>
      <c r="M38" s="122">
        <v>1.05</v>
      </c>
      <c r="N38" s="80"/>
      <c r="O38" s="122"/>
      <c r="P38" s="45" t="str">
        <f>IF(B38=('23 days'!B38-(SUM(J38,L38,N38))),"OK","verificar")</f>
        <v>OK</v>
      </c>
    </row>
    <row r="39" spans="1:16" ht="16.5" customHeight="1" x14ac:dyDescent="0.25">
      <c r="A39" s="74">
        <f>IF('1 day'!A39&lt;&gt;"",'1 day'!A39,"")</f>
        <v>35</v>
      </c>
      <c r="B39" s="378">
        <v>37</v>
      </c>
      <c r="C39" s="367">
        <v>45.6</v>
      </c>
      <c r="D39" s="364">
        <v>41.6</v>
      </c>
      <c r="E39" s="67">
        <v>3.95</v>
      </c>
      <c r="F39" s="67">
        <v>9.1999999999999993</v>
      </c>
      <c r="G39" s="68"/>
      <c r="H39" s="69"/>
      <c r="I39" s="70"/>
      <c r="J39" s="68"/>
      <c r="K39" s="122"/>
      <c r="L39" s="68"/>
      <c r="M39" s="122"/>
      <c r="N39" s="80"/>
      <c r="O39" s="122"/>
      <c r="P39" s="45" t="str">
        <f>IF(B39=('23 days'!B39-(SUM(J39,L39,N39))),"OK","verificar")</f>
        <v>OK</v>
      </c>
    </row>
    <row r="40" spans="1:16" ht="16.5" customHeight="1" x14ac:dyDescent="0.25">
      <c r="A40" s="74">
        <f>IF('1 day'!A40&lt;&gt;"",'1 day'!A40,"")</f>
        <v>36</v>
      </c>
      <c r="B40" s="378">
        <v>34</v>
      </c>
      <c r="C40" s="367">
        <v>40.65</v>
      </c>
      <c r="D40" s="364">
        <v>38.450000000000003</v>
      </c>
      <c r="E40" s="67">
        <v>10</v>
      </c>
      <c r="F40" s="67">
        <v>10.65</v>
      </c>
      <c r="G40" s="68"/>
      <c r="H40" s="69"/>
      <c r="I40" s="70"/>
      <c r="J40" s="68">
        <v>2</v>
      </c>
      <c r="K40" s="122">
        <v>1.52</v>
      </c>
      <c r="L40" s="68">
        <v>1</v>
      </c>
      <c r="M40" s="122">
        <v>1.05</v>
      </c>
      <c r="N40" s="80"/>
      <c r="O40" s="122"/>
      <c r="P40" s="45" t="str">
        <f>IF(B40=('23 days'!B40-(SUM(J40,L40,N40))),"OK","verificar")</f>
        <v>OK</v>
      </c>
    </row>
    <row r="41" spans="1:16" ht="16.5" customHeight="1" x14ac:dyDescent="0.25">
      <c r="A41" s="74">
        <f>IF('1 day'!A41&lt;&gt;"",'1 day'!A41,"")</f>
        <v>37</v>
      </c>
      <c r="B41" s="378">
        <v>37</v>
      </c>
      <c r="C41" s="367">
        <v>48.85</v>
      </c>
      <c r="D41" s="364">
        <v>39.299999999999997</v>
      </c>
      <c r="E41" s="67">
        <v>8.0500000000000007</v>
      </c>
      <c r="F41" s="67">
        <v>4.3499999999999996</v>
      </c>
      <c r="G41" s="68"/>
      <c r="H41" s="69"/>
      <c r="I41" s="70"/>
      <c r="J41" s="68">
        <v>1</v>
      </c>
      <c r="K41" s="122">
        <v>1.59</v>
      </c>
      <c r="L41" s="68">
        <v>1</v>
      </c>
      <c r="M41" s="122">
        <v>1.1000000000000001</v>
      </c>
      <c r="N41" s="80"/>
      <c r="O41" s="122"/>
      <c r="P41" s="45" t="str">
        <f>IF(B41=('23 days'!B41-(SUM(J41,L41,N41))),"OK","verificar")</f>
        <v>OK</v>
      </c>
    </row>
    <row r="42" spans="1:16" ht="16.5" customHeight="1" x14ac:dyDescent="0.25">
      <c r="A42" s="74">
        <f>IF('1 day'!A42&lt;&gt;"",'1 day'!A42,"")</f>
        <v>38</v>
      </c>
      <c r="B42" s="378">
        <v>38</v>
      </c>
      <c r="C42" s="367">
        <v>45.75</v>
      </c>
      <c r="D42" s="364">
        <v>42.65</v>
      </c>
      <c r="E42" s="67">
        <v>9.4499999999999993</v>
      </c>
      <c r="F42" s="67">
        <v>3.85</v>
      </c>
      <c r="G42" s="68"/>
      <c r="H42" s="69"/>
      <c r="I42" s="70"/>
      <c r="J42" s="68"/>
      <c r="K42" s="122"/>
      <c r="L42" s="68">
        <v>1</v>
      </c>
      <c r="M42" s="122">
        <v>0.85</v>
      </c>
      <c r="N42" s="80"/>
      <c r="O42" s="122"/>
      <c r="P42" s="45" t="str">
        <f>IF(B42=('23 days'!B42-(SUM(J42,L42,N42))),"OK","verificar")</f>
        <v>OK</v>
      </c>
    </row>
    <row r="43" spans="1:16" ht="16.5" customHeight="1" x14ac:dyDescent="0.25">
      <c r="A43" s="74">
        <f>IF('1 day'!A43&lt;&gt;"",'1 day'!A43,"")</f>
        <v>39</v>
      </c>
      <c r="B43" s="378">
        <v>37</v>
      </c>
      <c r="C43" s="367">
        <v>46.45</v>
      </c>
      <c r="D43" s="364">
        <v>40.450000000000003</v>
      </c>
      <c r="E43" s="67">
        <v>5.45</v>
      </c>
      <c r="F43" s="67">
        <v>5.3</v>
      </c>
      <c r="G43" s="68"/>
      <c r="H43" s="69"/>
      <c r="I43" s="70"/>
      <c r="J43" s="68"/>
      <c r="K43" s="122"/>
      <c r="L43" s="68">
        <v>1</v>
      </c>
      <c r="M43" s="122">
        <v>1.1200000000000001</v>
      </c>
      <c r="N43" s="80"/>
      <c r="O43" s="122"/>
      <c r="P43" s="45" t="str">
        <f>IF(B43=('23 days'!B43-(SUM(J43,L43,N43))),"OK","verificar")</f>
        <v>OK</v>
      </c>
    </row>
    <row r="44" spans="1:16" ht="16.5" customHeight="1" x14ac:dyDescent="0.25">
      <c r="A44" s="74">
        <f>IF('1 day'!A44&lt;&gt;"",'1 day'!A44,"")</f>
        <v>40</v>
      </c>
      <c r="B44" s="378">
        <v>40</v>
      </c>
      <c r="C44" s="367">
        <v>45.1</v>
      </c>
      <c r="D44" s="364">
        <v>46.05</v>
      </c>
      <c r="E44" s="67">
        <v>6.45</v>
      </c>
      <c r="F44" s="67">
        <v>4.25</v>
      </c>
      <c r="G44" s="68"/>
      <c r="H44" s="69"/>
      <c r="I44" s="70"/>
      <c r="J44" s="68"/>
      <c r="K44" s="122"/>
      <c r="L44" s="68"/>
      <c r="M44" s="122"/>
      <c r="N44" s="80"/>
      <c r="O44" s="122"/>
      <c r="P44" s="45" t="str">
        <f>IF(B44=('23 days'!B44-(SUM(J44,L44,N44))),"OK","verificar")</f>
        <v>OK</v>
      </c>
    </row>
    <row r="45" spans="1:16" ht="16.5" customHeight="1" x14ac:dyDescent="0.25">
      <c r="A45" s="74">
        <f>IF('1 day'!A45&lt;&gt;"",'1 day'!A45,"")</f>
        <v>41</v>
      </c>
      <c r="B45" s="378">
        <v>39</v>
      </c>
      <c r="C45" s="367">
        <v>45.4</v>
      </c>
      <c r="D45" s="364">
        <v>46.6</v>
      </c>
      <c r="E45" s="67">
        <v>5.3</v>
      </c>
      <c r="F45" s="67">
        <v>3.85</v>
      </c>
      <c r="G45" s="68"/>
      <c r="H45" s="69"/>
      <c r="I45" s="70"/>
      <c r="J45" s="68"/>
      <c r="K45" s="122"/>
      <c r="L45" s="68">
        <v>1</v>
      </c>
      <c r="M45" s="122">
        <v>0.95</v>
      </c>
      <c r="N45" s="80"/>
      <c r="O45" s="122"/>
      <c r="P45" s="45" t="str">
        <f>IF(B45=('23 days'!B45-(SUM(J45,L45,N45))),"OK","verificar")</f>
        <v>OK</v>
      </c>
    </row>
    <row r="46" spans="1:16" ht="16.5" customHeight="1" x14ac:dyDescent="0.25">
      <c r="A46" s="74">
        <f>IF('1 day'!A46&lt;&gt;"",'1 day'!A46,"")</f>
        <v>42</v>
      </c>
      <c r="B46" s="378">
        <v>39</v>
      </c>
      <c r="C46" s="367">
        <v>46.75</v>
      </c>
      <c r="D46" s="364">
        <v>43.85</v>
      </c>
      <c r="E46" s="67">
        <v>6.8</v>
      </c>
      <c r="F46" s="67">
        <v>4.5</v>
      </c>
      <c r="G46" s="68"/>
      <c r="H46" s="69"/>
      <c r="I46" s="70"/>
      <c r="J46" s="68"/>
      <c r="K46" s="122"/>
      <c r="L46" s="68"/>
      <c r="M46" s="122"/>
      <c r="N46" s="80"/>
      <c r="O46" s="122"/>
      <c r="P46" s="45" t="str">
        <f>IF(B46=('23 days'!B46-(SUM(J46,L46,N46))),"OK","verificar")</f>
        <v>OK</v>
      </c>
    </row>
    <row r="47" spans="1:16" ht="16.5" customHeight="1" x14ac:dyDescent="0.25">
      <c r="A47" s="74">
        <f>IF('1 day'!A47&lt;&gt;"",'1 day'!A47,"")</f>
        <v>43</v>
      </c>
      <c r="B47" s="378">
        <v>37</v>
      </c>
      <c r="C47" s="367">
        <v>39.15</v>
      </c>
      <c r="D47" s="364">
        <v>49.6</v>
      </c>
      <c r="E47" s="67">
        <v>6.4</v>
      </c>
      <c r="F47" s="67">
        <v>4.9000000000000004</v>
      </c>
      <c r="G47" s="68"/>
      <c r="H47" s="69"/>
      <c r="I47" s="70"/>
      <c r="J47" s="68"/>
      <c r="K47" s="122"/>
      <c r="L47" s="68">
        <v>1</v>
      </c>
      <c r="M47" s="122">
        <v>0.85</v>
      </c>
      <c r="N47" s="80"/>
      <c r="O47" s="122"/>
      <c r="P47" s="45" t="str">
        <f>IF(B47=('23 days'!B47-(SUM(J47,L47,N47))),"OK","verificar")</f>
        <v>OK</v>
      </c>
    </row>
    <row r="48" spans="1:16" ht="16.5" customHeight="1" x14ac:dyDescent="0.25">
      <c r="A48" s="74">
        <f>IF('1 day'!A48&lt;&gt;"",'1 day'!A48,"")</f>
        <v>44</v>
      </c>
      <c r="B48" s="378">
        <v>38</v>
      </c>
      <c r="C48" s="367">
        <v>48.1</v>
      </c>
      <c r="D48" s="364">
        <v>44.35</v>
      </c>
      <c r="E48" s="67">
        <v>3.65</v>
      </c>
      <c r="F48" s="67">
        <v>3.55</v>
      </c>
      <c r="G48" s="68"/>
      <c r="H48" s="69"/>
      <c r="I48" s="70"/>
      <c r="J48" s="68"/>
      <c r="K48" s="122"/>
      <c r="L48" s="68">
        <v>1</v>
      </c>
      <c r="M48" s="122">
        <v>1.05</v>
      </c>
      <c r="N48" s="80"/>
      <c r="O48" s="122"/>
      <c r="P48" s="45" t="str">
        <f>IF(B48=('23 days'!B48-(SUM(J48,L48,N48))),"OK","verificar")</f>
        <v>OK</v>
      </c>
    </row>
    <row r="49" spans="1:16" ht="16.5" customHeight="1" x14ac:dyDescent="0.25">
      <c r="A49" s="74">
        <f>IF('1 day'!A49&lt;&gt;"",'1 day'!A49,"")</f>
        <v>45</v>
      </c>
      <c r="B49" s="378">
        <v>39</v>
      </c>
      <c r="C49" s="367">
        <v>46.1</v>
      </c>
      <c r="D49" s="364">
        <v>46.1</v>
      </c>
      <c r="E49" s="67">
        <v>0</v>
      </c>
      <c r="F49" s="67">
        <v>7.5</v>
      </c>
      <c r="G49" s="68"/>
      <c r="H49" s="69"/>
      <c r="I49" s="70"/>
      <c r="J49" s="68">
        <v>1</v>
      </c>
      <c r="K49" s="122">
        <v>0.85</v>
      </c>
      <c r="L49" s="68"/>
      <c r="M49" s="122"/>
      <c r="N49" s="80"/>
      <c r="O49" s="122"/>
      <c r="P49" s="45" t="str">
        <f>IF(B49=('23 days'!B49-(SUM(J49,L49,N49))),"OK","verificar")</f>
        <v>OK</v>
      </c>
    </row>
    <row r="50" spans="1:16" ht="16.5" customHeight="1" x14ac:dyDescent="0.25">
      <c r="A50" s="74">
        <f>IF('1 day'!A50&lt;&gt;"",'1 day'!A50,"")</f>
        <v>46</v>
      </c>
      <c r="B50" s="378">
        <v>38</v>
      </c>
      <c r="C50" s="367">
        <v>42.5</v>
      </c>
      <c r="D50" s="364">
        <v>49.25</v>
      </c>
      <c r="E50" s="67">
        <v>0</v>
      </c>
      <c r="F50" s="67">
        <v>8.3000000000000007</v>
      </c>
      <c r="G50" s="68"/>
      <c r="H50" s="69"/>
      <c r="I50" s="70"/>
      <c r="J50" s="68"/>
      <c r="K50" s="122"/>
      <c r="L50" s="68">
        <v>1</v>
      </c>
      <c r="M50" s="122">
        <v>0.7</v>
      </c>
      <c r="N50" s="80"/>
      <c r="O50" s="122"/>
      <c r="P50" s="45" t="str">
        <f>IF(B50=('23 days'!B50-(SUM(J50,L50,N50))),"OK","verificar")</f>
        <v>OK</v>
      </c>
    </row>
    <row r="51" spans="1:16" ht="16.5" customHeight="1" x14ac:dyDescent="0.25">
      <c r="A51" s="74">
        <f>IF('1 day'!A51&lt;&gt;"",'1 day'!A51,"")</f>
        <v>47</v>
      </c>
      <c r="B51" s="378">
        <v>39</v>
      </c>
      <c r="C51" s="367">
        <v>50.3</v>
      </c>
      <c r="D51" s="364">
        <v>38.950000000000003</v>
      </c>
      <c r="E51" s="67">
        <v>0</v>
      </c>
      <c r="F51" s="67">
        <v>11.6</v>
      </c>
      <c r="G51" s="68"/>
      <c r="H51" s="69"/>
      <c r="I51" s="70"/>
      <c r="J51" s="68"/>
      <c r="K51" s="122"/>
      <c r="L51" s="68">
        <v>1</v>
      </c>
      <c r="M51" s="122">
        <v>1</v>
      </c>
      <c r="N51" s="80"/>
      <c r="O51" s="122"/>
      <c r="P51" s="45" t="str">
        <f>IF(B51=('23 days'!B51-(SUM(J51,L51,N51))),"OK","verificar")</f>
        <v>OK</v>
      </c>
    </row>
    <row r="52" spans="1:16" ht="16.5" customHeight="1" x14ac:dyDescent="0.25">
      <c r="A52" s="74">
        <f>IF('1 day'!A52&lt;&gt;"",'1 day'!A52,"")</f>
        <v>48</v>
      </c>
      <c r="B52" s="378">
        <v>38</v>
      </c>
      <c r="C52" s="367">
        <v>44.3</v>
      </c>
      <c r="D52" s="364">
        <v>42.85</v>
      </c>
      <c r="E52" s="67">
        <v>0</v>
      </c>
      <c r="F52" s="67">
        <v>13</v>
      </c>
      <c r="G52" s="68"/>
      <c r="H52" s="69"/>
      <c r="I52" s="70"/>
      <c r="J52" s="68"/>
      <c r="K52" s="122"/>
      <c r="L52" s="68"/>
      <c r="M52" s="122"/>
      <c r="N52" s="80"/>
      <c r="O52" s="122"/>
      <c r="P52" s="45" t="str">
        <f>IF(B52=('23 days'!B52-(SUM(J52,L52,N52))),"OK","verificar")</f>
        <v>OK</v>
      </c>
    </row>
    <row r="53" spans="1:16" ht="16.5" customHeight="1" x14ac:dyDescent="0.25">
      <c r="A53" s="74">
        <f>IF('1 day'!A53&lt;&gt;"",'1 day'!A53,"")</f>
        <v>49</v>
      </c>
      <c r="B53" s="378">
        <v>38</v>
      </c>
      <c r="C53" s="367">
        <v>50.05</v>
      </c>
      <c r="D53" s="364">
        <v>37.65</v>
      </c>
      <c r="E53" s="67">
        <v>0</v>
      </c>
      <c r="F53" s="67">
        <v>11.3</v>
      </c>
      <c r="G53" s="68"/>
      <c r="H53" s="69"/>
      <c r="I53" s="70"/>
      <c r="J53" s="68"/>
      <c r="K53" s="122"/>
      <c r="L53" s="68">
        <v>1</v>
      </c>
      <c r="M53" s="122">
        <v>1.05</v>
      </c>
      <c r="N53" s="80"/>
      <c r="O53" s="122"/>
      <c r="P53" s="45" t="str">
        <f>IF(B53=('23 days'!B53-(SUM(J53,L53,N53))),"OK","verificar")</f>
        <v>OK</v>
      </c>
    </row>
    <row r="54" spans="1:16" ht="16.5" customHeight="1" x14ac:dyDescent="0.25">
      <c r="A54" s="74">
        <f>IF('1 day'!A54&lt;&gt;"",'1 day'!A54,"")</f>
        <v>50</v>
      </c>
      <c r="B54" s="378">
        <v>37</v>
      </c>
      <c r="C54" s="367">
        <v>43.05</v>
      </c>
      <c r="D54" s="364">
        <v>46.65</v>
      </c>
      <c r="E54" s="67">
        <v>0</v>
      </c>
      <c r="F54" s="67">
        <v>11.8</v>
      </c>
      <c r="G54" s="68"/>
      <c r="H54" s="69"/>
      <c r="I54" s="70"/>
      <c r="J54" s="68"/>
      <c r="K54" s="122"/>
      <c r="L54" s="68">
        <v>1</v>
      </c>
      <c r="M54" s="122">
        <v>1</v>
      </c>
      <c r="N54" s="80"/>
      <c r="O54" s="122"/>
      <c r="P54" s="45" t="str">
        <f>IF(B54=('23 days'!B54-(SUM(J54,L54,N54))),"OK","verificar")</f>
        <v>OK</v>
      </c>
    </row>
    <row r="55" spans="1:16" ht="16.5" customHeight="1" x14ac:dyDescent="0.25">
      <c r="A55" s="74">
        <f>IF('1 day'!A55&lt;&gt;"",'1 day'!A55,"")</f>
        <v>51</v>
      </c>
      <c r="B55" s="378">
        <v>40</v>
      </c>
      <c r="C55" s="367">
        <v>46.25</v>
      </c>
      <c r="D55" s="364">
        <v>44.8</v>
      </c>
      <c r="E55" s="67">
        <v>3.15</v>
      </c>
      <c r="F55" s="67">
        <v>7.2</v>
      </c>
      <c r="G55" s="68"/>
      <c r="H55" s="69"/>
      <c r="I55" s="70"/>
      <c r="J55" s="68"/>
      <c r="K55" s="122"/>
      <c r="L55" s="68"/>
      <c r="M55" s="122"/>
      <c r="N55" s="80"/>
      <c r="O55" s="122"/>
      <c r="P55" s="45" t="str">
        <f>IF(B55=('23 days'!B55-(SUM(J55,L55,N55))),"OK","verificar")</f>
        <v>OK</v>
      </c>
    </row>
    <row r="56" spans="1:16" ht="16.5" customHeight="1" x14ac:dyDescent="0.25">
      <c r="A56" s="74">
        <f>IF('1 day'!A56&lt;&gt;"",'1 day'!A56,"")</f>
        <v>52</v>
      </c>
      <c r="B56" s="378">
        <v>38</v>
      </c>
      <c r="C56" s="367">
        <v>46</v>
      </c>
      <c r="D56" s="364">
        <v>46.15</v>
      </c>
      <c r="E56" s="67">
        <v>3.9</v>
      </c>
      <c r="F56" s="67">
        <v>6.8</v>
      </c>
      <c r="G56" s="68"/>
      <c r="H56" s="69"/>
      <c r="I56" s="70"/>
      <c r="J56" s="68"/>
      <c r="K56" s="122"/>
      <c r="L56" s="68">
        <v>1</v>
      </c>
      <c r="M56" s="122">
        <v>1</v>
      </c>
      <c r="N56" s="80"/>
      <c r="O56" s="122"/>
      <c r="P56" s="45" t="str">
        <f>IF(B56=('23 days'!B56-(SUM(J56,L56,N56))),"OK","verificar")</f>
        <v>OK</v>
      </c>
    </row>
    <row r="57" spans="1:16" ht="16.5" customHeight="1" x14ac:dyDescent="0.25">
      <c r="A57" s="74">
        <f>IF('1 day'!A57&lt;&gt;"",'1 day'!A57,"")</f>
        <v>53</v>
      </c>
      <c r="B57" s="378">
        <v>39</v>
      </c>
      <c r="C57" s="367">
        <v>37.35</v>
      </c>
      <c r="D57" s="364">
        <v>52.35</v>
      </c>
      <c r="E57" s="67">
        <v>3.5</v>
      </c>
      <c r="F57" s="67">
        <v>8</v>
      </c>
      <c r="G57" s="68"/>
      <c r="H57" s="69"/>
      <c r="I57" s="70"/>
      <c r="J57" s="68"/>
      <c r="K57" s="122"/>
      <c r="L57" s="68"/>
      <c r="M57" s="122"/>
      <c r="N57" s="80"/>
      <c r="O57" s="122"/>
      <c r="P57" s="45" t="str">
        <f>IF(B57=('23 days'!B57-(SUM(J57,L57,N57))),"OK","verificar")</f>
        <v>OK</v>
      </c>
    </row>
    <row r="58" spans="1:16" ht="16.5" customHeight="1" x14ac:dyDescent="0.25">
      <c r="A58" s="74">
        <f>IF('1 day'!A58&lt;&gt;"",'1 day'!A58,"")</f>
        <v>54</v>
      </c>
      <c r="B58" s="378">
        <v>36</v>
      </c>
      <c r="C58" s="367">
        <v>38</v>
      </c>
      <c r="D58" s="364">
        <v>48.95</v>
      </c>
      <c r="E58" s="67">
        <v>7.15</v>
      </c>
      <c r="F58" s="67">
        <v>8.6</v>
      </c>
      <c r="G58" s="68"/>
      <c r="H58" s="69"/>
      <c r="I58" s="70"/>
      <c r="J58" s="68"/>
      <c r="K58" s="122"/>
      <c r="L58" s="68">
        <v>1</v>
      </c>
      <c r="M58" s="122">
        <v>0.95</v>
      </c>
      <c r="N58" s="80"/>
      <c r="O58" s="122"/>
      <c r="P58" s="45" t="str">
        <f>IF(B58=('23 days'!B58-(SUM(J58,L58,N58))),"OK","verificar")</f>
        <v>OK</v>
      </c>
    </row>
    <row r="59" spans="1:16" ht="16.5" customHeight="1" x14ac:dyDescent="0.25">
      <c r="A59" s="74">
        <f>IF('1 day'!A59&lt;&gt;"",'1 day'!A59,"")</f>
        <v>55</v>
      </c>
      <c r="B59" s="378">
        <v>38</v>
      </c>
      <c r="C59" s="367">
        <v>47.85</v>
      </c>
      <c r="D59" s="364">
        <v>40.200000000000003</v>
      </c>
      <c r="E59" s="67">
        <v>4.2</v>
      </c>
      <c r="F59" s="67">
        <v>7.85</v>
      </c>
      <c r="G59" s="68"/>
      <c r="H59" s="69"/>
      <c r="I59" s="70"/>
      <c r="J59" s="68"/>
      <c r="K59" s="122"/>
      <c r="L59" s="68">
        <v>1</v>
      </c>
      <c r="M59" s="122">
        <v>1.05</v>
      </c>
      <c r="N59" s="80"/>
      <c r="O59" s="122"/>
      <c r="P59" s="45" t="str">
        <f>IF(B59=('23 days'!B59-(SUM(J59,L59,N59))),"OK","verificar")</f>
        <v>OK</v>
      </c>
    </row>
    <row r="60" spans="1:16" ht="16.5" customHeight="1" x14ac:dyDescent="0.25">
      <c r="A60" s="74">
        <f>IF('1 day'!A60&lt;&gt;"",'1 day'!A60,"")</f>
        <v>56</v>
      </c>
      <c r="B60" s="378">
        <v>38</v>
      </c>
      <c r="C60" s="367">
        <v>47.95</v>
      </c>
      <c r="D60" s="364">
        <v>41.9</v>
      </c>
      <c r="E60" s="67">
        <v>4.45</v>
      </c>
      <c r="F60" s="67">
        <v>7.45</v>
      </c>
      <c r="G60" s="68"/>
      <c r="H60" s="69"/>
      <c r="I60" s="70"/>
      <c r="J60" s="68"/>
      <c r="K60" s="122"/>
      <c r="L60" s="68"/>
      <c r="M60" s="122"/>
      <c r="N60" s="80"/>
      <c r="O60" s="122"/>
      <c r="P60" s="45" t="str">
        <f>IF(B60=('23 days'!B60-(SUM(J60,L60,N60))),"OK","verificar")</f>
        <v>OK</v>
      </c>
    </row>
    <row r="61" spans="1:16" ht="16.5" customHeight="1" x14ac:dyDescent="0.25">
      <c r="A61" s="74">
        <f>IF('1 day'!A61&lt;&gt;"",'1 day'!A61,"")</f>
        <v>57</v>
      </c>
      <c r="B61" s="378">
        <v>36</v>
      </c>
      <c r="C61" s="367">
        <v>43.35</v>
      </c>
      <c r="D61" s="364">
        <v>41.4</v>
      </c>
      <c r="E61" s="67">
        <v>8.75</v>
      </c>
      <c r="F61" s="67">
        <v>8.5500000000000007</v>
      </c>
      <c r="G61" s="68"/>
      <c r="H61" s="69"/>
      <c r="I61" s="70"/>
      <c r="J61" s="68"/>
      <c r="K61" s="122"/>
      <c r="L61" s="68">
        <v>1</v>
      </c>
      <c r="M61" s="122">
        <v>1.1499999999999999</v>
      </c>
      <c r="N61" s="80"/>
      <c r="O61" s="122"/>
      <c r="P61" s="45" t="str">
        <f>IF(B61=('23 days'!B61-(SUM(J61,L61,N61))),"OK","verificar")</f>
        <v>OK</v>
      </c>
    </row>
    <row r="62" spans="1:16" ht="16.5" customHeight="1" x14ac:dyDescent="0.25">
      <c r="A62" s="74">
        <f>IF('1 day'!A62&lt;&gt;"",'1 day'!A62,"")</f>
        <v>58</v>
      </c>
      <c r="B62" s="378">
        <v>38</v>
      </c>
      <c r="C62" s="367">
        <v>47.5</v>
      </c>
      <c r="D62" s="364">
        <v>41.85</v>
      </c>
      <c r="E62" s="67">
        <v>4.95</v>
      </c>
      <c r="F62" s="67">
        <v>7.9</v>
      </c>
      <c r="G62" s="68"/>
      <c r="H62" s="69"/>
      <c r="I62" s="70"/>
      <c r="J62" s="68"/>
      <c r="K62" s="122"/>
      <c r="L62" s="68">
        <v>1</v>
      </c>
      <c r="M62" s="122">
        <v>1</v>
      </c>
      <c r="N62" s="80"/>
      <c r="O62" s="122"/>
      <c r="P62" s="45" t="str">
        <f>IF(B62=('23 days'!B62-(SUM(J62,L62,N62))),"OK","verificar")</f>
        <v>OK</v>
      </c>
    </row>
    <row r="63" spans="1:16" ht="16.5" customHeight="1" x14ac:dyDescent="0.25">
      <c r="A63" s="74">
        <f>IF('1 day'!A63&lt;&gt;"",'1 day'!A63,"")</f>
        <v>59</v>
      </c>
      <c r="B63" s="378">
        <v>40</v>
      </c>
      <c r="C63" s="367">
        <v>48.75</v>
      </c>
      <c r="D63" s="364">
        <v>41.65</v>
      </c>
      <c r="E63" s="67">
        <v>4.75</v>
      </c>
      <c r="F63" s="67">
        <v>6.15</v>
      </c>
      <c r="G63" s="68"/>
      <c r="H63" s="69"/>
      <c r="I63" s="70"/>
      <c r="J63" s="68"/>
      <c r="K63" s="122"/>
      <c r="L63" s="68"/>
      <c r="M63" s="122"/>
      <c r="N63" s="80"/>
      <c r="O63" s="122"/>
      <c r="P63" s="45" t="str">
        <f>IF(B63=('23 days'!B63-(SUM(J63,L63,N63))),"OK","verificar")</f>
        <v>OK</v>
      </c>
    </row>
    <row r="64" spans="1:16" ht="16.5" customHeight="1" x14ac:dyDescent="0.25">
      <c r="A64" s="74">
        <f>IF('1 day'!A64&lt;&gt;"",'1 day'!A64,"")</f>
        <v>60</v>
      </c>
      <c r="B64" s="378">
        <v>39</v>
      </c>
      <c r="C64" s="367">
        <v>46.35</v>
      </c>
      <c r="D64" s="364">
        <v>44</v>
      </c>
      <c r="E64" s="67">
        <v>3.6</v>
      </c>
      <c r="F64" s="67">
        <v>6.85</v>
      </c>
      <c r="G64" s="68"/>
      <c r="H64" s="69"/>
      <c r="I64" s="70"/>
      <c r="J64" s="68"/>
      <c r="K64" s="122"/>
      <c r="L64" s="68"/>
      <c r="M64" s="122"/>
      <c r="N64" s="80"/>
      <c r="O64" s="122"/>
      <c r="P64" s="45" t="str">
        <f>IF(B64=('23 days'!B64-(SUM(J64,L64,N64))),"OK","verificar")</f>
        <v>OK</v>
      </c>
    </row>
    <row r="65" spans="1:16" ht="16.5" customHeight="1" x14ac:dyDescent="0.25">
      <c r="A65" s="74">
        <f>IF('1 day'!A65&lt;&gt;"",'1 day'!A65,"")</f>
        <v>61</v>
      </c>
      <c r="B65" s="378">
        <v>36</v>
      </c>
      <c r="C65" s="367">
        <v>44.4</v>
      </c>
      <c r="D65" s="364">
        <v>42.15</v>
      </c>
      <c r="E65" s="67">
        <v>4.5999999999999996</v>
      </c>
      <c r="F65" s="67">
        <v>10</v>
      </c>
      <c r="G65" s="68"/>
      <c r="H65" s="69"/>
      <c r="I65" s="70"/>
      <c r="J65" s="68"/>
      <c r="K65" s="122"/>
      <c r="L65" s="68">
        <v>1</v>
      </c>
      <c r="M65" s="122">
        <v>1</v>
      </c>
      <c r="N65" s="80"/>
      <c r="O65" s="122"/>
      <c r="P65" s="45" t="str">
        <f>IF(B65=('23 days'!B65-(SUM(J65,L65,N65))),"OK","verificar")</f>
        <v>OK</v>
      </c>
    </row>
    <row r="66" spans="1:16" ht="16.5" customHeight="1" x14ac:dyDescent="0.25">
      <c r="A66" s="74">
        <f>IF('1 day'!A66&lt;&gt;"",'1 day'!A66,"")</f>
        <v>62</v>
      </c>
      <c r="B66" s="378">
        <v>37</v>
      </c>
      <c r="C66" s="367">
        <v>40.200000000000003</v>
      </c>
      <c r="D66" s="364">
        <v>46.75</v>
      </c>
      <c r="E66" s="67">
        <v>4.95</v>
      </c>
      <c r="F66" s="67">
        <v>8.5500000000000007</v>
      </c>
      <c r="G66" s="68"/>
      <c r="H66" s="69"/>
      <c r="I66" s="70"/>
      <c r="J66" s="68"/>
      <c r="K66" s="122"/>
      <c r="L66" s="68">
        <v>1</v>
      </c>
      <c r="M66" s="122">
        <v>1.1000000000000001</v>
      </c>
      <c r="N66" s="80"/>
      <c r="O66" s="122"/>
      <c r="P66" s="45" t="str">
        <f>IF(B66=('23 days'!B66-(SUM(J66,L66,N66))),"OK","verificar")</f>
        <v>OK</v>
      </c>
    </row>
    <row r="67" spans="1:16" ht="16.5" customHeight="1" x14ac:dyDescent="0.25">
      <c r="A67" s="74">
        <f>IF('1 day'!A67&lt;&gt;"",'1 day'!A67,"")</f>
        <v>63</v>
      </c>
      <c r="B67" s="378">
        <v>38</v>
      </c>
      <c r="C67" s="367">
        <v>46.05</v>
      </c>
      <c r="D67" s="364">
        <v>45.55</v>
      </c>
      <c r="E67" s="67">
        <v>2.4500000000000002</v>
      </c>
      <c r="F67" s="67">
        <v>7.05</v>
      </c>
      <c r="G67" s="68"/>
      <c r="H67" s="69"/>
      <c r="I67" s="70"/>
      <c r="J67" s="68"/>
      <c r="K67" s="122"/>
      <c r="L67" s="68">
        <v>1</v>
      </c>
      <c r="M67" s="122">
        <v>1.1000000000000001</v>
      </c>
      <c r="N67" s="80"/>
      <c r="O67" s="122"/>
      <c r="P67" s="45" t="str">
        <f>IF(B67=('23 days'!B67-(SUM(J67,L67,N67))),"OK","verificar")</f>
        <v>OK</v>
      </c>
    </row>
    <row r="68" spans="1:16" ht="16.5" customHeight="1" x14ac:dyDescent="0.25">
      <c r="A68" s="74">
        <f>IF('1 day'!A68&lt;&gt;"",'1 day'!A68,"")</f>
        <v>64</v>
      </c>
      <c r="B68" s="378">
        <v>36</v>
      </c>
      <c r="C68" s="367">
        <v>43.45</v>
      </c>
      <c r="D68" s="364">
        <v>42.15</v>
      </c>
      <c r="E68" s="67">
        <v>6.15</v>
      </c>
      <c r="F68" s="67">
        <v>9.6999999999999993</v>
      </c>
      <c r="G68" s="68"/>
      <c r="H68" s="69"/>
      <c r="I68" s="70"/>
      <c r="J68" s="68"/>
      <c r="K68" s="122"/>
      <c r="L68" s="68">
        <v>1</v>
      </c>
      <c r="M68" s="122">
        <v>1.1499999999999999</v>
      </c>
      <c r="N68" s="80"/>
      <c r="O68" s="122"/>
      <c r="P68" s="45" t="str">
        <f>IF(B68=('23 days'!B68-(SUM(J68,L68,N68))),"OK","verificar")</f>
        <v>OK</v>
      </c>
    </row>
    <row r="69" spans="1:16" ht="16.5" customHeight="1" x14ac:dyDescent="0.25">
      <c r="A69" s="74">
        <f>IF('1 day'!A69&lt;&gt;"",'1 day'!A69,"")</f>
        <v>65</v>
      </c>
      <c r="B69" s="378">
        <v>37</v>
      </c>
      <c r="C69" s="367">
        <v>44.65</v>
      </c>
      <c r="D69" s="364">
        <v>43.25</v>
      </c>
      <c r="E69" s="67">
        <v>2.7</v>
      </c>
      <c r="F69" s="67">
        <v>7.8</v>
      </c>
      <c r="G69" s="68"/>
      <c r="H69" s="69"/>
      <c r="I69" s="70"/>
      <c r="J69" s="68">
        <v>1</v>
      </c>
      <c r="K69" s="122">
        <v>1.89</v>
      </c>
      <c r="L69" s="68"/>
      <c r="M69" s="122"/>
      <c r="N69" s="80"/>
      <c r="O69" s="122"/>
      <c r="P69" s="45" t="str">
        <f>IF(B69=('23 days'!B69-(SUM(J69,L69,N69))),"OK","verificar")</f>
        <v>OK</v>
      </c>
    </row>
    <row r="70" spans="1:16" ht="16.5" customHeight="1" thickBot="1" x14ac:dyDescent="0.3">
      <c r="A70" s="82">
        <f>IF('1 day'!A70&lt;&gt;"",'1 day'!A70,"")</f>
        <v>66</v>
      </c>
      <c r="B70" s="379">
        <v>35</v>
      </c>
      <c r="C70" s="368">
        <v>40.549999999999997</v>
      </c>
      <c r="D70" s="365">
        <v>44.3</v>
      </c>
      <c r="E70" s="84">
        <v>3.65</v>
      </c>
      <c r="F70" s="84">
        <v>8.85</v>
      </c>
      <c r="G70" s="85"/>
      <c r="H70" s="86"/>
      <c r="I70" s="87"/>
      <c r="J70" s="85">
        <v>2</v>
      </c>
      <c r="K70" s="123">
        <v>2.79</v>
      </c>
      <c r="L70" s="85">
        <v>1</v>
      </c>
      <c r="M70" s="123">
        <v>0.8</v>
      </c>
      <c r="N70" s="89"/>
      <c r="O70" s="123"/>
      <c r="P70" s="45" t="str">
        <f>IF(B70=('23 days'!B70-(SUM(J70,L70,N70))),"OK","verificar")</f>
        <v>OK</v>
      </c>
    </row>
    <row r="71" spans="1:16" ht="16.5" customHeight="1" x14ac:dyDescent="0.25">
      <c r="M71" s="134"/>
    </row>
  </sheetData>
  <protectedRanges>
    <protectedRange sqref="A5:B14" name="Intervalo9"/>
    <protectedRange sqref="C3:F3" name="Intervalo1_1_1"/>
    <protectedRange sqref="I2" name="Intervalo1"/>
    <protectedRange sqref="C5:O70" name="Intervalo8_1"/>
  </protectedRanges>
  <mergeCells count="9">
    <mergeCell ref="C1:O1"/>
    <mergeCell ref="C4:D4"/>
    <mergeCell ref="C2:D2"/>
    <mergeCell ref="A2:A3"/>
    <mergeCell ref="J2:K3"/>
    <mergeCell ref="L2:O3"/>
    <mergeCell ref="G2:H2"/>
    <mergeCell ref="G3:I3"/>
    <mergeCell ref="C3:D3"/>
  </mergeCells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5"/>
  <dimension ref="A1:Y70"/>
  <sheetViews>
    <sheetView zoomScaleNormal="100" workbookViewId="0">
      <pane xSplit="1" ySplit="4" topLeftCell="B32" activePane="bottomRight" state="frozen"/>
      <selection activeCell="B5" sqref="B5"/>
      <selection pane="topRight" activeCell="B5" sqref="B5"/>
      <selection pane="bottomLeft" activeCell="B5" sqref="B5"/>
      <selection pane="bottomRight" activeCell="B38" sqref="B38"/>
    </sheetView>
  </sheetViews>
  <sheetFormatPr defaultRowHeight="16.5" customHeight="1" x14ac:dyDescent="0.25"/>
  <cols>
    <col min="1" max="1" width="7.7109375" style="45" customWidth="1"/>
    <col min="2" max="2" width="10.5703125" style="45" bestFit="1" customWidth="1"/>
    <col min="3" max="4" width="7.7109375" style="45" customWidth="1"/>
    <col min="5" max="6" width="14.7109375" style="45" customWidth="1"/>
    <col min="7" max="7" width="12.7109375" style="45" customWidth="1"/>
    <col min="8" max="8" width="12.140625" style="45" bestFit="1" customWidth="1"/>
    <col min="9" max="9" width="12.7109375" style="45" customWidth="1"/>
    <col min="10" max="10" width="9.7109375" style="45" customWidth="1"/>
    <col min="11" max="11" width="12.7109375" style="45" customWidth="1"/>
    <col min="12" max="12" width="10.28515625" style="45" bestFit="1" customWidth="1"/>
    <col min="13" max="13" width="12.7109375" style="45" customWidth="1"/>
    <col min="14" max="16384" width="9.140625" style="45"/>
  </cols>
  <sheetData>
    <row r="1" spans="1:16" ht="30" customHeight="1" thickBot="1" x14ac:dyDescent="0.3">
      <c r="A1" s="43" t="s">
        <v>42</v>
      </c>
      <c r="B1" s="485">
        <v>43568</v>
      </c>
      <c r="C1" s="512" t="s">
        <v>99</v>
      </c>
      <c r="D1" s="513"/>
      <c r="E1" s="513"/>
      <c r="F1" s="513"/>
      <c r="G1" s="513"/>
      <c r="H1" s="513"/>
      <c r="I1" s="513"/>
      <c r="J1" s="513"/>
      <c r="K1" s="513"/>
      <c r="L1" s="513"/>
      <c r="M1" s="513"/>
      <c r="N1" s="513"/>
      <c r="O1" s="514"/>
    </row>
    <row r="2" spans="1:16" ht="16.5" customHeight="1" thickBot="1" x14ac:dyDescent="0.3">
      <c r="A2" s="528"/>
      <c r="B2" s="369"/>
      <c r="C2" s="525" t="s">
        <v>57</v>
      </c>
      <c r="D2" s="527"/>
      <c r="E2" s="46" t="s">
        <v>48</v>
      </c>
      <c r="F2" s="201" t="s">
        <v>49</v>
      </c>
      <c r="G2" s="525" t="s">
        <v>74</v>
      </c>
      <c r="H2" s="527"/>
      <c r="I2" s="202">
        <v>161.03</v>
      </c>
      <c r="J2" s="521" t="s">
        <v>33</v>
      </c>
      <c r="K2" s="522"/>
      <c r="L2" s="530" t="s">
        <v>50</v>
      </c>
      <c r="M2" s="531"/>
      <c r="N2" s="531"/>
      <c r="O2" s="532"/>
    </row>
    <row r="3" spans="1:16" ht="16.5" customHeight="1" thickBot="1" x14ac:dyDescent="0.3">
      <c r="A3" s="529"/>
      <c r="B3" s="370"/>
      <c r="C3" s="540">
        <v>16.5</v>
      </c>
      <c r="D3" s="541"/>
      <c r="E3" s="124">
        <v>0.35</v>
      </c>
      <c r="F3" s="125">
        <v>1.85</v>
      </c>
      <c r="G3" s="525" t="s">
        <v>32</v>
      </c>
      <c r="H3" s="526"/>
      <c r="I3" s="527"/>
      <c r="J3" s="523"/>
      <c r="K3" s="524"/>
      <c r="L3" s="533"/>
      <c r="M3" s="534"/>
      <c r="N3" s="534"/>
      <c r="O3" s="535"/>
    </row>
    <row r="4" spans="1:16" s="64" customFormat="1" ht="35.25" customHeight="1" thickBot="1" x14ac:dyDescent="0.3">
      <c r="A4" s="53" t="s">
        <v>0</v>
      </c>
      <c r="B4" s="55" t="s">
        <v>100</v>
      </c>
      <c r="C4" s="536" t="s">
        <v>54</v>
      </c>
      <c r="D4" s="537"/>
      <c r="E4" s="55" t="s">
        <v>55</v>
      </c>
      <c r="F4" s="55" t="s">
        <v>56</v>
      </c>
      <c r="G4" s="56" t="s">
        <v>40</v>
      </c>
      <c r="H4" s="57" t="s">
        <v>39</v>
      </c>
      <c r="I4" s="58" t="s">
        <v>41</v>
      </c>
      <c r="J4" s="56" t="s">
        <v>34</v>
      </c>
      <c r="K4" s="54" t="s">
        <v>35</v>
      </c>
      <c r="L4" s="59" t="s">
        <v>51</v>
      </c>
      <c r="M4" s="54" t="s">
        <v>35</v>
      </c>
      <c r="N4" s="57" t="s">
        <v>52</v>
      </c>
      <c r="O4" s="54" t="s">
        <v>35</v>
      </c>
    </row>
    <row r="5" spans="1:16" ht="16.5" customHeight="1" x14ac:dyDescent="0.25">
      <c r="A5" s="65">
        <f>IF('1 day'!A5&lt;&gt;"",'1 day'!A5,"")</f>
        <v>1</v>
      </c>
      <c r="B5" s="465">
        <v>39</v>
      </c>
      <c r="C5" s="469">
        <v>60</v>
      </c>
      <c r="D5" s="469">
        <v>62.6</v>
      </c>
      <c r="E5" s="468">
        <v>0</v>
      </c>
      <c r="F5" s="468">
        <v>9.35</v>
      </c>
      <c r="G5" s="470">
        <v>0</v>
      </c>
      <c r="H5" s="471">
        <v>0</v>
      </c>
      <c r="I5" s="472">
        <v>0</v>
      </c>
      <c r="J5" s="470"/>
      <c r="K5" s="473"/>
      <c r="L5" s="474"/>
      <c r="M5" s="475"/>
      <c r="N5" s="476"/>
      <c r="O5" s="475"/>
      <c r="P5" s="45" t="str">
        <f>IF(B5=('32 days'!B5-(SUM(J5,L5,N5))),"OK","verificar")</f>
        <v>OK</v>
      </c>
    </row>
    <row r="6" spans="1:16" ht="16.5" customHeight="1" x14ac:dyDescent="0.25">
      <c r="A6" s="74">
        <f>IF('1 day'!A6&lt;&gt;"",'1 day'!A6,"")</f>
        <v>2</v>
      </c>
      <c r="B6" s="466">
        <v>38</v>
      </c>
      <c r="C6" s="477">
        <v>60.65</v>
      </c>
      <c r="D6" s="477">
        <v>59.1</v>
      </c>
      <c r="E6" s="468">
        <v>0</v>
      </c>
      <c r="F6" s="468">
        <v>10.15</v>
      </c>
      <c r="G6" s="470">
        <v>0</v>
      </c>
      <c r="H6" s="471">
        <v>0</v>
      </c>
      <c r="I6" s="472">
        <v>0</v>
      </c>
      <c r="J6" s="470">
        <v>1</v>
      </c>
      <c r="K6" s="473">
        <v>2.1139999999999999</v>
      </c>
      <c r="L6" s="478"/>
      <c r="M6" s="479"/>
      <c r="N6" s="480"/>
      <c r="O6" s="479"/>
      <c r="P6" s="45" t="str">
        <f>IF(B6=('32 days'!B6-(SUM(J6,L6,N6))),"OK","verificar")</f>
        <v>OK</v>
      </c>
    </row>
    <row r="7" spans="1:16" ht="16.5" customHeight="1" x14ac:dyDescent="0.25">
      <c r="A7" s="74">
        <f>IF('1 day'!A7&lt;&gt;"",'1 day'!A7,"")</f>
        <v>3</v>
      </c>
      <c r="B7" s="466">
        <v>35</v>
      </c>
      <c r="C7" s="477">
        <v>52.3</v>
      </c>
      <c r="D7" s="477">
        <v>60.55</v>
      </c>
      <c r="E7" s="468">
        <v>3.3</v>
      </c>
      <c r="F7" s="468">
        <v>11.25</v>
      </c>
      <c r="G7" s="470">
        <v>0</v>
      </c>
      <c r="H7" s="471">
        <v>0</v>
      </c>
      <c r="I7" s="472">
        <v>0</v>
      </c>
      <c r="J7" s="470">
        <v>1</v>
      </c>
      <c r="K7" s="473">
        <v>2.3010000000000002</v>
      </c>
      <c r="L7" s="478"/>
      <c r="M7" s="479"/>
      <c r="N7" s="480"/>
      <c r="O7" s="479"/>
      <c r="P7" s="45" t="str">
        <f>IF(B7=('32 days'!B7-(SUM(J7,L7,N7))),"OK","verificar")</f>
        <v>OK</v>
      </c>
    </row>
    <row r="8" spans="1:16" ht="16.5" customHeight="1" x14ac:dyDescent="0.25">
      <c r="A8" s="74">
        <f>IF('1 day'!A8&lt;&gt;"",'1 day'!A8,"")</f>
        <v>4</v>
      </c>
      <c r="B8" s="466">
        <v>37</v>
      </c>
      <c r="C8" s="477">
        <v>56.65</v>
      </c>
      <c r="D8" s="477">
        <v>64.900000000000006</v>
      </c>
      <c r="E8" s="468">
        <v>0</v>
      </c>
      <c r="F8" s="468">
        <v>9.9499999999999993</v>
      </c>
      <c r="G8" s="470">
        <v>0</v>
      </c>
      <c r="H8" s="471">
        <v>0</v>
      </c>
      <c r="I8" s="472">
        <v>0</v>
      </c>
      <c r="J8" s="470">
        <v>2</v>
      </c>
      <c r="K8" s="473">
        <v>4.4000000000000004</v>
      </c>
      <c r="L8" s="478"/>
      <c r="M8" s="473"/>
      <c r="N8" s="480"/>
      <c r="O8" s="473"/>
      <c r="P8" s="45" t="str">
        <f>IF(B8=('32 days'!B8-(SUM(J8,L8,N8))),"OK","verificar")</f>
        <v>OK</v>
      </c>
    </row>
    <row r="9" spans="1:16" ht="16.5" customHeight="1" x14ac:dyDescent="0.25">
      <c r="A9" s="74">
        <f>IF('1 day'!A9&lt;&gt;"",'1 day'!A9,"")</f>
        <v>5</v>
      </c>
      <c r="B9" s="466">
        <v>39</v>
      </c>
      <c r="C9" s="477">
        <v>59.35</v>
      </c>
      <c r="D9" s="477">
        <v>65.8</v>
      </c>
      <c r="E9" s="468">
        <v>0</v>
      </c>
      <c r="F9" s="468">
        <v>7.65</v>
      </c>
      <c r="G9" s="470">
        <v>0</v>
      </c>
      <c r="H9" s="471">
        <v>0</v>
      </c>
      <c r="I9" s="472">
        <v>0</v>
      </c>
      <c r="J9" s="470"/>
      <c r="K9" s="473"/>
      <c r="L9" s="478"/>
      <c r="M9" s="479"/>
      <c r="N9" s="480"/>
      <c r="O9" s="479"/>
      <c r="P9" s="45" t="str">
        <f>IF(B9=('32 days'!B9-(SUM(J9,L9,N9))),"OK","verificar")</f>
        <v>OK</v>
      </c>
    </row>
    <row r="10" spans="1:16" ht="16.5" customHeight="1" x14ac:dyDescent="0.25">
      <c r="A10" s="74">
        <f>IF('1 day'!A10&lt;&gt;"",'1 day'!A10,"")</f>
        <v>6</v>
      </c>
      <c r="B10" s="466">
        <v>36</v>
      </c>
      <c r="C10" s="477">
        <v>56.95</v>
      </c>
      <c r="D10" s="477">
        <v>54.4</v>
      </c>
      <c r="E10" s="468">
        <v>4.1500000000000004</v>
      </c>
      <c r="F10" s="468">
        <v>11.85</v>
      </c>
      <c r="G10" s="470">
        <v>0</v>
      </c>
      <c r="H10" s="471">
        <v>0</v>
      </c>
      <c r="I10" s="472">
        <v>0</v>
      </c>
      <c r="J10" s="470"/>
      <c r="K10" s="473"/>
      <c r="L10" s="478"/>
      <c r="M10" s="479"/>
      <c r="N10" s="480"/>
      <c r="O10" s="479"/>
      <c r="P10" s="45" t="str">
        <f>IF(B10=('32 days'!B10-(SUM(J10,L10,N10))),"OK","verificar")</f>
        <v>OK</v>
      </c>
    </row>
    <row r="11" spans="1:16" ht="16.5" customHeight="1" x14ac:dyDescent="0.25">
      <c r="A11" s="74">
        <f>IF('1 day'!A11&lt;&gt;"",'1 day'!A11,"")</f>
        <v>7</v>
      </c>
      <c r="B11" s="466">
        <v>38</v>
      </c>
      <c r="C11" s="477">
        <v>60.9</v>
      </c>
      <c r="D11" s="477">
        <v>60</v>
      </c>
      <c r="E11" s="468">
        <v>1.5</v>
      </c>
      <c r="F11" s="468">
        <v>11.5</v>
      </c>
      <c r="G11" s="470">
        <v>0</v>
      </c>
      <c r="H11" s="471">
        <v>0</v>
      </c>
      <c r="I11" s="472">
        <v>0</v>
      </c>
      <c r="J11" s="470"/>
      <c r="K11" s="473"/>
      <c r="L11" s="478"/>
      <c r="M11" s="479"/>
      <c r="N11" s="480"/>
      <c r="O11" s="479"/>
      <c r="P11" s="45" t="str">
        <f>IF(B11=('32 days'!B11-(SUM(J11,L11,N11))),"OK","verificar")</f>
        <v>OK</v>
      </c>
    </row>
    <row r="12" spans="1:16" ht="16.5" customHeight="1" x14ac:dyDescent="0.25">
      <c r="A12" s="74">
        <f>IF('1 day'!A12&lt;&gt;"",'1 day'!A12,"")</f>
        <v>8</v>
      </c>
      <c r="B12" s="466">
        <v>36</v>
      </c>
      <c r="C12" s="477">
        <v>57.4</v>
      </c>
      <c r="D12" s="477">
        <v>56.45</v>
      </c>
      <c r="E12" s="468">
        <v>2.1</v>
      </c>
      <c r="F12" s="468">
        <v>10.55</v>
      </c>
      <c r="G12" s="470">
        <v>0</v>
      </c>
      <c r="H12" s="471">
        <v>0</v>
      </c>
      <c r="I12" s="472">
        <v>0</v>
      </c>
      <c r="J12" s="470">
        <v>2</v>
      </c>
      <c r="K12" s="473">
        <v>4.2329999999999997</v>
      </c>
      <c r="L12" s="470"/>
      <c r="M12" s="473"/>
      <c r="N12" s="472"/>
      <c r="O12" s="473"/>
      <c r="P12" s="45" t="str">
        <f>IF(B12=('32 days'!B12-(SUM(J12,L12,N12))),"OK","verificar")</f>
        <v>OK</v>
      </c>
    </row>
    <row r="13" spans="1:16" ht="16.5" customHeight="1" x14ac:dyDescent="0.25">
      <c r="A13" s="74">
        <f>IF('1 day'!A13&lt;&gt;"",'1 day'!A13,"")</f>
        <v>9</v>
      </c>
      <c r="B13" s="466">
        <v>40</v>
      </c>
      <c r="C13" s="477">
        <v>55.2</v>
      </c>
      <c r="D13" s="477">
        <v>61.15</v>
      </c>
      <c r="E13" s="468">
        <v>2.2999999999999998</v>
      </c>
      <c r="F13" s="468">
        <v>11</v>
      </c>
      <c r="G13" s="470">
        <v>0</v>
      </c>
      <c r="H13" s="471">
        <v>0</v>
      </c>
      <c r="I13" s="472">
        <v>0</v>
      </c>
      <c r="J13" s="470"/>
      <c r="K13" s="473"/>
      <c r="L13" s="478"/>
      <c r="M13" s="479"/>
      <c r="N13" s="480"/>
      <c r="O13" s="479"/>
      <c r="P13" s="45" t="str">
        <f>IF(B13=('32 days'!B13-(SUM(J13,L13,N13))),"OK","verificar")</f>
        <v>verificar</v>
      </c>
    </row>
    <row r="14" spans="1:16" ht="16.5" customHeight="1" x14ac:dyDescent="0.25">
      <c r="A14" s="74">
        <f>IF('1 day'!A14&lt;&gt;"",'1 day'!A14,"")</f>
        <v>10</v>
      </c>
      <c r="B14" s="466">
        <v>36</v>
      </c>
      <c r="C14" s="477">
        <v>57.8</v>
      </c>
      <c r="D14" s="477">
        <v>66.25</v>
      </c>
      <c r="E14" s="468">
        <v>0</v>
      </c>
      <c r="F14" s="468">
        <v>9.15</v>
      </c>
      <c r="G14" s="470">
        <v>0</v>
      </c>
      <c r="H14" s="471">
        <v>0</v>
      </c>
      <c r="I14" s="472">
        <v>0</v>
      </c>
      <c r="J14" s="470">
        <v>1</v>
      </c>
      <c r="K14" s="473">
        <v>2.468</v>
      </c>
      <c r="L14" s="470"/>
      <c r="M14" s="473"/>
      <c r="N14" s="472"/>
      <c r="O14" s="473"/>
      <c r="P14" s="45" t="str">
        <f>IF(B14=('32 days'!B14-(SUM(J14,L14,N14))),"OK","verificar")</f>
        <v>OK</v>
      </c>
    </row>
    <row r="15" spans="1:16" ht="16.5" customHeight="1" x14ac:dyDescent="0.25">
      <c r="A15" s="74">
        <f>IF('1 day'!A15&lt;&gt;"",'1 day'!A15,"")</f>
        <v>11</v>
      </c>
      <c r="B15" s="466">
        <v>38</v>
      </c>
      <c r="C15" s="477">
        <v>58.55</v>
      </c>
      <c r="D15" s="477">
        <v>55.75</v>
      </c>
      <c r="E15" s="468">
        <v>3.05</v>
      </c>
      <c r="F15" s="468">
        <v>10.65</v>
      </c>
      <c r="G15" s="470">
        <v>0</v>
      </c>
      <c r="H15" s="471">
        <v>0</v>
      </c>
      <c r="I15" s="472">
        <v>0</v>
      </c>
      <c r="J15" s="470"/>
      <c r="K15" s="473"/>
      <c r="L15" s="470"/>
      <c r="M15" s="473"/>
      <c r="N15" s="472"/>
      <c r="O15" s="473"/>
      <c r="P15" s="45" t="str">
        <f>IF(B15=('32 days'!B15-(SUM(J15,L15,N15))),"OK","verificar")</f>
        <v>OK</v>
      </c>
    </row>
    <row r="16" spans="1:16" ht="16.5" customHeight="1" x14ac:dyDescent="0.25">
      <c r="A16" s="74">
        <f>IF('1 day'!A16&lt;&gt;"",'1 day'!A16,"")</f>
        <v>12</v>
      </c>
      <c r="B16" s="466">
        <v>38</v>
      </c>
      <c r="C16" s="477">
        <v>53.9</v>
      </c>
      <c r="D16" s="477">
        <v>62.3</v>
      </c>
      <c r="E16" s="468">
        <v>1.55</v>
      </c>
      <c r="F16" s="468">
        <v>11.3</v>
      </c>
      <c r="G16" s="470">
        <v>0</v>
      </c>
      <c r="H16" s="471">
        <v>0</v>
      </c>
      <c r="I16" s="472">
        <v>0</v>
      </c>
      <c r="J16" s="470"/>
      <c r="K16" s="473"/>
      <c r="L16" s="470"/>
      <c r="M16" s="473"/>
      <c r="N16" s="472"/>
      <c r="O16" s="473"/>
      <c r="P16" s="45" t="str">
        <f>IF(B16=('32 days'!B16-(SUM(J16,L16,N16))),"OK","verificar")</f>
        <v>OK</v>
      </c>
    </row>
    <row r="17" spans="1:25" ht="16.5" customHeight="1" x14ac:dyDescent="0.25">
      <c r="A17" s="74">
        <f>IF('1 day'!A17&lt;&gt;"",'1 day'!A17,"")</f>
        <v>13</v>
      </c>
      <c r="B17" s="466">
        <v>38</v>
      </c>
      <c r="C17" s="477">
        <v>51.3</v>
      </c>
      <c r="D17" s="477">
        <v>68.25</v>
      </c>
      <c r="E17" s="468">
        <v>1.65</v>
      </c>
      <c r="F17" s="468">
        <v>10.7</v>
      </c>
      <c r="G17" s="470">
        <v>0</v>
      </c>
      <c r="H17" s="471">
        <v>0</v>
      </c>
      <c r="I17" s="472">
        <v>0</v>
      </c>
      <c r="J17" s="470"/>
      <c r="K17" s="473"/>
      <c r="L17" s="470"/>
      <c r="M17" s="473"/>
      <c r="N17" s="472"/>
      <c r="O17" s="473"/>
      <c r="P17" s="45" t="str">
        <f>IF(B17=('32 days'!B17-(SUM(J17,L17,N17))),"OK","verificar")</f>
        <v>OK</v>
      </c>
    </row>
    <row r="18" spans="1:25" ht="16.5" customHeight="1" x14ac:dyDescent="0.25">
      <c r="A18" s="74">
        <f>IF('1 day'!A18&lt;&gt;"",'1 day'!A18,"")</f>
        <v>14</v>
      </c>
      <c r="B18" s="466">
        <v>37</v>
      </c>
      <c r="C18" s="477">
        <v>62.2</v>
      </c>
      <c r="D18" s="477">
        <v>55</v>
      </c>
      <c r="E18" s="468">
        <v>3.95</v>
      </c>
      <c r="F18" s="468">
        <v>10.65</v>
      </c>
      <c r="G18" s="470">
        <v>0</v>
      </c>
      <c r="H18" s="471">
        <v>0</v>
      </c>
      <c r="I18" s="472">
        <v>0</v>
      </c>
      <c r="J18" s="470"/>
      <c r="K18" s="473"/>
      <c r="L18" s="470"/>
      <c r="M18" s="473"/>
      <c r="N18" s="472"/>
      <c r="O18" s="473"/>
      <c r="P18" s="45" t="str">
        <f>IF(B18=('32 days'!B18-(SUM(J18,L18,N18))),"OK","verificar")</f>
        <v>OK</v>
      </c>
    </row>
    <row r="19" spans="1:25" ht="16.5" customHeight="1" x14ac:dyDescent="0.25">
      <c r="A19" s="74">
        <f>IF('1 day'!A19&lt;&gt;"",'1 day'!A19,"")</f>
        <v>15</v>
      </c>
      <c r="B19" s="466">
        <v>37</v>
      </c>
      <c r="C19" s="477">
        <v>54.75</v>
      </c>
      <c r="D19" s="477">
        <v>62.8</v>
      </c>
      <c r="E19" s="468">
        <v>3.5</v>
      </c>
      <c r="F19" s="468">
        <v>10.8</v>
      </c>
      <c r="G19" s="470">
        <v>0</v>
      </c>
      <c r="H19" s="471">
        <v>0</v>
      </c>
      <c r="I19" s="472">
        <v>0</v>
      </c>
      <c r="J19" s="470"/>
      <c r="K19" s="473"/>
      <c r="L19" s="470"/>
      <c r="M19" s="473"/>
      <c r="N19" s="472"/>
      <c r="O19" s="473"/>
      <c r="P19" s="45" t="str">
        <f>IF(B19=('32 days'!B19-(SUM(J19,L19,N19))),"OK","verificar")</f>
        <v>OK</v>
      </c>
    </row>
    <row r="20" spans="1:25" ht="16.5" customHeight="1" x14ac:dyDescent="0.25">
      <c r="A20" s="74">
        <f>IF('1 day'!A20&lt;&gt;"",'1 day'!A20,"")</f>
        <v>16</v>
      </c>
      <c r="B20" s="466">
        <v>38</v>
      </c>
      <c r="C20" s="477">
        <v>59.65</v>
      </c>
      <c r="D20" s="477">
        <v>65.650000000000006</v>
      </c>
      <c r="E20" s="468">
        <v>0</v>
      </c>
      <c r="F20" s="468">
        <v>9.9</v>
      </c>
      <c r="G20" s="470">
        <v>0</v>
      </c>
      <c r="H20" s="471">
        <v>0</v>
      </c>
      <c r="I20" s="472">
        <v>0</v>
      </c>
      <c r="J20" s="470"/>
      <c r="K20" s="473"/>
      <c r="L20" s="470"/>
      <c r="M20" s="473"/>
      <c r="N20" s="472"/>
      <c r="O20" s="473"/>
      <c r="P20" s="45" t="str">
        <f>IF(B20=('32 days'!B20-(SUM(J20,L20,N20))),"OK","verificar")</f>
        <v>OK</v>
      </c>
    </row>
    <row r="21" spans="1:25" ht="16.5" customHeight="1" x14ac:dyDescent="0.25">
      <c r="A21" s="74">
        <f>IF('1 day'!A21&lt;&gt;"",'1 day'!A21,"")</f>
        <v>17</v>
      </c>
      <c r="B21" s="466">
        <v>39</v>
      </c>
      <c r="C21" s="477">
        <v>59.65</v>
      </c>
      <c r="D21" s="477">
        <v>61.05</v>
      </c>
      <c r="E21" s="468">
        <v>0</v>
      </c>
      <c r="F21" s="468">
        <v>10.35</v>
      </c>
      <c r="G21" s="470">
        <v>0</v>
      </c>
      <c r="H21" s="471">
        <v>0</v>
      </c>
      <c r="I21" s="472">
        <v>0</v>
      </c>
      <c r="J21" s="470"/>
      <c r="K21" s="473"/>
      <c r="L21" s="470"/>
      <c r="M21" s="473"/>
      <c r="N21" s="472"/>
      <c r="O21" s="473"/>
      <c r="P21" s="45" t="str">
        <f>IF(B21=('32 days'!B21-(SUM(J21,L21,N21))),"OK","verificar")</f>
        <v>OK</v>
      </c>
    </row>
    <row r="22" spans="1:25" ht="16.5" customHeight="1" x14ac:dyDescent="0.25">
      <c r="A22" s="74">
        <f>IF('1 day'!A22&lt;&gt;"",'1 day'!A22,"")</f>
        <v>18</v>
      </c>
      <c r="B22" s="466">
        <v>39</v>
      </c>
      <c r="C22" s="477">
        <v>57.35</v>
      </c>
      <c r="D22" s="477">
        <v>66.650000000000006</v>
      </c>
      <c r="E22" s="468">
        <v>0</v>
      </c>
      <c r="F22" s="468">
        <v>8.1999999999999993</v>
      </c>
      <c r="G22" s="470">
        <v>0</v>
      </c>
      <c r="H22" s="471">
        <v>0</v>
      </c>
      <c r="I22" s="472">
        <v>0</v>
      </c>
      <c r="J22" s="470">
        <v>1</v>
      </c>
      <c r="K22" s="473">
        <v>2.65</v>
      </c>
      <c r="L22" s="470"/>
      <c r="M22" s="473"/>
      <c r="N22" s="472"/>
      <c r="O22" s="473"/>
      <c r="P22" s="45" t="str">
        <f>IF(B22=('32 days'!B22-(SUM(J22,L22,N22))),"OK","verificar")</f>
        <v>OK</v>
      </c>
    </row>
    <row r="23" spans="1:25" ht="16.5" customHeight="1" x14ac:dyDescent="0.25">
      <c r="A23" s="74">
        <f>IF('1 day'!A23&lt;&gt;"",'1 day'!A23,"")</f>
        <v>19</v>
      </c>
      <c r="B23" s="466">
        <v>34</v>
      </c>
      <c r="C23" s="477">
        <v>56.5</v>
      </c>
      <c r="D23" s="477">
        <v>51.3</v>
      </c>
      <c r="E23" s="468">
        <v>11.65</v>
      </c>
      <c r="F23" s="468">
        <v>5.75</v>
      </c>
      <c r="G23" s="470">
        <v>0</v>
      </c>
      <c r="H23" s="471">
        <v>0</v>
      </c>
      <c r="I23" s="472">
        <v>0</v>
      </c>
      <c r="J23" s="470"/>
      <c r="K23" s="473"/>
      <c r="L23" s="470"/>
      <c r="M23" s="473"/>
      <c r="N23" s="472"/>
      <c r="O23" s="473"/>
      <c r="P23" s="45" t="str">
        <f>IF(B23=('32 days'!B23-(SUM(J23,L23,N23))),"OK","verificar")</f>
        <v>OK</v>
      </c>
    </row>
    <row r="24" spans="1:25" ht="16.5" customHeight="1" x14ac:dyDescent="0.25">
      <c r="A24" s="74">
        <f>IF('1 day'!A24&lt;&gt;"",'1 day'!A24,"")</f>
        <v>20</v>
      </c>
      <c r="B24" s="466">
        <v>38</v>
      </c>
      <c r="C24" s="477">
        <v>56.55</v>
      </c>
      <c r="D24" s="477">
        <v>63.3</v>
      </c>
      <c r="E24" s="468">
        <v>0</v>
      </c>
      <c r="F24" s="468">
        <v>9.9</v>
      </c>
      <c r="G24" s="470">
        <v>0</v>
      </c>
      <c r="H24" s="471">
        <v>0</v>
      </c>
      <c r="I24" s="472">
        <v>0</v>
      </c>
      <c r="J24" s="470">
        <v>1</v>
      </c>
      <c r="K24" s="473">
        <v>2.8039999999999998</v>
      </c>
      <c r="L24" s="470"/>
      <c r="M24" s="473"/>
      <c r="N24" s="472"/>
      <c r="O24" s="473"/>
      <c r="P24" s="45" t="str">
        <f>IF(B24=('32 days'!B24-(SUM(J24,L24,N24))),"OK","verificar")</f>
        <v>OK</v>
      </c>
    </row>
    <row r="25" spans="1:25" ht="16.5" customHeight="1" x14ac:dyDescent="0.25">
      <c r="A25" s="74">
        <f>IF('1 day'!A25&lt;&gt;"",'1 day'!A25,"")</f>
        <v>21</v>
      </c>
      <c r="B25" s="466">
        <v>34</v>
      </c>
      <c r="C25" s="477">
        <v>51.15</v>
      </c>
      <c r="D25" s="477">
        <v>55</v>
      </c>
      <c r="E25" s="468">
        <v>11.5</v>
      </c>
      <c r="F25" s="468">
        <v>6.5</v>
      </c>
      <c r="G25" s="470">
        <v>0</v>
      </c>
      <c r="H25" s="471">
        <v>0</v>
      </c>
      <c r="I25" s="472">
        <v>0</v>
      </c>
      <c r="J25" s="470">
        <v>1</v>
      </c>
      <c r="K25" s="473">
        <v>2.2109999999999999</v>
      </c>
      <c r="L25" s="470"/>
      <c r="M25" s="473"/>
      <c r="N25" s="472"/>
      <c r="O25" s="473"/>
      <c r="P25" s="45" t="str">
        <f>IF(B25=('32 days'!B25-(SUM(J25,L25,N25))),"OK","verificar")</f>
        <v>OK</v>
      </c>
    </row>
    <row r="26" spans="1:25" ht="16.5" customHeight="1" x14ac:dyDescent="0.25">
      <c r="A26" s="74">
        <f>IF('1 day'!A26&lt;&gt;"",'1 day'!A26,"")</f>
        <v>22</v>
      </c>
      <c r="B26" s="466">
        <v>38</v>
      </c>
      <c r="C26" s="477">
        <v>55.85</v>
      </c>
      <c r="D26" s="477">
        <v>58.5</v>
      </c>
      <c r="E26" s="468">
        <v>2.2999999999999998</v>
      </c>
      <c r="F26" s="468">
        <v>9.75</v>
      </c>
      <c r="G26" s="470">
        <v>0</v>
      </c>
      <c r="H26" s="471">
        <v>0</v>
      </c>
      <c r="I26" s="472">
        <v>0</v>
      </c>
      <c r="J26" s="470">
        <v>1</v>
      </c>
      <c r="K26" s="473">
        <v>2.19</v>
      </c>
      <c r="L26" s="470"/>
      <c r="M26" s="473"/>
      <c r="N26" s="472"/>
      <c r="O26" s="473"/>
      <c r="P26" s="45" t="str">
        <f>IF(B26=('32 days'!B26-(SUM(J26,L26,N26))),"OK","verificar")</f>
        <v>OK</v>
      </c>
    </row>
    <row r="27" spans="1:25" ht="16.5" customHeight="1" x14ac:dyDescent="0.25">
      <c r="A27" s="74">
        <f>IF('1 day'!A27&lt;&gt;"",'1 day'!A27,"")</f>
        <v>23</v>
      </c>
      <c r="B27" s="466">
        <v>39</v>
      </c>
      <c r="C27" s="477">
        <v>57.85</v>
      </c>
      <c r="D27" s="477">
        <v>63.7</v>
      </c>
      <c r="E27" s="468">
        <v>8.15</v>
      </c>
      <c r="F27" s="468">
        <v>4.05</v>
      </c>
      <c r="G27" s="470">
        <v>0</v>
      </c>
      <c r="H27" s="471">
        <v>0</v>
      </c>
      <c r="I27" s="472">
        <v>0</v>
      </c>
      <c r="J27" s="470"/>
      <c r="K27" s="473"/>
      <c r="L27" s="470"/>
      <c r="M27" s="473"/>
      <c r="N27" s="472"/>
      <c r="O27" s="473"/>
      <c r="P27" s="45" t="str">
        <f>IF(B27=('32 days'!B27-(SUM(J27,L27,N27))),"OK","verificar")</f>
        <v>OK</v>
      </c>
    </row>
    <row r="28" spans="1:25" ht="16.5" customHeight="1" x14ac:dyDescent="0.25">
      <c r="A28" s="74">
        <f>IF('1 day'!A28&lt;&gt;"",'1 day'!A28,"")</f>
        <v>24</v>
      </c>
      <c r="B28" s="466">
        <v>39</v>
      </c>
      <c r="C28" s="477">
        <v>63.3</v>
      </c>
      <c r="D28" s="477">
        <v>59.65</v>
      </c>
      <c r="E28" s="468">
        <v>6.9</v>
      </c>
      <c r="F28" s="468">
        <v>3.4</v>
      </c>
      <c r="G28" s="470">
        <v>0</v>
      </c>
      <c r="H28" s="471">
        <v>0</v>
      </c>
      <c r="I28" s="472">
        <v>0</v>
      </c>
      <c r="J28" s="470"/>
      <c r="K28" s="473"/>
      <c r="L28" s="470"/>
      <c r="M28" s="473"/>
      <c r="N28" s="472"/>
      <c r="O28" s="473"/>
      <c r="P28" s="45" t="str">
        <f>IF(B28=('32 days'!B28-(SUM(J28,L28,N28))),"OK","verificar")</f>
        <v>OK</v>
      </c>
    </row>
    <row r="29" spans="1:25" ht="16.5" customHeight="1" x14ac:dyDescent="0.25">
      <c r="A29" s="74">
        <f>IF('1 day'!A29&lt;&gt;"",'1 day'!A29,"")</f>
        <v>25</v>
      </c>
      <c r="B29" s="466">
        <v>39</v>
      </c>
      <c r="C29" s="477">
        <v>65.75</v>
      </c>
      <c r="D29" s="477">
        <v>57.55</v>
      </c>
      <c r="E29" s="468">
        <v>6.45</v>
      </c>
      <c r="F29" s="468">
        <v>3.8</v>
      </c>
      <c r="G29" s="470">
        <v>0</v>
      </c>
      <c r="H29" s="471">
        <v>0</v>
      </c>
      <c r="I29" s="472">
        <v>0</v>
      </c>
      <c r="J29" s="470"/>
      <c r="K29" s="473"/>
      <c r="L29" s="470"/>
      <c r="M29" s="473"/>
      <c r="N29" s="472"/>
      <c r="O29" s="473"/>
      <c r="P29" s="45" t="str">
        <f>IF(B29=('32 days'!B29-(SUM(J29,L29,N29))),"OK","verificar")</f>
        <v>OK</v>
      </c>
    </row>
    <row r="30" spans="1:25" ht="16.5" customHeight="1" x14ac:dyDescent="0.25">
      <c r="A30" s="74">
        <f>IF('1 day'!A30&lt;&gt;"",'1 day'!A30,"")</f>
        <v>26</v>
      </c>
      <c r="B30" s="466">
        <v>39</v>
      </c>
      <c r="C30" s="477">
        <v>59.85</v>
      </c>
      <c r="D30" s="477">
        <v>59.3</v>
      </c>
      <c r="E30" s="468">
        <v>7.65</v>
      </c>
      <c r="F30" s="468">
        <v>4</v>
      </c>
      <c r="G30" s="470">
        <v>0</v>
      </c>
      <c r="H30" s="471">
        <v>0</v>
      </c>
      <c r="I30" s="472">
        <v>0</v>
      </c>
      <c r="J30" s="470"/>
      <c r="K30" s="473"/>
      <c r="L30" s="470"/>
      <c r="M30" s="473"/>
      <c r="N30" s="472"/>
      <c r="O30" s="473"/>
      <c r="P30" s="45" t="str">
        <f>IF(B30=('32 days'!B30-(SUM(J30,L30,N30))),"OK","verificar")</f>
        <v>OK</v>
      </c>
    </row>
    <row r="31" spans="1:25" ht="16.5" customHeight="1" x14ac:dyDescent="0.25">
      <c r="A31" s="74">
        <f>IF('1 day'!A31&lt;&gt;"",'1 day'!A31,"")</f>
        <v>27</v>
      </c>
      <c r="B31" s="466">
        <v>39</v>
      </c>
      <c r="C31" s="477">
        <v>61.65</v>
      </c>
      <c r="D31" s="477">
        <v>63.05</v>
      </c>
      <c r="E31" s="468">
        <v>5.75</v>
      </c>
      <c r="F31" s="468">
        <v>3.75</v>
      </c>
      <c r="G31" s="470">
        <v>0</v>
      </c>
      <c r="H31" s="471">
        <v>0</v>
      </c>
      <c r="I31" s="472">
        <v>0</v>
      </c>
      <c r="J31" s="470"/>
      <c r="K31" s="473"/>
      <c r="L31" s="470"/>
      <c r="M31" s="473"/>
      <c r="N31" s="472"/>
      <c r="O31" s="473"/>
      <c r="P31" s="45" t="str">
        <f>IF(B31=('32 days'!B31-(SUM(J31,L31,N31))),"OK","verificar")</f>
        <v>OK</v>
      </c>
    </row>
    <row r="32" spans="1:25" ht="16.5" customHeight="1" x14ac:dyDescent="0.25">
      <c r="A32" s="74">
        <f>IF('1 day'!A32&lt;&gt;"",'1 day'!A32,"")</f>
        <v>28</v>
      </c>
      <c r="B32" s="466">
        <v>38</v>
      </c>
      <c r="C32" s="477">
        <v>60.25</v>
      </c>
      <c r="D32" s="477">
        <v>56.4</v>
      </c>
      <c r="E32" s="468">
        <v>7.4</v>
      </c>
      <c r="F32" s="468">
        <v>6.4</v>
      </c>
      <c r="G32" s="470">
        <v>0</v>
      </c>
      <c r="H32" s="471">
        <v>0</v>
      </c>
      <c r="I32" s="472">
        <v>0</v>
      </c>
      <c r="J32" s="470">
        <v>2</v>
      </c>
      <c r="K32" s="473">
        <v>5.0949999999999998</v>
      </c>
      <c r="L32" s="470"/>
      <c r="M32" s="473"/>
      <c r="N32" s="472"/>
      <c r="O32" s="473"/>
      <c r="P32" s="45" t="str">
        <f>IF(B32=('32 days'!B32-(SUM(J32,L32,N32))),"OK","verificar")</f>
        <v>OK</v>
      </c>
      <c r="T32" s="380"/>
      <c r="U32" s="380"/>
      <c r="V32" s="380"/>
      <c r="W32" s="380"/>
      <c r="X32" s="380"/>
      <c r="Y32" s="48"/>
    </row>
    <row r="33" spans="1:25" ht="16.5" customHeight="1" x14ac:dyDescent="0.25">
      <c r="A33" s="74">
        <f>IF('1 day'!A33&lt;&gt;"",'1 day'!A33,"")</f>
        <v>29</v>
      </c>
      <c r="B33" s="466">
        <v>37</v>
      </c>
      <c r="C33" s="477">
        <v>70.2</v>
      </c>
      <c r="D33" s="477">
        <v>44.6</v>
      </c>
      <c r="E33" s="468">
        <v>8.9</v>
      </c>
      <c r="F33" s="468">
        <v>5.8</v>
      </c>
      <c r="G33" s="470">
        <v>0</v>
      </c>
      <c r="H33" s="471">
        <v>0</v>
      </c>
      <c r="I33" s="472">
        <v>0</v>
      </c>
      <c r="J33" s="470">
        <v>1</v>
      </c>
      <c r="K33" s="473">
        <v>2.8</v>
      </c>
      <c r="L33" s="470"/>
      <c r="M33" s="473"/>
      <c r="N33" s="472"/>
      <c r="O33" s="473"/>
      <c r="P33" s="45" t="str">
        <f>IF(B33=('32 days'!B33-(SUM(J33,L33,N33))),"OK","verificar")</f>
        <v>OK</v>
      </c>
      <c r="T33" s="380"/>
      <c r="U33" s="380"/>
      <c r="V33" s="380"/>
      <c r="W33" s="380"/>
      <c r="X33" s="380"/>
      <c r="Y33" s="48"/>
    </row>
    <row r="34" spans="1:25" ht="16.5" customHeight="1" x14ac:dyDescent="0.25">
      <c r="A34" s="74">
        <f>IF('1 day'!A34&lt;&gt;"",'1 day'!A34,"")</f>
        <v>30</v>
      </c>
      <c r="B34" s="466">
        <v>37</v>
      </c>
      <c r="C34" s="477">
        <v>63.9</v>
      </c>
      <c r="D34" s="477">
        <v>54.6</v>
      </c>
      <c r="E34" s="468">
        <v>7.15</v>
      </c>
      <c r="F34" s="468">
        <v>5.05</v>
      </c>
      <c r="G34" s="470">
        <v>0</v>
      </c>
      <c r="H34" s="471">
        <v>0</v>
      </c>
      <c r="I34" s="472">
        <v>0</v>
      </c>
      <c r="J34" s="470"/>
      <c r="K34" s="473"/>
      <c r="L34" s="470"/>
      <c r="M34" s="473"/>
      <c r="N34" s="472"/>
      <c r="O34" s="473"/>
      <c r="P34" s="45" t="str">
        <f>IF(B34=('32 days'!B34-(SUM(J34,L34,N34))),"OK","verificar")</f>
        <v>OK</v>
      </c>
      <c r="T34" s="48"/>
      <c r="U34" s="48"/>
      <c r="V34" s="48"/>
      <c r="W34" s="48"/>
      <c r="X34" s="48"/>
      <c r="Y34" s="48"/>
    </row>
    <row r="35" spans="1:25" ht="16.5" customHeight="1" x14ac:dyDescent="0.25">
      <c r="A35" s="74">
        <f>IF('1 day'!A35&lt;&gt;"",'1 day'!A35,"")</f>
        <v>31</v>
      </c>
      <c r="B35" s="466">
        <v>38</v>
      </c>
      <c r="C35" s="477">
        <v>55.25</v>
      </c>
      <c r="D35" s="477">
        <v>58.45</v>
      </c>
      <c r="E35" s="468">
        <v>9.9</v>
      </c>
      <c r="F35" s="468">
        <v>4.4000000000000004</v>
      </c>
      <c r="G35" s="470">
        <v>0</v>
      </c>
      <c r="H35" s="471">
        <v>0</v>
      </c>
      <c r="I35" s="472">
        <v>0</v>
      </c>
      <c r="J35" s="470"/>
      <c r="K35" s="473"/>
      <c r="L35" s="470"/>
      <c r="M35" s="473"/>
      <c r="N35" s="472"/>
      <c r="O35" s="473"/>
      <c r="P35" s="45" t="str">
        <f>IF(B35=('32 days'!B35-(SUM(J35,L35,N35))),"OK","verificar")</f>
        <v>OK</v>
      </c>
      <c r="T35" s="48"/>
      <c r="U35" s="48"/>
      <c r="V35" s="48"/>
      <c r="W35" s="48"/>
      <c r="X35" s="48"/>
      <c r="Y35" s="48"/>
    </row>
    <row r="36" spans="1:25" ht="16.5" customHeight="1" x14ac:dyDescent="0.25">
      <c r="A36" s="74">
        <f>IF('1 day'!A36&lt;&gt;"",'1 day'!A36,"")</f>
        <v>32</v>
      </c>
      <c r="B36" s="466">
        <v>38</v>
      </c>
      <c r="C36" s="477">
        <v>58.25</v>
      </c>
      <c r="D36" s="477">
        <v>59.2</v>
      </c>
      <c r="E36" s="468">
        <v>8.4</v>
      </c>
      <c r="F36" s="468">
        <v>4.5999999999999996</v>
      </c>
      <c r="G36" s="470">
        <v>0</v>
      </c>
      <c r="H36" s="471">
        <v>0</v>
      </c>
      <c r="I36" s="472">
        <v>0</v>
      </c>
      <c r="J36" s="470">
        <v>1</v>
      </c>
      <c r="K36" s="473">
        <v>1.9379999999999999</v>
      </c>
      <c r="L36" s="470"/>
      <c r="M36" s="473"/>
      <c r="N36" s="472"/>
      <c r="O36" s="473"/>
      <c r="P36" s="45" t="str">
        <f>IF(B36=('32 days'!B36-(SUM(J36,L36,N36))),"OK","verificar")</f>
        <v>OK</v>
      </c>
      <c r="T36" s="48"/>
      <c r="U36" s="48"/>
      <c r="V36" s="48"/>
      <c r="W36" s="48"/>
      <c r="X36" s="48"/>
      <c r="Y36" s="48"/>
    </row>
    <row r="37" spans="1:25" ht="16.5" customHeight="1" x14ac:dyDescent="0.25">
      <c r="A37" s="74">
        <f>IF('1 day'!A37&lt;&gt;"",'1 day'!A37,"")</f>
        <v>33</v>
      </c>
      <c r="B37" s="466">
        <v>40</v>
      </c>
      <c r="C37" s="477">
        <v>64.7</v>
      </c>
      <c r="D37" s="477">
        <v>60.15</v>
      </c>
      <c r="E37" s="468">
        <v>5.4</v>
      </c>
      <c r="F37" s="468">
        <v>3.1</v>
      </c>
      <c r="G37" s="470">
        <v>0</v>
      </c>
      <c r="H37" s="471">
        <v>0</v>
      </c>
      <c r="I37" s="472">
        <v>0</v>
      </c>
      <c r="J37" s="470"/>
      <c r="K37" s="473"/>
      <c r="L37" s="470"/>
      <c r="M37" s="473"/>
      <c r="N37" s="472"/>
      <c r="O37" s="473"/>
      <c r="P37" s="45" t="str">
        <f>IF(B37=('32 days'!B37-(SUM(J37,L37,N37))),"OK","verificar")</f>
        <v>OK</v>
      </c>
      <c r="T37" s="48"/>
      <c r="U37" s="48"/>
      <c r="V37" s="48"/>
      <c r="W37" s="48"/>
      <c r="X37" s="48"/>
      <c r="Y37" s="48"/>
    </row>
    <row r="38" spans="1:25" ht="16.5" customHeight="1" x14ac:dyDescent="0.25">
      <c r="A38" s="74">
        <f>IF('1 day'!A38&lt;&gt;"",'1 day'!A38,"")</f>
        <v>34</v>
      </c>
      <c r="B38" s="466">
        <v>37</v>
      </c>
      <c r="C38" s="477">
        <v>58.75</v>
      </c>
      <c r="D38" s="477">
        <v>59.25</v>
      </c>
      <c r="E38" s="468">
        <v>7.8</v>
      </c>
      <c r="F38" s="468">
        <v>3.95</v>
      </c>
      <c r="G38" s="470">
        <v>0</v>
      </c>
      <c r="H38" s="471">
        <v>0</v>
      </c>
      <c r="I38" s="472">
        <v>0</v>
      </c>
      <c r="J38" s="470">
        <v>2</v>
      </c>
      <c r="K38" s="473">
        <v>3.3</v>
      </c>
      <c r="L38" s="470"/>
      <c r="M38" s="473"/>
      <c r="N38" s="472"/>
      <c r="O38" s="473"/>
      <c r="P38" s="45" t="str">
        <f>IF(B38=('32 days'!B38-(SUM(J38,L38,N38))),"OK","verificar")</f>
        <v>OK</v>
      </c>
    </row>
    <row r="39" spans="1:25" ht="16.5" customHeight="1" x14ac:dyDescent="0.25">
      <c r="A39" s="74">
        <f>IF('1 day'!A39&lt;&gt;"",'1 day'!A39,"")</f>
        <v>35</v>
      </c>
      <c r="B39" s="466">
        <v>37</v>
      </c>
      <c r="C39" s="477">
        <v>60.85</v>
      </c>
      <c r="D39" s="477">
        <v>55.9</v>
      </c>
      <c r="E39" s="468">
        <v>8.9499999999999993</v>
      </c>
      <c r="F39" s="468">
        <v>4.55</v>
      </c>
      <c r="G39" s="470">
        <v>0</v>
      </c>
      <c r="H39" s="471">
        <v>0</v>
      </c>
      <c r="I39" s="472">
        <v>0</v>
      </c>
      <c r="J39" s="470"/>
      <c r="K39" s="473"/>
      <c r="L39" s="470"/>
      <c r="M39" s="473"/>
      <c r="N39" s="472"/>
      <c r="O39" s="473"/>
      <c r="P39" s="45" t="str">
        <f>IF(B39=('32 days'!B39-(SUM(J39,L39,N39))),"OK","verificar")</f>
        <v>OK</v>
      </c>
    </row>
    <row r="40" spans="1:25" ht="16.5" customHeight="1" x14ac:dyDescent="0.25">
      <c r="A40" s="74">
        <f>IF('1 day'!A40&lt;&gt;"",'1 day'!A40,"")</f>
        <v>36</v>
      </c>
      <c r="B40" s="466">
        <v>32</v>
      </c>
      <c r="C40" s="477">
        <v>56.4</v>
      </c>
      <c r="D40" s="477">
        <v>45.8</v>
      </c>
      <c r="E40" s="468">
        <v>12.55</v>
      </c>
      <c r="F40" s="468">
        <v>6.4</v>
      </c>
      <c r="G40" s="470">
        <v>0</v>
      </c>
      <c r="H40" s="471">
        <v>0</v>
      </c>
      <c r="I40" s="472">
        <v>0</v>
      </c>
      <c r="J40" s="470">
        <v>2</v>
      </c>
      <c r="K40" s="473">
        <v>3.7759999999999998</v>
      </c>
      <c r="L40" s="470"/>
      <c r="M40" s="473"/>
      <c r="N40" s="472"/>
      <c r="O40" s="473"/>
      <c r="P40" s="45" t="str">
        <f>IF(B40=('32 days'!B40-(SUM(J40,L40,N40))),"OK","verificar")</f>
        <v>OK</v>
      </c>
    </row>
    <row r="41" spans="1:25" ht="16.5" customHeight="1" x14ac:dyDescent="0.25">
      <c r="A41" s="74">
        <f>IF('1 day'!A41&lt;&gt;"",'1 day'!A41,"")</f>
        <v>37</v>
      </c>
      <c r="B41" s="466">
        <v>36</v>
      </c>
      <c r="C41" s="477">
        <v>55.8</v>
      </c>
      <c r="D41" s="477">
        <v>58.65</v>
      </c>
      <c r="E41" s="468">
        <v>8.6999999999999993</v>
      </c>
      <c r="F41" s="468">
        <v>4.8499999999999996</v>
      </c>
      <c r="G41" s="470">
        <v>0</v>
      </c>
      <c r="H41" s="471">
        <v>0</v>
      </c>
      <c r="I41" s="472">
        <v>0</v>
      </c>
      <c r="J41" s="470">
        <v>1</v>
      </c>
      <c r="K41" s="473">
        <v>2.476</v>
      </c>
      <c r="L41" s="470"/>
      <c r="M41" s="473"/>
      <c r="N41" s="472"/>
      <c r="O41" s="473"/>
      <c r="P41" s="45" t="str">
        <f>IF(B41=('32 days'!B41-(SUM(J41,L41,N41))),"OK","verificar")</f>
        <v>OK</v>
      </c>
    </row>
    <row r="42" spans="1:25" ht="16.5" customHeight="1" x14ac:dyDescent="0.25">
      <c r="A42" s="74">
        <f>IF('1 day'!A42&lt;&gt;"",'1 day'!A42,"")</f>
        <v>38</v>
      </c>
      <c r="B42" s="466">
        <v>37</v>
      </c>
      <c r="C42" s="477">
        <v>63.7</v>
      </c>
      <c r="D42" s="477">
        <v>56</v>
      </c>
      <c r="E42" s="468">
        <v>8.0500000000000007</v>
      </c>
      <c r="F42" s="468">
        <v>3.45</v>
      </c>
      <c r="G42" s="470">
        <v>0</v>
      </c>
      <c r="H42" s="471">
        <v>0</v>
      </c>
      <c r="I42" s="472">
        <v>0</v>
      </c>
      <c r="J42" s="470">
        <v>1</v>
      </c>
      <c r="K42" s="473">
        <v>2.7349999999999999</v>
      </c>
      <c r="L42" s="470"/>
      <c r="M42" s="473"/>
      <c r="N42" s="472"/>
      <c r="O42" s="473"/>
      <c r="P42" s="45" t="str">
        <f>IF(B42=('32 days'!B42-(SUM(J42,L42,N42))),"OK","verificar")</f>
        <v>OK</v>
      </c>
    </row>
    <row r="43" spans="1:25" ht="16.5" customHeight="1" x14ac:dyDescent="0.25">
      <c r="A43" s="74">
        <f>IF('1 day'!A43&lt;&gt;"",'1 day'!A43,"")</f>
        <v>39</v>
      </c>
      <c r="B43" s="466">
        <v>37</v>
      </c>
      <c r="C43" s="477">
        <v>59.05</v>
      </c>
      <c r="D43" s="477">
        <v>58.7</v>
      </c>
      <c r="E43" s="468">
        <v>8.9</v>
      </c>
      <c r="F43" s="468">
        <v>4.3</v>
      </c>
      <c r="G43" s="470">
        <v>0</v>
      </c>
      <c r="H43" s="471">
        <v>0</v>
      </c>
      <c r="I43" s="472">
        <v>0</v>
      </c>
      <c r="J43" s="470"/>
      <c r="K43" s="473"/>
      <c r="L43" s="470"/>
      <c r="M43" s="473"/>
      <c r="N43" s="472"/>
      <c r="O43" s="473"/>
      <c r="P43" s="45" t="str">
        <f>IF(B43=('32 days'!B43-(SUM(J43,L43,N43))),"OK","verificar")</f>
        <v>OK</v>
      </c>
    </row>
    <row r="44" spans="1:25" ht="16.5" customHeight="1" x14ac:dyDescent="0.25">
      <c r="A44" s="74">
        <f>IF('1 day'!A44&lt;&gt;"",'1 day'!A44,"")</f>
        <v>40</v>
      </c>
      <c r="B44" s="466">
        <v>40</v>
      </c>
      <c r="C44" s="477">
        <v>56.6</v>
      </c>
      <c r="D44" s="477">
        <v>68.95</v>
      </c>
      <c r="E44" s="468">
        <v>5.65</v>
      </c>
      <c r="F44" s="468">
        <v>3.1</v>
      </c>
      <c r="G44" s="470">
        <v>0</v>
      </c>
      <c r="H44" s="471">
        <v>0</v>
      </c>
      <c r="I44" s="472">
        <v>0</v>
      </c>
      <c r="J44" s="470"/>
      <c r="K44" s="473"/>
      <c r="L44" s="470"/>
      <c r="M44" s="473"/>
      <c r="N44" s="472"/>
      <c r="O44" s="473"/>
      <c r="P44" s="45" t="str">
        <f>IF(B44=('32 days'!B44-(SUM(J44,L44,N44))),"OK","verificar")</f>
        <v>OK</v>
      </c>
    </row>
    <row r="45" spans="1:25" ht="16.5" customHeight="1" x14ac:dyDescent="0.25">
      <c r="A45" s="74">
        <f>IF('1 day'!A45&lt;&gt;"",'1 day'!A45,"")</f>
        <v>41</v>
      </c>
      <c r="B45" s="466">
        <v>39</v>
      </c>
      <c r="C45" s="477">
        <v>59.8</v>
      </c>
      <c r="D45" s="477">
        <v>62.8</v>
      </c>
      <c r="E45" s="468">
        <v>8.1</v>
      </c>
      <c r="F45" s="468">
        <v>3.6</v>
      </c>
      <c r="G45" s="470">
        <v>0</v>
      </c>
      <c r="H45" s="471">
        <v>0</v>
      </c>
      <c r="I45" s="472">
        <v>0</v>
      </c>
      <c r="J45" s="470"/>
      <c r="K45" s="473"/>
      <c r="L45" s="470"/>
      <c r="M45" s="473"/>
      <c r="N45" s="472"/>
      <c r="O45" s="473"/>
      <c r="P45" s="45" t="str">
        <f>IF(B45=('32 days'!B45-(SUM(J45,L45,N45))),"OK","verificar")</f>
        <v>OK</v>
      </c>
    </row>
    <row r="46" spans="1:25" ht="16.5" customHeight="1" x14ac:dyDescent="0.25">
      <c r="A46" s="74">
        <f>IF('1 day'!A46&lt;&gt;"",'1 day'!A46,"")</f>
        <v>42</v>
      </c>
      <c r="B46" s="466">
        <v>39</v>
      </c>
      <c r="C46" s="477">
        <v>68</v>
      </c>
      <c r="D46" s="477">
        <v>52.55</v>
      </c>
      <c r="E46" s="468">
        <v>9.4</v>
      </c>
      <c r="F46" s="468">
        <v>3.65</v>
      </c>
      <c r="G46" s="470">
        <v>0</v>
      </c>
      <c r="H46" s="471">
        <v>0</v>
      </c>
      <c r="I46" s="472">
        <v>0</v>
      </c>
      <c r="J46" s="470"/>
      <c r="K46" s="473"/>
      <c r="L46" s="470"/>
      <c r="M46" s="473"/>
      <c r="N46" s="472"/>
      <c r="O46" s="473"/>
      <c r="P46" s="45" t="str">
        <f>IF(B46=('32 days'!B46-(SUM(J46,L46,N46))),"OK","verificar")</f>
        <v>OK</v>
      </c>
    </row>
    <row r="47" spans="1:25" ht="16.5" customHeight="1" x14ac:dyDescent="0.25">
      <c r="A47" s="74">
        <f>IF('1 day'!A47&lt;&gt;"",'1 day'!A47,"")</f>
        <v>43</v>
      </c>
      <c r="B47" s="466">
        <v>37</v>
      </c>
      <c r="C47" s="477">
        <v>63.55</v>
      </c>
      <c r="D47" s="477">
        <v>55.5</v>
      </c>
      <c r="E47" s="468">
        <v>0</v>
      </c>
      <c r="F47" s="468">
        <v>12.05</v>
      </c>
      <c r="G47" s="470">
        <v>0</v>
      </c>
      <c r="H47" s="471">
        <v>0</v>
      </c>
      <c r="I47" s="472">
        <v>0</v>
      </c>
      <c r="J47" s="470"/>
      <c r="K47" s="473"/>
      <c r="L47" s="470"/>
      <c r="M47" s="473"/>
      <c r="N47" s="472"/>
      <c r="O47" s="473"/>
      <c r="P47" s="45" t="str">
        <f>IF(B47=('32 days'!B47-(SUM(J47,L47,N47))),"OK","verificar")</f>
        <v>OK</v>
      </c>
    </row>
    <row r="48" spans="1:25" ht="16.5" customHeight="1" x14ac:dyDescent="0.25">
      <c r="A48" s="74">
        <f>IF('1 day'!A48&lt;&gt;"",'1 day'!A48,"")</f>
        <v>44</v>
      </c>
      <c r="B48" s="466">
        <v>38</v>
      </c>
      <c r="C48" s="477">
        <v>62.75</v>
      </c>
      <c r="D48" s="477">
        <v>62</v>
      </c>
      <c r="E48" s="468">
        <v>0</v>
      </c>
      <c r="F48" s="468">
        <v>8.1</v>
      </c>
      <c r="G48" s="470">
        <v>0</v>
      </c>
      <c r="H48" s="471">
        <v>0</v>
      </c>
      <c r="I48" s="472">
        <v>0</v>
      </c>
      <c r="J48" s="470"/>
      <c r="K48" s="473"/>
      <c r="L48" s="470"/>
      <c r="M48" s="473"/>
      <c r="N48" s="472"/>
      <c r="O48" s="473"/>
      <c r="P48" s="45" t="str">
        <f>IF(B48=('32 days'!B48-(SUM(J48,L48,N48))),"OK","verificar")</f>
        <v>OK</v>
      </c>
    </row>
    <row r="49" spans="1:16" ht="16.5" customHeight="1" x14ac:dyDescent="0.25">
      <c r="A49" s="74">
        <f>IF('1 day'!A49&lt;&gt;"",'1 day'!A49,"")</f>
        <v>45</v>
      </c>
      <c r="B49" s="466">
        <v>39</v>
      </c>
      <c r="C49" s="477">
        <v>62.8</v>
      </c>
      <c r="D49" s="477">
        <v>61.9</v>
      </c>
      <c r="E49" s="468">
        <v>0</v>
      </c>
      <c r="F49" s="468">
        <v>8.75</v>
      </c>
      <c r="G49" s="470">
        <v>0</v>
      </c>
      <c r="H49" s="471">
        <v>0</v>
      </c>
      <c r="I49" s="472">
        <v>0</v>
      </c>
      <c r="J49" s="470"/>
      <c r="K49" s="473"/>
      <c r="L49" s="470"/>
      <c r="M49" s="473"/>
      <c r="N49" s="472"/>
      <c r="O49" s="473"/>
      <c r="P49" s="45" t="str">
        <f>IF(B49=('32 days'!B49-(SUM(J49,L49,N49))),"OK","verificar")</f>
        <v>OK</v>
      </c>
    </row>
    <row r="50" spans="1:16" ht="16.5" customHeight="1" x14ac:dyDescent="0.25">
      <c r="A50" s="74">
        <f>IF('1 day'!A50&lt;&gt;"",'1 day'!A50,"")</f>
        <v>46</v>
      </c>
      <c r="B50" s="466">
        <v>36</v>
      </c>
      <c r="C50" s="477">
        <v>63.9</v>
      </c>
      <c r="D50" s="477">
        <v>56.1</v>
      </c>
      <c r="E50" s="468">
        <v>6.05</v>
      </c>
      <c r="F50" s="468">
        <v>4.05</v>
      </c>
      <c r="G50" s="470">
        <v>0</v>
      </c>
      <c r="H50" s="471">
        <v>0</v>
      </c>
      <c r="I50" s="472">
        <v>0</v>
      </c>
      <c r="J50" s="470">
        <v>2</v>
      </c>
      <c r="K50" s="473">
        <v>4.4939999999999998</v>
      </c>
      <c r="L50" s="470"/>
      <c r="M50" s="473"/>
      <c r="N50" s="472"/>
      <c r="O50" s="473"/>
      <c r="P50" s="45" t="str">
        <f>IF(B50=('32 days'!B50-(SUM(J50,L50,N50))),"OK","verificar")</f>
        <v>OK</v>
      </c>
    </row>
    <row r="51" spans="1:16" ht="16.5" customHeight="1" x14ac:dyDescent="0.25">
      <c r="A51" s="74">
        <f>IF('1 day'!A51&lt;&gt;"",'1 day'!A51,"")</f>
        <v>47</v>
      </c>
      <c r="B51" s="466">
        <v>38</v>
      </c>
      <c r="C51" s="477">
        <v>66.650000000000006</v>
      </c>
      <c r="D51" s="477">
        <v>51.2</v>
      </c>
      <c r="E51" s="468">
        <v>8.75</v>
      </c>
      <c r="F51" s="468">
        <v>4.2</v>
      </c>
      <c r="G51" s="470">
        <v>0</v>
      </c>
      <c r="H51" s="471">
        <v>0</v>
      </c>
      <c r="I51" s="472">
        <v>0</v>
      </c>
      <c r="J51" s="470">
        <v>1</v>
      </c>
      <c r="K51" s="473">
        <v>2.58</v>
      </c>
      <c r="L51" s="470"/>
      <c r="M51" s="473"/>
      <c r="N51" s="472"/>
      <c r="O51" s="473"/>
      <c r="P51" s="45" t="str">
        <f>IF(B51=('32 days'!B51-(SUM(J51,L51,N51))),"OK","verificar")</f>
        <v>OK</v>
      </c>
    </row>
    <row r="52" spans="1:16" ht="16.5" customHeight="1" x14ac:dyDescent="0.25">
      <c r="A52" s="74">
        <f>IF('1 day'!A52&lt;&gt;"",'1 day'!A52,"")</f>
        <v>48</v>
      </c>
      <c r="B52" s="466">
        <v>37</v>
      </c>
      <c r="C52" s="477">
        <v>57.55</v>
      </c>
      <c r="D52" s="477">
        <v>57.65</v>
      </c>
      <c r="E52" s="468">
        <v>8.35</v>
      </c>
      <c r="F52" s="468">
        <v>5.4</v>
      </c>
      <c r="G52" s="470">
        <v>0</v>
      </c>
      <c r="H52" s="471">
        <v>0</v>
      </c>
      <c r="I52" s="472">
        <v>0</v>
      </c>
      <c r="J52" s="470">
        <v>1</v>
      </c>
      <c r="K52" s="473">
        <v>1.827</v>
      </c>
      <c r="L52" s="470"/>
      <c r="M52" s="473"/>
      <c r="N52" s="472"/>
      <c r="O52" s="473"/>
      <c r="P52" s="45" t="str">
        <f>IF(B52=('32 days'!B52-(SUM(J52,L52,N52))),"OK","verificar")</f>
        <v>OK</v>
      </c>
    </row>
    <row r="53" spans="1:16" ht="16.5" customHeight="1" x14ac:dyDescent="0.25">
      <c r="A53" s="74">
        <f>IF('1 day'!A53&lt;&gt;"",'1 day'!A53,"")</f>
        <v>49</v>
      </c>
      <c r="B53" s="466">
        <v>38</v>
      </c>
      <c r="C53" s="477">
        <v>58.45</v>
      </c>
      <c r="D53" s="477">
        <v>59.8</v>
      </c>
      <c r="E53" s="468">
        <v>8.3000000000000007</v>
      </c>
      <c r="F53" s="468">
        <v>4.7</v>
      </c>
      <c r="G53" s="470">
        <v>0</v>
      </c>
      <c r="H53" s="471">
        <v>0</v>
      </c>
      <c r="I53" s="472">
        <v>0</v>
      </c>
      <c r="J53" s="470"/>
      <c r="K53" s="473"/>
      <c r="L53" s="470"/>
      <c r="M53" s="473"/>
      <c r="N53" s="472"/>
      <c r="O53" s="473"/>
      <c r="P53" s="45" t="str">
        <f>IF(B53=('32 days'!B53-(SUM(J53,L53,N53))),"OK","verificar")</f>
        <v>OK</v>
      </c>
    </row>
    <row r="54" spans="1:16" ht="16.5" customHeight="1" x14ac:dyDescent="0.25">
      <c r="A54" s="74">
        <f>IF('1 day'!A54&lt;&gt;"",'1 day'!A54,"")</f>
        <v>50</v>
      </c>
      <c r="B54" s="466">
        <v>36</v>
      </c>
      <c r="C54" s="477">
        <v>58.8</v>
      </c>
      <c r="D54" s="477">
        <v>59.75</v>
      </c>
      <c r="E54" s="468">
        <v>7.4</v>
      </c>
      <c r="F54" s="468">
        <v>4</v>
      </c>
      <c r="G54" s="470">
        <v>0</v>
      </c>
      <c r="H54" s="471">
        <v>0</v>
      </c>
      <c r="I54" s="472">
        <v>0</v>
      </c>
      <c r="J54" s="470">
        <v>1</v>
      </c>
      <c r="K54" s="473">
        <v>2.3839999999999999</v>
      </c>
      <c r="L54" s="470"/>
      <c r="M54" s="473"/>
      <c r="N54" s="472"/>
      <c r="O54" s="473"/>
      <c r="P54" s="45" t="str">
        <f>IF(B54=('32 days'!B54-(SUM(J54,L54,N54))),"OK","verificar")</f>
        <v>OK</v>
      </c>
    </row>
    <row r="55" spans="1:16" ht="16.5" customHeight="1" x14ac:dyDescent="0.25">
      <c r="A55" s="74">
        <f>IF('1 day'!A55&lt;&gt;"",'1 day'!A55,"")</f>
        <v>51</v>
      </c>
      <c r="B55" s="466">
        <v>39</v>
      </c>
      <c r="C55" s="477">
        <v>61.75</v>
      </c>
      <c r="D55" s="477">
        <v>59.4</v>
      </c>
      <c r="E55" s="468">
        <v>6.05</v>
      </c>
      <c r="F55" s="468">
        <v>5.25</v>
      </c>
      <c r="G55" s="470">
        <v>0</v>
      </c>
      <c r="H55" s="471">
        <v>0</v>
      </c>
      <c r="I55" s="472">
        <v>0</v>
      </c>
      <c r="J55" s="470">
        <v>1</v>
      </c>
      <c r="K55" s="473">
        <v>1.9810000000000001</v>
      </c>
      <c r="L55" s="470"/>
      <c r="M55" s="473"/>
      <c r="N55" s="472"/>
      <c r="O55" s="473"/>
      <c r="P55" s="45" t="str">
        <f>IF(B55=('32 days'!B55-(SUM(J55,L55,N55))),"OK","verificar")</f>
        <v>OK</v>
      </c>
    </row>
    <row r="56" spans="1:16" ht="16.5" customHeight="1" x14ac:dyDescent="0.25">
      <c r="A56" s="74">
        <f>IF('1 day'!A56&lt;&gt;"",'1 day'!A56,"")</f>
        <v>52</v>
      </c>
      <c r="B56" s="466">
        <v>38</v>
      </c>
      <c r="C56" s="477">
        <v>64.05</v>
      </c>
      <c r="D56" s="477">
        <v>59.15</v>
      </c>
      <c r="E56" s="468">
        <v>6.7</v>
      </c>
      <c r="F56" s="468">
        <v>5.0999999999999996</v>
      </c>
      <c r="G56" s="470">
        <v>0</v>
      </c>
      <c r="H56" s="471">
        <v>0</v>
      </c>
      <c r="I56" s="472">
        <v>0</v>
      </c>
      <c r="J56" s="470"/>
      <c r="K56" s="473"/>
      <c r="L56" s="470"/>
      <c r="M56" s="473"/>
      <c r="N56" s="472"/>
      <c r="O56" s="473"/>
      <c r="P56" s="45" t="str">
        <f>IF(B56=('32 days'!B56-(SUM(J56,L56,N56))),"OK","verificar")</f>
        <v>OK</v>
      </c>
    </row>
    <row r="57" spans="1:16" ht="16.5" customHeight="1" x14ac:dyDescent="0.25">
      <c r="A57" s="74">
        <f>IF('1 day'!A57&lt;&gt;"",'1 day'!A57,"")</f>
        <v>53</v>
      </c>
      <c r="B57" s="466">
        <v>39</v>
      </c>
      <c r="C57" s="477">
        <v>62.4</v>
      </c>
      <c r="D57" s="477">
        <v>61</v>
      </c>
      <c r="E57" s="468">
        <v>6.45</v>
      </c>
      <c r="F57" s="468">
        <v>3.3</v>
      </c>
      <c r="G57" s="470">
        <v>0</v>
      </c>
      <c r="H57" s="471">
        <v>0</v>
      </c>
      <c r="I57" s="472">
        <v>0</v>
      </c>
      <c r="J57" s="470"/>
      <c r="K57" s="473"/>
      <c r="L57" s="470"/>
      <c r="M57" s="473"/>
      <c r="N57" s="472"/>
      <c r="O57" s="473"/>
      <c r="P57" s="45" t="str">
        <f>IF(B57=('32 days'!B57-(SUM(J57,L57,N57))),"OK","verificar")</f>
        <v>OK</v>
      </c>
    </row>
    <row r="58" spans="1:16" ht="16.5" customHeight="1" x14ac:dyDescent="0.25">
      <c r="A58" s="74">
        <f>IF('1 day'!A58&lt;&gt;"",'1 day'!A58,"")</f>
        <v>54</v>
      </c>
      <c r="B58" s="466">
        <v>36</v>
      </c>
      <c r="C58" s="477">
        <v>51.75</v>
      </c>
      <c r="D58" s="477">
        <v>65.05</v>
      </c>
      <c r="E58" s="468">
        <v>9.1999999999999993</v>
      </c>
      <c r="F58" s="468">
        <v>4.7</v>
      </c>
      <c r="G58" s="470">
        <v>0</v>
      </c>
      <c r="H58" s="471">
        <v>0</v>
      </c>
      <c r="I58" s="472">
        <v>0</v>
      </c>
      <c r="J58" s="470"/>
      <c r="K58" s="473"/>
      <c r="L58" s="470"/>
      <c r="M58" s="473"/>
      <c r="N58" s="472"/>
      <c r="O58" s="473"/>
      <c r="P58" s="45" t="str">
        <f>IF(B58=('32 days'!B58-(SUM(J58,L58,N58))),"OK","verificar")</f>
        <v>OK</v>
      </c>
    </row>
    <row r="59" spans="1:16" ht="16.5" customHeight="1" x14ac:dyDescent="0.25">
      <c r="A59" s="74">
        <f>IF('1 day'!A59&lt;&gt;"",'1 day'!A59,"")</f>
        <v>55</v>
      </c>
      <c r="B59" s="466">
        <v>37</v>
      </c>
      <c r="C59" s="477">
        <v>57.45</v>
      </c>
      <c r="D59" s="477">
        <v>59.45</v>
      </c>
      <c r="E59" s="468">
        <v>9.0500000000000007</v>
      </c>
      <c r="F59" s="468">
        <v>4.05</v>
      </c>
      <c r="G59" s="470">
        <v>0</v>
      </c>
      <c r="H59" s="471">
        <v>0</v>
      </c>
      <c r="I59" s="472">
        <v>0</v>
      </c>
      <c r="J59" s="470">
        <v>1</v>
      </c>
      <c r="K59" s="473">
        <v>1.7729999999999999</v>
      </c>
      <c r="L59" s="470"/>
      <c r="M59" s="473"/>
      <c r="N59" s="472"/>
      <c r="O59" s="473"/>
      <c r="P59" s="45" t="str">
        <f>IF(B59=('32 days'!B59-(SUM(J59,L59,N59))),"OK","verificar")</f>
        <v>OK</v>
      </c>
    </row>
    <row r="60" spans="1:16" ht="16.5" customHeight="1" x14ac:dyDescent="0.25">
      <c r="A60" s="74">
        <f>IF('1 day'!A60&lt;&gt;"",'1 day'!A60,"")</f>
        <v>56</v>
      </c>
      <c r="B60" s="466">
        <v>37</v>
      </c>
      <c r="C60" s="477">
        <v>59.35</v>
      </c>
      <c r="D60" s="477">
        <v>59.1</v>
      </c>
      <c r="E60" s="468">
        <v>7.15</v>
      </c>
      <c r="F60" s="468">
        <v>5</v>
      </c>
      <c r="G60" s="470">
        <v>0</v>
      </c>
      <c r="H60" s="471">
        <v>0</v>
      </c>
      <c r="I60" s="472">
        <v>0</v>
      </c>
      <c r="J60" s="470">
        <v>1</v>
      </c>
      <c r="K60" s="473">
        <v>2.923</v>
      </c>
      <c r="L60" s="470"/>
      <c r="M60" s="473"/>
      <c r="N60" s="472"/>
      <c r="O60" s="473"/>
      <c r="P60" s="45" t="str">
        <f>IF(B60=('32 days'!B60-(SUM(J60,L60,N60))),"OK","verificar")</f>
        <v>OK</v>
      </c>
    </row>
    <row r="61" spans="1:16" ht="16.5" customHeight="1" x14ac:dyDescent="0.25">
      <c r="A61" s="74">
        <f>IF('1 day'!A61&lt;&gt;"",'1 day'!A61,"")</f>
        <v>57</v>
      </c>
      <c r="B61" s="466">
        <v>35</v>
      </c>
      <c r="C61" s="477">
        <v>55.35</v>
      </c>
      <c r="D61" s="477">
        <v>54.95</v>
      </c>
      <c r="E61" s="468">
        <v>11.1</v>
      </c>
      <c r="F61" s="468">
        <v>5.0999999999999996</v>
      </c>
      <c r="G61" s="470">
        <v>0</v>
      </c>
      <c r="H61" s="471">
        <v>0</v>
      </c>
      <c r="I61" s="472">
        <v>0</v>
      </c>
      <c r="J61" s="470">
        <v>1</v>
      </c>
      <c r="K61" s="473">
        <v>2.403</v>
      </c>
      <c r="L61" s="470"/>
      <c r="M61" s="473"/>
      <c r="N61" s="472"/>
      <c r="O61" s="473"/>
      <c r="P61" s="45" t="str">
        <f>IF(B61=('32 days'!B61-(SUM(J61,L61,N61))),"OK","verificar")</f>
        <v>OK</v>
      </c>
    </row>
    <row r="62" spans="1:16" ht="16.5" customHeight="1" x14ac:dyDescent="0.25">
      <c r="A62" s="74">
        <f>IF('1 day'!A62&lt;&gt;"",'1 day'!A62,"")</f>
        <v>58</v>
      </c>
      <c r="B62" s="466">
        <v>38</v>
      </c>
      <c r="C62" s="477">
        <v>59.55</v>
      </c>
      <c r="D62" s="477">
        <v>60.6</v>
      </c>
      <c r="E62" s="468">
        <v>7.9</v>
      </c>
      <c r="F62" s="468">
        <v>4.55</v>
      </c>
      <c r="G62" s="470">
        <v>0</v>
      </c>
      <c r="H62" s="471">
        <v>0</v>
      </c>
      <c r="I62" s="472">
        <v>0</v>
      </c>
      <c r="J62" s="470"/>
      <c r="K62" s="473"/>
      <c r="L62" s="470"/>
      <c r="M62" s="473"/>
      <c r="N62" s="472"/>
      <c r="O62" s="473"/>
      <c r="P62" s="45" t="str">
        <f>IF(B62=('32 days'!B62-(SUM(J62,L62,N62))),"OK","verificar")</f>
        <v>OK</v>
      </c>
    </row>
    <row r="63" spans="1:16" ht="16.5" customHeight="1" x14ac:dyDescent="0.25">
      <c r="A63" s="74">
        <f>IF('1 day'!A63&lt;&gt;"",'1 day'!A63,"")</f>
        <v>59</v>
      </c>
      <c r="B63" s="466">
        <v>40</v>
      </c>
      <c r="C63" s="477">
        <v>64.400000000000006</v>
      </c>
      <c r="D63" s="477">
        <v>59</v>
      </c>
      <c r="E63" s="468">
        <v>7.1</v>
      </c>
      <c r="F63" s="468">
        <v>3.1</v>
      </c>
      <c r="G63" s="470">
        <v>0</v>
      </c>
      <c r="H63" s="471">
        <v>0</v>
      </c>
      <c r="I63" s="472">
        <v>0</v>
      </c>
      <c r="J63" s="470"/>
      <c r="K63" s="473"/>
      <c r="L63" s="470"/>
      <c r="M63" s="473"/>
      <c r="N63" s="472"/>
      <c r="O63" s="473"/>
      <c r="P63" s="45" t="str">
        <f>IF(B63=('32 days'!B63-(SUM(J63,L63,N63))),"OK","verificar")</f>
        <v>OK</v>
      </c>
    </row>
    <row r="64" spans="1:16" ht="16.5" customHeight="1" x14ac:dyDescent="0.25">
      <c r="A64" s="74">
        <f>IF('1 day'!A64&lt;&gt;"",'1 day'!A64,"")</f>
        <v>60</v>
      </c>
      <c r="B64" s="466">
        <v>38</v>
      </c>
      <c r="C64" s="477">
        <v>55.85</v>
      </c>
      <c r="D64" s="477">
        <v>65.55</v>
      </c>
      <c r="E64" s="468">
        <v>6.85</v>
      </c>
      <c r="F64" s="468">
        <v>3.7</v>
      </c>
      <c r="G64" s="470">
        <v>0</v>
      </c>
      <c r="H64" s="471">
        <v>0</v>
      </c>
      <c r="I64" s="472">
        <v>0</v>
      </c>
      <c r="J64" s="470">
        <v>1</v>
      </c>
      <c r="K64" s="473">
        <v>1.7</v>
      </c>
      <c r="L64" s="470"/>
      <c r="M64" s="473"/>
      <c r="N64" s="472"/>
      <c r="O64" s="473"/>
      <c r="P64" s="45" t="str">
        <f>IF(B64=('32 days'!B64-(SUM(J64,L64,N64))),"OK","verificar")</f>
        <v>OK</v>
      </c>
    </row>
    <row r="65" spans="1:16" ht="16.5" customHeight="1" x14ac:dyDescent="0.25">
      <c r="A65" s="74">
        <f>IF('1 day'!A65&lt;&gt;"",'1 day'!A65,"")</f>
        <v>61</v>
      </c>
      <c r="B65" s="466">
        <v>36</v>
      </c>
      <c r="C65" s="477">
        <v>59.15</v>
      </c>
      <c r="D65" s="477">
        <v>57.8</v>
      </c>
      <c r="E65" s="468">
        <v>9.35</v>
      </c>
      <c r="F65" s="468">
        <v>4.9000000000000004</v>
      </c>
      <c r="G65" s="470">
        <v>0</v>
      </c>
      <c r="H65" s="471">
        <v>0</v>
      </c>
      <c r="I65" s="472">
        <v>0</v>
      </c>
      <c r="J65" s="470"/>
      <c r="K65" s="473"/>
      <c r="L65" s="470"/>
      <c r="M65" s="473"/>
      <c r="N65" s="472"/>
      <c r="O65" s="473"/>
      <c r="P65" s="45" t="str">
        <f>IF(B65=('32 days'!B65-(SUM(J65,L65,N65))),"OK","verificar")</f>
        <v>OK</v>
      </c>
    </row>
    <row r="66" spans="1:16" ht="16.5" customHeight="1" x14ac:dyDescent="0.25">
      <c r="A66" s="74">
        <f>IF('1 day'!A66&lt;&gt;"",'1 day'!A66,"")</f>
        <v>62</v>
      </c>
      <c r="B66" s="466">
        <v>37</v>
      </c>
      <c r="C66" s="477">
        <v>51.55</v>
      </c>
      <c r="D66" s="477">
        <v>67.400000000000006</v>
      </c>
      <c r="E66" s="468">
        <v>7.4</v>
      </c>
      <c r="F66" s="468">
        <v>3.8</v>
      </c>
      <c r="G66" s="470">
        <v>0</v>
      </c>
      <c r="H66" s="471">
        <v>0</v>
      </c>
      <c r="I66" s="472">
        <v>0</v>
      </c>
      <c r="J66" s="470"/>
      <c r="K66" s="473"/>
      <c r="L66" s="470"/>
      <c r="M66" s="473"/>
      <c r="N66" s="472"/>
      <c r="O66" s="473"/>
      <c r="P66" s="45" t="str">
        <f>IF(B66=('32 days'!B66-(SUM(J66,L66,N66))),"OK","verificar")</f>
        <v>OK</v>
      </c>
    </row>
    <row r="67" spans="1:16" ht="16.5" customHeight="1" x14ac:dyDescent="0.25">
      <c r="A67" s="74">
        <f>IF('1 day'!A67&lt;&gt;"",'1 day'!A67,"")</f>
        <v>63</v>
      </c>
      <c r="B67" s="466">
        <v>37</v>
      </c>
      <c r="C67" s="477">
        <v>58.25</v>
      </c>
      <c r="D67" s="477">
        <v>61.65</v>
      </c>
      <c r="E67" s="468">
        <v>8.9499999999999993</v>
      </c>
      <c r="F67" s="468">
        <v>3.85</v>
      </c>
      <c r="G67" s="470">
        <v>0</v>
      </c>
      <c r="H67" s="471">
        <v>0</v>
      </c>
      <c r="I67" s="472">
        <v>0</v>
      </c>
      <c r="J67" s="470">
        <v>1</v>
      </c>
      <c r="K67" s="473">
        <v>2.6850000000000001</v>
      </c>
      <c r="L67" s="470"/>
      <c r="M67" s="473"/>
      <c r="N67" s="472"/>
      <c r="O67" s="473"/>
      <c r="P67" s="45" t="str">
        <f>IF(B67=('32 days'!B67-(SUM(J67,L67,N67))),"OK","verificar")</f>
        <v>OK</v>
      </c>
    </row>
    <row r="68" spans="1:16" ht="16.5" customHeight="1" x14ac:dyDescent="0.25">
      <c r="A68" s="74">
        <f>IF('1 day'!A68&lt;&gt;"",'1 day'!A68,"")</f>
        <v>64</v>
      </c>
      <c r="B68" s="466">
        <v>35</v>
      </c>
      <c r="C68" s="477">
        <v>55.65</v>
      </c>
      <c r="D68" s="477">
        <v>59.25</v>
      </c>
      <c r="E68" s="468">
        <v>9.4</v>
      </c>
      <c r="F68" s="468">
        <v>4.7</v>
      </c>
      <c r="G68" s="470">
        <v>0</v>
      </c>
      <c r="H68" s="471">
        <v>0</v>
      </c>
      <c r="I68" s="472">
        <v>0</v>
      </c>
      <c r="J68" s="470">
        <v>1</v>
      </c>
      <c r="K68" s="473">
        <v>2.1</v>
      </c>
      <c r="L68" s="470"/>
      <c r="M68" s="473"/>
      <c r="N68" s="472"/>
      <c r="O68" s="473"/>
      <c r="P68" s="45" t="str">
        <f>IF(B68=('32 days'!B68-(SUM(J68,L68,N68))),"OK","verificar")</f>
        <v>OK</v>
      </c>
    </row>
    <row r="69" spans="1:16" ht="16.5" customHeight="1" x14ac:dyDescent="0.25">
      <c r="A69" s="74">
        <f>IF('1 day'!A69&lt;&gt;"",'1 day'!A69,"")</f>
        <v>65</v>
      </c>
      <c r="B69" s="466">
        <v>37</v>
      </c>
      <c r="C69" s="477">
        <v>62.85</v>
      </c>
      <c r="D69" s="477">
        <v>57.95</v>
      </c>
      <c r="E69" s="468">
        <v>5.85</v>
      </c>
      <c r="F69" s="468">
        <v>3.85</v>
      </c>
      <c r="G69" s="470">
        <v>0</v>
      </c>
      <c r="H69" s="471">
        <v>0</v>
      </c>
      <c r="I69" s="472">
        <v>0</v>
      </c>
      <c r="J69" s="470"/>
      <c r="K69" s="473"/>
      <c r="L69" s="470"/>
      <c r="M69" s="473"/>
      <c r="N69" s="472"/>
      <c r="O69" s="473"/>
      <c r="P69" s="45" t="str">
        <f>IF(B69=('32 days'!B69-(SUM(J69,L69,N69))),"OK","verificar")</f>
        <v>OK</v>
      </c>
    </row>
    <row r="70" spans="1:16" ht="16.5" customHeight="1" thickBot="1" x14ac:dyDescent="0.3">
      <c r="A70" s="82">
        <f>IF('1 day'!A70&lt;&gt;"",'1 day'!A70,"")</f>
        <v>66</v>
      </c>
      <c r="B70" s="467">
        <v>35</v>
      </c>
      <c r="C70" s="481">
        <v>51</v>
      </c>
      <c r="D70" s="481">
        <v>64.3</v>
      </c>
      <c r="E70" s="468">
        <v>7.85</v>
      </c>
      <c r="F70" s="468">
        <v>4.25</v>
      </c>
      <c r="G70" s="470">
        <v>0</v>
      </c>
      <c r="H70" s="471">
        <v>0</v>
      </c>
      <c r="I70" s="472">
        <v>0</v>
      </c>
      <c r="J70" s="482"/>
      <c r="K70" s="483"/>
      <c r="L70" s="482"/>
      <c r="M70" s="483"/>
      <c r="N70" s="484"/>
      <c r="O70" s="483"/>
      <c r="P70" s="45" t="str">
        <f>IF(B70=('32 days'!B70-(SUM(J70,L70,N70))),"OK","verificar")</f>
        <v>OK</v>
      </c>
    </row>
  </sheetData>
  <protectedRanges>
    <protectedRange sqref="A5:B14" name="Intervalo9"/>
    <protectedRange sqref="C5:O70" name="Intervalo8_1"/>
    <protectedRange sqref="C3:F3" name="Intervalo1_1_1"/>
    <protectedRange sqref="I2" name="Intervalo1"/>
  </protectedRanges>
  <mergeCells count="9">
    <mergeCell ref="C1:O1"/>
    <mergeCell ref="C4:D4"/>
    <mergeCell ref="A2:A3"/>
    <mergeCell ref="J2:K3"/>
    <mergeCell ref="L2:O3"/>
    <mergeCell ref="G2:H2"/>
    <mergeCell ref="G3:I3"/>
    <mergeCell ref="C3:D3"/>
    <mergeCell ref="C2:D2"/>
  </mergeCells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8"/>
  <dimension ref="A1:AS267"/>
  <sheetViews>
    <sheetView zoomScaleNormal="100" workbookViewId="0">
      <pane ySplit="3" topLeftCell="A4" activePane="bottomLeft" state="frozen"/>
      <selection activeCell="L1" sqref="L1"/>
      <selection pane="bottomLeft" activeCell="AM2" sqref="AM2:AS2"/>
    </sheetView>
  </sheetViews>
  <sheetFormatPr defaultRowHeight="15" x14ac:dyDescent="0.25"/>
  <cols>
    <col min="1" max="1" width="5.7109375" style="1" customWidth="1"/>
    <col min="2" max="2" width="11.5703125" style="1" bestFit="1" customWidth="1"/>
    <col min="3" max="3" width="10.140625" style="1" bestFit="1" customWidth="1"/>
    <col min="4" max="5" width="9.140625" style="1"/>
    <col min="6" max="6" width="11.42578125" style="1" bestFit="1" customWidth="1"/>
    <col min="7" max="7" width="9.140625" style="1"/>
    <col min="8" max="8" width="14" style="1" customWidth="1"/>
    <col min="9" max="9" width="9.140625" style="1"/>
    <col min="10" max="10" width="10.42578125" style="1" customWidth="1"/>
    <col min="11" max="11" width="7.42578125" style="1" bestFit="1" customWidth="1"/>
    <col min="12" max="12" width="5.7109375" style="1" customWidth="1"/>
    <col min="13" max="13" width="9.140625" style="1"/>
    <col min="14" max="14" width="13.140625" style="1" customWidth="1"/>
    <col min="15" max="15" width="10.85546875" style="1" customWidth="1"/>
    <col min="16" max="19" width="11.7109375" style="1" customWidth="1"/>
    <col min="20" max="20" width="16.5703125" style="1" bestFit="1" customWidth="1"/>
    <col min="21" max="22" width="11.7109375" style="1" customWidth="1"/>
    <col min="23" max="23" width="19" style="1" customWidth="1"/>
    <col min="24" max="33" width="9" style="1" customWidth="1"/>
    <col min="34" max="34" width="9.140625" style="1"/>
    <col min="35" max="35" width="17.28515625" style="1" customWidth="1"/>
    <col min="36" max="36" width="5.7109375" style="1" customWidth="1"/>
    <col min="37" max="37" width="13.140625" style="1" customWidth="1"/>
    <col min="38" max="38" width="10.85546875" style="1" customWidth="1"/>
    <col min="39" max="40" width="11.7109375" style="1" customWidth="1"/>
    <col min="41" max="42" width="11.85546875" style="23" customWidth="1"/>
    <col min="43" max="44" width="11.7109375" style="23" customWidth="1"/>
    <col min="45" max="45" width="23.85546875" style="23" bestFit="1" customWidth="1"/>
    <col min="46" max="16384" width="9.140625" style="1"/>
  </cols>
  <sheetData>
    <row r="1" spans="1:45" s="294" customFormat="1" ht="30.75" thickBot="1" x14ac:dyDescent="0.3">
      <c r="K1" s="552" t="s">
        <v>72</v>
      </c>
      <c r="L1" s="553"/>
      <c r="M1" s="553"/>
      <c r="N1" s="553"/>
      <c r="O1" s="554"/>
      <c r="P1" s="542" t="s">
        <v>18</v>
      </c>
      <c r="Q1" s="543"/>
      <c r="R1" s="542" t="s">
        <v>19</v>
      </c>
      <c r="S1" s="544"/>
      <c r="T1" s="332" t="s">
        <v>53</v>
      </c>
      <c r="U1" s="542" t="s">
        <v>20</v>
      </c>
      <c r="V1" s="543"/>
      <c r="W1" s="317" t="s">
        <v>21</v>
      </c>
      <c r="X1" s="542" t="s">
        <v>33</v>
      </c>
      <c r="Y1" s="544"/>
      <c r="Z1" s="544"/>
      <c r="AA1" s="544"/>
      <c r="AB1" s="544"/>
      <c r="AC1" s="544"/>
      <c r="AD1" s="544"/>
      <c r="AE1" s="544"/>
      <c r="AF1" s="544"/>
      <c r="AG1" s="543"/>
      <c r="AM1" s="542" t="s">
        <v>18</v>
      </c>
      <c r="AN1" s="543"/>
      <c r="AO1" s="542" t="s">
        <v>19</v>
      </c>
      <c r="AP1" s="543"/>
      <c r="AQ1" s="542" t="s">
        <v>20</v>
      </c>
      <c r="AR1" s="556"/>
      <c r="AS1" s="318" t="s">
        <v>21</v>
      </c>
    </row>
    <row r="2" spans="1:45" s="23" customFormat="1" ht="15.75" thickBot="1" x14ac:dyDescent="0.3">
      <c r="A2" s="547" t="s">
        <v>65</v>
      </c>
      <c r="B2" s="548"/>
      <c r="C2" s="548"/>
      <c r="D2" s="548"/>
      <c r="E2" s="549" t="s">
        <v>18</v>
      </c>
      <c r="F2" s="551"/>
      <c r="G2" s="549" t="s">
        <v>23</v>
      </c>
      <c r="H2" s="550"/>
      <c r="I2" s="551"/>
      <c r="K2" s="175" t="s">
        <v>28</v>
      </c>
      <c r="L2" s="152" t="s">
        <v>0</v>
      </c>
      <c r="M2" s="152" t="s">
        <v>29</v>
      </c>
      <c r="N2" s="152" t="s">
        <v>30</v>
      </c>
      <c r="O2" s="153" t="s">
        <v>31</v>
      </c>
      <c r="P2" s="545" t="s">
        <v>86</v>
      </c>
      <c r="Q2" s="555"/>
      <c r="R2" s="545" t="s">
        <v>86</v>
      </c>
      <c r="S2" s="546"/>
      <c r="T2" s="333" t="s">
        <v>86</v>
      </c>
      <c r="U2" s="545" t="s">
        <v>86</v>
      </c>
      <c r="V2" s="555"/>
      <c r="W2" s="195" t="s">
        <v>86</v>
      </c>
      <c r="X2" s="559" t="s">
        <v>68</v>
      </c>
      <c r="Y2" s="558"/>
      <c r="Z2" s="557" t="s">
        <v>67</v>
      </c>
      <c r="AA2" s="558"/>
      <c r="AB2" s="557" t="s">
        <v>70</v>
      </c>
      <c r="AC2" s="558"/>
      <c r="AD2" s="557" t="s">
        <v>80</v>
      </c>
      <c r="AE2" s="558"/>
      <c r="AF2" s="557" t="s">
        <v>69</v>
      </c>
      <c r="AG2" s="560"/>
      <c r="AI2" s="417"/>
      <c r="AJ2" s="496" t="s">
        <v>0</v>
      </c>
      <c r="AK2" s="496" t="s">
        <v>30</v>
      </c>
      <c r="AL2" s="292" t="s">
        <v>31</v>
      </c>
      <c r="AM2" s="559" t="s">
        <v>73</v>
      </c>
      <c r="AN2" s="560"/>
      <c r="AO2" s="557" t="s">
        <v>73</v>
      </c>
      <c r="AP2" s="560"/>
      <c r="AQ2" s="570" t="s">
        <v>73</v>
      </c>
      <c r="AR2" s="570"/>
      <c r="AS2" s="571" t="s">
        <v>73</v>
      </c>
    </row>
    <row r="3" spans="1:45" s="23" customFormat="1" ht="15.75" thickBot="1" x14ac:dyDescent="0.3">
      <c r="A3" s="137" t="s">
        <v>0</v>
      </c>
      <c r="B3" s="137" t="s">
        <v>30</v>
      </c>
      <c r="C3" s="137" t="s">
        <v>31</v>
      </c>
      <c r="D3" s="137" t="s">
        <v>29</v>
      </c>
      <c r="E3" s="138" t="s">
        <v>1</v>
      </c>
      <c r="F3" s="139" t="s">
        <v>24</v>
      </c>
      <c r="G3" s="138" t="s">
        <v>25</v>
      </c>
      <c r="H3" s="140" t="s">
        <v>26</v>
      </c>
      <c r="I3" s="139" t="s">
        <v>43</v>
      </c>
      <c r="K3" s="141"/>
      <c r="L3" s="142"/>
      <c r="M3" s="142"/>
      <c r="N3" s="142"/>
      <c r="O3" s="37"/>
      <c r="P3" s="141" t="s">
        <v>1</v>
      </c>
      <c r="Q3" s="142" t="s">
        <v>24</v>
      </c>
      <c r="R3" s="141" t="s">
        <v>1</v>
      </c>
      <c r="S3" s="147" t="s">
        <v>24</v>
      </c>
      <c r="T3" s="334" t="s">
        <v>1</v>
      </c>
      <c r="U3" s="141" t="s">
        <v>1</v>
      </c>
      <c r="V3" s="142" t="s">
        <v>24</v>
      </c>
      <c r="W3" s="141" t="s">
        <v>1</v>
      </c>
      <c r="X3" s="141" t="s">
        <v>79</v>
      </c>
      <c r="Y3" s="211" t="s">
        <v>81</v>
      </c>
      <c r="Z3" s="142" t="s">
        <v>69</v>
      </c>
      <c r="AA3" s="142" t="s">
        <v>35</v>
      </c>
      <c r="AB3" s="142" t="s">
        <v>69</v>
      </c>
      <c r="AC3" s="142" t="s">
        <v>35</v>
      </c>
      <c r="AD3" s="211" t="s">
        <v>69</v>
      </c>
      <c r="AE3" s="142" t="s">
        <v>35</v>
      </c>
      <c r="AF3" s="142" t="s">
        <v>69</v>
      </c>
      <c r="AG3" s="37" t="s">
        <v>35</v>
      </c>
      <c r="AI3" s="141" t="s">
        <v>115</v>
      </c>
      <c r="AJ3" s="142"/>
      <c r="AK3" s="142"/>
      <c r="AL3" s="37"/>
      <c r="AM3" s="141" t="s">
        <v>1</v>
      </c>
      <c r="AN3" s="37" t="s">
        <v>24</v>
      </c>
      <c r="AO3" s="142" t="s">
        <v>1</v>
      </c>
      <c r="AP3" s="147" t="s">
        <v>24</v>
      </c>
      <c r="AQ3" s="142" t="s">
        <v>1</v>
      </c>
      <c r="AR3" s="142" t="s">
        <v>24</v>
      </c>
      <c r="AS3" s="37" t="s">
        <v>1</v>
      </c>
    </row>
    <row r="4" spans="1:45" x14ac:dyDescent="0.25">
      <c r="A4" s="4">
        <f>IF('1 day'!A5&lt;&gt;"",'1 day'!A5,"")</f>
        <v>1</v>
      </c>
      <c r="B4" s="4" t="str">
        <f>IF(A4&lt;&gt;"",INDEX(Map!$W$2:$W$67, MATCH('Raw data'!A4, Map!$V$2:$V$67,0)),"")</f>
        <v>T6</v>
      </c>
      <c r="C4" s="4" t="str">
        <f>IF(A4&lt;&gt;"",INDEX(Map!$X$2:$X$67, MATCH('Raw data'!A4, Map!$V$2:$V$67,0)),"")</f>
        <v>R10</v>
      </c>
      <c r="D4" s="6">
        <f>IF(A4&lt;&gt;"",'1 day'!B5,"")</f>
        <v>40</v>
      </c>
      <c r="E4" s="9">
        <f>IF(A4&lt;&gt;"",'1 day'!C5,"")</f>
        <v>1.8380000000000001</v>
      </c>
      <c r="F4" s="10">
        <f>IF(A4&lt;&gt;"",'1 day'!C5/'1 day'!B5,"")</f>
        <v>4.5950000000000005E-2</v>
      </c>
      <c r="G4" s="15">
        <f>IF(A4&lt;&gt;"",'1 day'!E5*'1 day'!D5+'1 day'!F5,"")</f>
        <v>26.315000000000001</v>
      </c>
      <c r="H4" s="16">
        <f>IF(A4&lt;&gt;"",'1 day'!H5*'1 day'!G5+'1 day'!I5,"")</f>
        <v>96</v>
      </c>
      <c r="I4" s="17">
        <f>IF(A4&lt;&gt;"",'1 day'!K5*'1 day'!J5+'1 day'!L5,"")</f>
        <v>63</v>
      </c>
      <c r="K4" s="179" t="s">
        <v>87</v>
      </c>
      <c r="L4" s="180">
        <f>'14 days'!A5</f>
        <v>1</v>
      </c>
      <c r="M4" s="181">
        <f>Y4</f>
        <v>40</v>
      </c>
      <c r="N4" s="181" t="str">
        <f>INDEX(Map!$W$2:$W$67, MATCH('Raw data'!L4, Map!$V$2:$V$67,0))</f>
        <v>T6</v>
      </c>
      <c r="O4" s="182" t="str">
        <f>INDEX(Map!$X$2:$X$67, MATCH('Raw data'!L4, Map!$V$2:$V$67,0))</f>
        <v>R10</v>
      </c>
      <c r="P4" s="199">
        <f>'14 days'!C5-'14 days'!$C$3</f>
        <v>14.089999999999998</v>
      </c>
      <c r="Q4" s="145">
        <f t="shared" ref="Q4:Q67" si="0">P4/M4</f>
        <v>0.35224999999999995</v>
      </c>
      <c r="R4" s="9">
        <f t="shared" ref="R4:R67" si="1">S4*M4</f>
        <v>12.251999999999999</v>
      </c>
      <c r="S4" s="327">
        <f t="shared" ref="S4:S35" si="2">Q4-F4</f>
        <v>0.30629999999999996</v>
      </c>
      <c r="T4" s="335">
        <f>IF((IF(('14 days'!D5-'14 days'!$D$3)&lt;0, 0, ('14 days'!D5-'14 days'!$D$3)))+(IF(('14 days'!E5-'14 days'!$E$3)&lt;0, 0, ('14 days'!E5-'14 days'!$E$3)))+('14 days'!G5*'14 days'!F5)+('14 days'!H5)&lt;0, 0, (IF(('14 days'!D5-'14 days'!$D$3)&lt;0, 0, ('14 days'!D5-'14 days'!$D$3)))+(IF(('14 days'!E5-'14 days'!$E$3)&lt;0, 0, ('14 days'!E5-'14 days'!$E$3)))+('14 days'!G5*'14 days'!F5)+('14 days'!H5))</f>
        <v>10.414999999999999</v>
      </c>
      <c r="U4" s="143">
        <f>G4-T4</f>
        <v>15.900000000000002</v>
      </c>
      <c r="V4" s="145">
        <f t="shared" ref="V4:V67" si="3">U4/M4</f>
        <v>0.39750000000000008</v>
      </c>
      <c r="W4" s="9">
        <f t="shared" ref="W4:W35" si="4">U4/(P4+(SUM(AG4)))</f>
        <v>1.1284599006387512</v>
      </c>
      <c r="X4" s="198">
        <f t="shared" ref="X4:X35" si="5">D4</f>
        <v>40</v>
      </c>
      <c r="Y4" s="212">
        <f>X4-AF4</f>
        <v>40</v>
      </c>
      <c r="Z4" s="181">
        <f>'14 days'!I5</f>
        <v>0</v>
      </c>
      <c r="AA4" s="145">
        <f>'14 days'!J5</f>
        <v>0</v>
      </c>
      <c r="AB4" s="181">
        <f>'14 days'!K5</f>
        <v>0</v>
      </c>
      <c r="AC4" s="145">
        <f>'14 days'!L5</f>
        <v>0</v>
      </c>
      <c r="AD4" s="212">
        <f>'14 days'!M5</f>
        <v>0</v>
      </c>
      <c r="AE4" s="145">
        <f>'14 days'!N5</f>
        <v>0</v>
      </c>
      <c r="AF4" s="181">
        <f>SUM(Z4,AB4,AD4)</f>
        <v>0</v>
      </c>
      <c r="AG4" s="10">
        <f>SUM(AA4,AC4,AE4)</f>
        <v>0</v>
      </c>
      <c r="AI4" s="97" t="s">
        <v>116</v>
      </c>
      <c r="AJ4" s="180">
        <f>L4</f>
        <v>1</v>
      </c>
      <c r="AK4" s="181" t="str">
        <f>INDEX(Map!$W$2:$W$67, MATCH('Raw data'!AJ4, Map!$V$2:$V$67,0))</f>
        <v>T6</v>
      </c>
      <c r="AL4" s="182" t="str">
        <f>INDEX(Map!$X$2:$X$67, MATCH('Raw data'!AJ4, Map!$V$2:$V$67,0))</f>
        <v>R10</v>
      </c>
      <c r="AM4" s="319">
        <f t="shared" ref="AM4:AM35" si="6">P4</f>
        <v>14.089999999999998</v>
      </c>
      <c r="AN4" s="150">
        <f t="shared" ref="AN4" si="7">Q4</f>
        <v>0.35224999999999995</v>
      </c>
      <c r="AO4" s="151">
        <f>R4</f>
        <v>12.251999999999999</v>
      </c>
      <c r="AP4" s="150">
        <f>S4</f>
        <v>0.30629999999999996</v>
      </c>
      <c r="AQ4" s="151">
        <f>U4</f>
        <v>15.900000000000002</v>
      </c>
      <c r="AR4" s="149">
        <f>V4</f>
        <v>0.39750000000000008</v>
      </c>
      <c r="AS4" s="150">
        <f t="shared" ref="AS4:AS35" si="8">AQ4/(AM4+(SUM(AG4)))</f>
        <v>1.1284599006387512</v>
      </c>
    </row>
    <row r="5" spans="1:45" x14ac:dyDescent="0.25">
      <c r="A5" s="5">
        <f>IF('1 day'!A6&lt;&gt;"",'1 day'!A6,"")</f>
        <v>2</v>
      </c>
      <c r="B5" s="5" t="str">
        <f>IF(A5&lt;&gt;"",INDEX(Map!$W$2:$W$67, MATCH('Raw data'!A5, Map!$V$2:$V$67,0)),"")</f>
        <v>T2</v>
      </c>
      <c r="C5" s="5" t="str">
        <f>IF(A5&lt;&gt;"",INDEX(Map!$X$2:$X$67, MATCH('Raw data'!A5, Map!$V$2:$V$67,0)),"")</f>
        <v>R10</v>
      </c>
      <c r="D5" s="7">
        <f>IF(A5&lt;&gt;"",'1 day'!B6,"")</f>
        <v>40</v>
      </c>
      <c r="E5" s="11">
        <f>IF(A5&lt;&gt;"",'1 day'!C6,"")</f>
        <v>1.8340000000000001</v>
      </c>
      <c r="F5" s="12">
        <f>IF(A5&lt;&gt;"",'1 day'!C6/'1 day'!B6,"")</f>
        <v>4.5850000000000002E-2</v>
      </c>
      <c r="G5" s="18">
        <f>IF(A5&lt;&gt;"",'1 day'!E6*'1 day'!D6+'1 day'!F6,"")</f>
        <v>26.715</v>
      </c>
      <c r="H5" s="3">
        <f>IF(A5&lt;&gt;"",'1 day'!H6*'1 day'!G6+'1 day'!I6,"")</f>
        <v>96</v>
      </c>
      <c r="I5" s="19">
        <f>IF(A5&lt;&gt;"",'1 day'!K6*'1 day'!J6+'1 day'!L6,"")</f>
        <v>63</v>
      </c>
      <c r="K5" s="164" t="s">
        <v>87</v>
      </c>
      <c r="L5" s="162">
        <f>'14 days'!A6</f>
        <v>2</v>
      </c>
      <c r="M5" s="163">
        <f t="shared" ref="M5:M68" si="9">Y5</f>
        <v>40</v>
      </c>
      <c r="N5" s="163" t="str">
        <f>INDEX(Map!$W$2:$W$67, MATCH('Raw data'!L5, Map!$V$2:$V$67,0))</f>
        <v>T2</v>
      </c>
      <c r="O5" s="165" t="str">
        <f>INDEX(Map!$X$2:$X$67, MATCH('Raw data'!L5, Map!$V$2:$V$67,0))</f>
        <v>R10</v>
      </c>
      <c r="P5" s="158">
        <f>'14 days'!C6-'14 days'!$C$3</f>
        <v>14.49</v>
      </c>
      <c r="Q5" s="154">
        <f t="shared" si="0"/>
        <v>0.36225000000000002</v>
      </c>
      <c r="R5" s="155">
        <f t="shared" si="1"/>
        <v>12.656000000000001</v>
      </c>
      <c r="S5" s="328">
        <f t="shared" si="2"/>
        <v>0.31640000000000001</v>
      </c>
      <c r="T5" s="336">
        <f>IF((IF(('14 days'!D6-'14 days'!$D$3)&lt;0, 0, ('14 days'!D6-'14 days'!$D$3)))+(IF(('14 days'!E6-'14 days'!$E$3)&lt;0, 0, ('14 days'!E6-'14 days'!$E$3)))+('14 days'!G6*'14 days'!F6)+('14 days'!H6)&lt;0, 0, (IF(('14 days'!D6-'14 days'!$D$3)&lt;0, 0, ('14 days'!D6-'14 days'!$D$3)))+(IF(('14 days'!E6-'14 days'!$E$3)&lt;0, 0, ('14 days'!E6-'14 days'!$E$3)))+('14 days'!G6*'14 days'!F6)+('14 days'!H6))</f>
        <v>9.4149999999999991</v>
      </c>
      <c r="U5" s="158">
        <f t="shared" ref="U5:U35" si="10">G5-T5</f>
        <v>17.3</v>
      </c>
      <c r="V5" s="154">
        <f t="shared" si="3"/>
        <v>0.4325</v>
      </c>
      <c r="W5" s="155">
        <f t="shared" si="4"/>
        <v>1.1939268461007593</v>
      </c>
      <c r="X5" s="196">
        <f t="shared" si="5"/>
        <v>40</v>
      </c>
      <c r="Y5" s="213">
        <f>X5-AF5</f>
        <v>40</v>
      </c>
      <c r="Z5" s="163">
        <f>'14 days'!I6</f>
        <v>0</v>
      </c>
      <c r="AA5" s="154">
        <f>'14 days'!J6</f>
        <v>0</v>
      </c>
      <c r="AB5" s="163">
        <f>'14 days'!K6</f>
        <v>0</v>
      </c>
      <c r="AC5" s="154">
        <f>'14 days'!L6</f>
        <v>0</v>
      </c>
      <c r="AD5" s="213">
        <f>'14 days'!M6</f>
        <v>0</v>
      </c>
      <c r="AE5" s="154">
        <f>'14 days'!N6</f>
        <v>0</v>
      </c>
      <c r="AF5" s="163">
        <f t="shared" ref="AF5:AF68" si="11">SUM(Z5,AB5,AD5)</f>
        <v>0</v>
      </c>
      <c r="AG5" s="160">
        <f t="shared" ref="AG5:AG68" si="12">SUM(AA5,AC5,AE5)</f>
        <v>0</v>
      </c>
      <c r="AI5" s="319" t="s">
        <v>116</v>
      </c>
      <c r="AJ5" s="162">
        <f t="shared" ref="AJ5:AJ68" si="13">L5</f>
        <v>2</v>
      </c>
      <c r="AK5" s="163" t="str">
        <f>INDEX(Map!$W$2:$W$67, MATCH('Raw data'!AJ5, Map!$V$2:$V$67,0))</f>
        <v>T2</v>
      </c>
      <c r="AL5" s="165" t="str">
        <f>INDEX(Map!$X$2:$X$67, MATCH('Raw data'!AJ5, Map!$V$2:$V$67,0))</f>
        <v>R10</v>
      </c>
      <c r="AM5" s="319">
        <f t="shared" si="6"/>
        <v>14.49</v>
      </c>
      <c r="AN5" s="150">
        <f t="shared" ref="AN5:AN68" si="14">Q5</f>
        <v>0.36225000000000002</v>
      </c>
      <c r="AO5" s="151">
        <f t="shared" ref="AO5:AO68" si="15">R5</f>
        <v>12.656000000000001</v>
      </c>
      <c r="AP5" s="150">
        <f t="shared" ref="AP5:AP68" si="16">S5</f>
        <v>0.31640000000000001</v>
      </c>
      <c r="AQ5" s="151">
        <f t="shared" ref="AQ5:AQ68" si="17">U5</f>
        <v>17.3</v>
      </c>
      <c r="AR5" s="149">
        <f t="shared" ref="AR5:AR68" si="18">V5</f>
        <v>0.4325</v>
      </c>
      <c r="AS5" s="150">
        <f t="shared" si="8"/>
        <v>1.1939268461007593</v>
      </c>
    </row>
    <row r="6" spans="1:45" x14ac:dyDescent="0.25">
      <c r="A6" s="5">
        <f>IF('1 day'!A7&lt;&gt;"",'1 day'!A7,"")</f>
        <v>3</v>
      </c>
      <c r="B6" s="5" t="str">
        <f>IF(A6&lt;&gt;"",INDEX(Map!$W$2:$W$67, MATCH('Raw data'!A6, Map!$V$2:$V$67,0)),"")</f>
        <v>T5</v>
      </c>
      <c r="C6" s="5" t="str">
        <f>IF(A6&lt;&gt;"",INDEX(Map!$X$2:$X$67, MATCH('Raw data'!A6, Map!$V$2:$V$67,0)),"")</f>
        <v>R1</v>
      </c>
      <c r="D6" s="7">
        <f>IF(A6&lt;&gt;"",'1 day'!B7,"")</f>
        <v>40</v>
      </c>
      <c r="E6" s="11">
        <f>IF(A6&lt;&gt;"",'1 day'!C7,"")</f>
        <v>1.84</v>
      </c>
      <c r="F6" s="12">
        <f>IF(A6&lt;&gt;"",'1 day'!C7/'1 day'!B7,"")</f>
        <v>4.5999999999999999E-2</v>
      </c>
      <c r="G6" s="18">
        <f>IF(A6&lt;&gt;"",'1 day'!E7*'1 day'!D7+'1 day'!F7,"")</f>
        <v>25.965</v>
      </c>
      <c r="H6" s="3">
        <f>IF(A6&lt;&gt;"",'1 day'!H7*'1 day'!G7+'1 day'!I7,"")</f>
        <v>96</v>
      </c>
      <c r="I6" s="19">
        <f>IF(A6&lt;&gt;"",'1 day'!K7*'1 day'!J7+'1 day'!L7,"")</f>
        <v>63</v>
      </c>
      <c r="K6" s="164" t="s">
        <v>87</v>
      </c>
      <c r="L6" s="162">
        <f>'14 days'!A7</f>
        <v>3</v>
      </c>
      <c r="M6" s="163">
        <f t="shared" si="9"/>
        <v>37</v>
      </c>
      <c r="N6" s="163" t="str">
        <f>INDEX(Map!$W$2:$W$67, MATCH('Raw data'!L6, Map!$V$2:$V$67,0))</f>
        <v>T5</v>
      </c>
      <c r="O6" s="165" t="str">
        <f>INDEX(Map!$X$2:$X$67, MATCH('Raw data'!L6, Map!$V$2:$V$67,0))</f>
        <v>R1</v>
      </c>
      <c r="P6" s="158">
        <f>'14 days'!C7-'14 days'!$C$3</f>
        <v>12.69</v>
      </c>
      <c r="Q6" s="154">
        <f t="shared" si="0"/>
        <v>0.34297297297297297</v>
      </c>
      <c r="R6" s="155">
        <f t="shared" si="1"/>
        <v>10.988</v>
      </c>
      <c r="S6" s="328">
        <f t="shared" si="2"/>
        <v>0.29697297297297298</v>
      </c>
      <c r="T6" s="336">
        <f>IF((IF(('14 days'!D7-'14 days'!$D$3)&lt;0, 0, ('14 days'!D7-'14 days'!$D$3)))+(IF(('14 days'!E7-'14 days'!$E$3)&lt;0, 0, ('14 days'!E7-'14 days'!$E$3)))+('14 days'!G7*'14 days'!F7)+('14 days'!H7)&lt;0, 0, (IF(('14 days'!D7-'14 days'!$D$3)&lt;0, 0, ('14 days'!D7-'14 days'!$D$3)))+(IF(('14 days'!E7-'14 days'!$E$3)&lt;0, 0, ('14 days'!E7-'14 days'!$E$3)))+('14 days'!G7*'14 days'!F7)+('14 days'!H7))</f>
        <v>10.765000000000001</v>
      </c>
      <c r="U6" s="158">
        <f t="shared" si="10"/>
        <v>15.2</v>
      </c>
      <c r="V6" s="154">
        <f t="shared" si="3"/>
        <v>0.41081081081081078</v>
      </c>
      <c r="W6" s="155">
        <f t="shared" si="4"/>
        <v>1.1405417573347338</v>
      </c>
      <c r="X6" s="196">
        <f t="shared" si="5"/>
        <v>40</v>
      </c>
      <c r="Y6" s="213">
        <f t="shared" ref="Y6:Y68" si="19">X6-AF6</f>
        <v>37</v>
      </c>
      <c r="Z6" s="373">
        <f>'14 days'!I7</f>
        <v>1</v>
      </c>
      <c r="AA6" s="154">
        <f>'14 days'!J7</f>
        <v>3.6999999999999998E-2</v>
      </c>
      <c r="AB6" s="163">
        <f>'14 days'!K7</f>
        <v>2</v>
      </c>
      <c r="AC6" s="154">
        <f>'14 days'!L7</f>
        <v>0.6</v>
      </c>
      <c r="AD6" s="213">
        <f>'14 days'!M7</f>
        <v>0</v>
      </c>
      <c r="AE6" s="154">
        <f>'14 days'!N7</f>
        <v>0</v>
      </c>
      <c r="AF6" s="163">
        <f t="shared" si="11"/>
        <v>3</v>
      </c>
      <c r="AG6" s="160">
        <f t="shared" si="12"/>
        <v>0.63700000000000001</v>
      </c>
      <c r="AI6" s="319" t="s">
        <v>116</v>
      </c>
      <c r="AJ6" s="162">
        <f t="shared" si="13"/>
        <v>3</v>
      </c>
      <c r="AK6" s="163" t="str">
        <f>INDEX(Map!$W$2:$W$67, MATCH('Raw data'!AJ6, Map!$V$2:$V$67,0))</f>
        <v>T5</v>
      </c>
      <c r="AL6" s="165" t="str">
        <f>INDEX(Map!$X$2:$X$67, MATCH('Raw data'!AJ6, Map!$V$2:$V$67,0))</f>
        <v>R1</v>
      </c>
      <c r="AM6" s="319">
        <f t="shared" si="6"/>
        <v>12.69</v>
      </c>
      <c r="AN6" s="150">
        <f t="shared" si="14"/>
        <v>0.34297297297297297</v>
      </c>
      <c r="AO6" s="151">
        <f t="shared" si="15"/>
        <v>10.988</v>
      </c>
      <c r="AP6" s="150">
        <f t="shared" si="16"/>
        <v>0.29697297297297298</v>
      </c>
      <c r="AQ6" s="151">
        <f t="shared" si="17"/>
        <v>15.2</v>
      </c>
      <c r="AR6" s="149">
        <f t="shared" si="18"/>
        <v>0.41081081081081078</v>
      </c>
      <c r="AS6" s="150">
        <f t="shared" si="8"/>
        <v>1.1405417573347338</v>
      </c>
    </row>
    <row r="7" spans="1:45" x14ac:dyDescent="0.25">
      <c r="A7" s="5">
        <f>IF('1 day'!A8&lt;&gt;"",'1 day'!A8,"")</f>
        <v>4</v>
      </c>
      <c r="B7" s="5" t="str">
        <f>IF(A7&lt;&gt;"",INDEX(Map!$W$2:$W$67, MATCH('Raw data'!A7, Map!$V$2:$V$67,0)),"")</f>
        <v>T3</v>
      </c>
      <c r="C7" s="5" t="str">
        <f>IF(A7&lt;&gt;"",INDEX(Map!$X$2:$X$67, MATCH('Raw data'!A7, Map!$V$2:$V$67,0)),"")</f>
        <v>R1</v>
      </c>
      <c r="D7" s="7">
        <f>IF(A7&lt;&gt;"",'1 day'!B8,"")</f>
        <v>40</v>
      </c>
      <c r="E7" s="11">
        <f>IF(A7&lt;&gt;"",'1 day'!C8,"")</f>
        <v>1.8380000000000001</v>
      </c>
      <c r="F7" s="12">
        <f>IF(A7&lt;&gt;"",'1 day'!C8/'1 day'!B8,"")</f>
        <v>4.5950000000000005E-2</v>
      </c>
      <c r="G7" s="18">
        <f>IF(A7&lt;&gt;"",'1 day'!E8*'1 day'!D8+'1 day'!F8,"")</f>
        <v>25.125</v>
      </c>
      <c r="H7" s="3">
        <f>IF(A7&lt;&gt;"",'1 day'!H8*'1 day'!G8+'1 day'!I8,"")</f>
        <v>96</v>
      </c>
      <c r="I7" s="19">
        <f>IF(A7&lt;&gt;"",'1 day'!K8*'1 day'!J8+'1 day'!L8,"")</f>
        <v>63</v>
      </c>
      <c r="K7" s="164" t="s">
        <v>87</v>
      </c>
      <c r="L7" s="162">
        <f>'14 days'!A8</f>
        <v>4</v>
      </c>
      <c r="M7" s="163">
        <f t="shared" si="9"/>
        <v>39</v>
      </c>
      <c r="N7" s="163" t="str">
        <f>INDEX(Map!$W$2:$W$67, MATCH('Raw data'!L7, Map!$V$2:$V$67,0))</f>
        <v>T3</v>
      </c>
      <c r="O7" s="165" t="str">
        <f>INDEX(Map!$X$2:$X$67, MATCH('Raw data'!L7, Map!$V$2:$V$67,0))</f>
        <v>R1</v>
      </c>
      <c r="P7" s="158">
        <f>'14 days'!C8-'14 days'!$C$3</f>
        <v>13.99</v>
      </c>
      <c r="Q7" s="154">
        <f t="shared" si="0"/>
        <v>0.35871794871794871</v>
      </c>
      <c r="R7" s="155">
        <f t="shared" si="1"/>
        <v>12.197950000000001</v>
      </c>
      <c r="S7" s="328">
        <f t="shared" si="2"/>
        <v>0.31276794871794872</v>
      </c>
      <c r="T7" s="336">
        <f>IF((IF(('14 days'!D8-'14 days'!$D$3)&lt;0, 0, ('14 days'!D8-'14 days'!$D$3)))+(IF(('14 days'!E8-'14 days'!$E$3)&lt;0, 0, ('14 days'!E8-'14 days'!$E$3)))+('14 days'!G8*'14 days'!F8)+('14 days'!H8)&lt;0, 0, (IF(('14 days'!D8-'14 days'!$D$3)&lt;0, 0, ('14 days'!D8-'14 days'!$D$3)))+(IF(('14 days'!E8-'14 days'!$E$3)&lt;0, 0, ('14 days'!E8-'14 days'!$E$3)))+('14 days'!G8*'14 days'!F8)+('14 days'!H8))</f>
        <v>8.6149999999999984</v>
      </c>
      <c r="U7" s="158">
        <f t="shared" si="10"/>
        <v>16.510000000000002</v>
      </c>
      <c r="V7" s="154">
        <f t="shared" si="3"/>
        <v>0.42333333333333339</v>
      </c>
      <c r="W7" s="155">
        <f t="shared" si="4"/>
        <v>1.1553533939818055</v>
      </c>
      <c r="X7" s="196">
        <f t="shared" si="5"/>
        <v>40</v>
      </c>
      <c r="Y7" s="213">
        <f t="shared" si="19"/>
        <v>39</v>
      </c>
      <c r="Z7" s="163">
        <f>'14 days'!I8</f>
        <v>0</v>
      </c>
      <c r="AA7" s="154">
        <f>'14 days'!J8</f>
        <v>0</v>
      </c>
      <c r="AB7" s="163">
        <f>'14 days'!K8</f>
        <v>1</v>
      </c>
      <c r="AC7" s="154">
        <f>'14 days'!L8</f>
        <v>0.3</v>
      </c>
      <c r="AD7" s="213">
        <f>'14 days'!M8</f>
        <v>0</v>
      </c>
      <c r="AE7" s="154">
        <f>'14 days'!N8</f>
        <v>0</v>
      </c>
      <c r="AF7" s="163">
        <f t="shared" si="11"/>
        <v>1</v>
      </c>
      <c r="AG7" s="160">
        <f t="shared" si="12"/>
        <v>0.3</v>
      </c>
      <c r="AI7" s="319" t="s">
        <v>116</v>
      </c>
      <c r="AJ7" s="162">
        <f t="shared" si="13"/>
        <v>4</v>
      </c>
      <c r="AK7" s="163" t="str">
        <f>INDEX(Map!$W$2:$W$67, MATCH('Raw data'!AJ7, Map!$V$2:$V$67,0))</f>
        <v>T3</v>
      </c>
      <c r="AL7" s="165" t="str">
        <f>INDEX(Map!$X$2:$X$67, MATCH('Raw data'!AJ7, Map!$V$2:$V$67,0))</f>
        <v>R1</v>
      </c>
      <c r="AM7" s="319">
        <f t="shared" si="6"/>
        <v>13.99</v>
      </c>
      <c r="AN7" s="150">
        <f t="shared" si="14"/>
        <v>0.35871794871794871</v>
      </c>
      <c r="AO7" s="151">
        <f t="shared" si="15"/>
        <v>12.197950000000001</v>
      </c>
      <c r="AP7" s="150">
        <f t="shared" si="16"/>
        <v>0.31276794871794872</v>
      </c>
      <c r="AQ7" s="151">
        <f t="shared" si="17"/>
        <v>16.510000000000002</v>
      </c>
      <c r="AR7" s="149">
        <f t="shared" si="18"/>
        <v>0.42333333333333339</v>
      </c>
      <c r="AS7" s="150">
        <f t="shared" si="8"/>
        <v>1.1553533939818055</v>
      </c>
    </row>
    <row r="8" spans="1:45" x14ac:dyDescent="0.25">
      <c r="A8" s="5">
        <f>IF('1 day'!A9&lt;&gt;"",'1 day'!A9,"")</f>
        <v>5</v>
      </c>
      <c r="B8" s="5" t="str">
        <f>IF(A8&lt;&gt;"",INDEX(Map!$W$2:$W$67, MATCH('Raw data'!A8, Map!$V$2:$V$67,0)),"")</f>
        <v>T6</v>
      </c>
      <c r="C8" s="5" t="str">
        <f>IF(A8&lt;&gt;"",INDEX(Map!$X$2:$X$67, MATCH('Raw data'!A8, Map!$V$2:$V$67,0)),"")</f>
        <v>R1</v>
      </c>
      <c r="D8" s="7">
        <f>IF(A8&lt;&gt;"",'1 day'!B9,"")</f>
        <v>40</v>
      </c>
      <c r="E8" s="11">
        <f>IF(A8&lt;&gt;"",'1 day'!C9,"")</f>
        <v>1.837</v>
      </c>
      <c r="F8" s="12">
        <f>IF(A8&lt;&gt;"",'1 day'!C9/'1 day'!B9,"")</f>
        <v>4.5925000000000001E-2</v>
      </c>
      <c r="G8" s="18">
        <f>IF(A8&lt;&gt;"",'1 day'!E9*'1 day'!D9+'1 day'!F9,"")</f>
        <v>25.865000000000002</v>
      </c>
      <c r="H8" s="3">
        <f>IF(A8&lt;&gt;"",'1 day'!H9*'1 day'!G9+'1 day'!I9,"")</f>
        <v>96</v>
      </c>
      <c r="I8" s="19">
        <f>IF(A8&lt;&gt;"",'1 day'!K9*'1 day'!J9+'1 day'!L9,"")</f>
        <v>63</v>
      </c>
      <c r="K8" s="164" t="s">
        <v>87</v>
      </c>
      <c r="L8" s="162">
        <f>'14 days'!A9</f>
        <v>5</v>
      </c>
      <c r="M8" s="163">
        <f t="shared" si="9"/>
        <v>40</v>
      </c>
      <c r="N8" s="163" t="str">
        <f>INDEX(Map!$W$2:$W$67, MATCH('Raw data'!L8, Map!$V$2:$V$67,0))</f>
        <v>T6</v>
      </c>
      <c r="O8" s="165" t="str">
        <f>INDEX(Map!$X$2:$X$67, MATCH('Raw data'!L8, Map!$V$2:$V$67,0))</f>
        <v>R1</v>
      </c>
      <c r="P8" s="158">
        <f>'14 days'!C9-'14 days'!$C$3</f>
        <v>13.74</v>
      </c>
      <c r="Q8" s="154">
        <f t="shared" si="0"/>
        <v>0.34350000000000003</v>
      </c>
      <c r="R8" s="155">
        <f t="shared" si="1"/>
        <v>11.903000000000002</v>
      </c>
      <c r="S8" s="328">
        <f t="shared" si="2"/>
        <v>0.29757500000000003</v>
      </c>
      <c r="T8" s="336">
        <f>IF((IF(('14 days'!D9-'14 days'!$D$3)&lt;0, 0, ('14 days'!D9-'14 days'!$D$3)))+(IF(('14 days'!E9-'14 days'!$E$3)&lt;0, 0, ('14 days'!E9-'14 days'!$E$3)))+('14 days'!G9*'14 days'!F9)+('14 days'!H9)&lt;0, 0, (IF(('14 days'!D9-'14 days'!$D$3)&lt;0, 0, ('14 days'!D9-'14 days'!$D$3)))+(IF(('14 days'!E9-'14 days'!$E$3)&lt;0, 0, ('14 days'!E9-'14 days'!$E$3)))+('14 days'!G9*'14 days'!F9)+('14 days'!H9))</f>
        <v>10.015000000000001</v>
      </c>
      <c r="U8" s="158">
        <f t="shared" si="10"/>
        <v>15.850000000000001</v>
      </c>
      <c r="V8" s="154">
        <f t="shared" si="3"/>
        <v>0.39625000000000005</v>
      </c>
      <c r="W8" s="155">
        <f t="shared" si="4"/>
        <v>1.1535662299854441</v>
      </c>
      <c r="X8" s="196">
        <f t="shared" si="5"/>
        <v>40</v>
      </c>
      <c r="Y8" s="213">
        <f t="shared" si="19"/>
        <v>40</v>
      </c>
      <c r="Z8" s="163">
        <f>'14 days'!I9</f>
        <v>0</v>
      </c>
      <c r="AA8" s="154">
        <f>'14 days'!J9</f>
        <v>0</v>
      </c>
      <c r="AB8" s="163">
        <f>'14 days'!K9</f>
        <v>0</v>
      </c>
      <c r="AC8" s="154">
        <f>'14 days'!L9</f>
        <v>0</v>
      </c>
      <c r="AD8" s="213">
        <f>'14 days'!M9</f>
        <v>0</v>
      </c>
      <c r="AE8" s="154">
        <f>'14 days'!N9</f>
        <v>0</v>
      </c>
      <c r="AF8" s="163">
        <f t="shared" si="11"/>
        <v>0</v>
      </c>
      <c r="AG8" s="160">
        <f t="shared" si="12"/>
        <v>0</v>
      </c>
      <c r="AI8" s="319" t="s">
        <v>116</v>
      </c>
      <c r="AJ8" s="162">
        <f t="shared" si="13"/>
        <v>5</v>
      </c>
      <c r="AK8" s="163" t="str">
        <f>INDEX(Map!$W$2:$W$67, MATCH('Raw data'!AJ8, Map!$V$2:$V$67,0))</f>
        <v>T6</v>
      </c>
      <c r="AL8" s="165" t="str">
        <f>INDEX(Map!$X$2:$X$67, MATCH('Raw data'!AJ8, Map!$V$2:$V$67,0))</f>
        <v>R1</v>
      </c>
      <c r="AM8" s="319">
        <f t="shared" si="6"/>
        <v>13.74</v>
      </c>
      <c r="AN8" s="150">
        <f t="shared" si="14"/>
        <v>0.34350000000000003</v>
      </c>
      <c r="AO8" s="151">
        <f t="shared" si="15"/>
        <v>11.903000000000002</v>
      </c>
      <c r="AP8" s="150">
        <f t="shared" si="16"/>
        <v>0.29757500000000003</v>
      </c>
      <c r="AQ8" s="151">
        <f t="shared" si="17"/>
        <v>15.850000000000001</v>
      </c>
      <c r="AR8" s="149">
        <f t="shared" si="18"/>
        <v>0.39625000000000005</v>
      </c>
      <c r="AS8" s="150">
        <f t="shared" si="8"/>
        <v>1.1535662299854441</v>
      </c>
    </row>
    <row r="9" spans="1:45" x14ac:dyDescent="0.25">
      <c r="A9" s="5">
        <f>IF('1 day'!A10&lt;&gt;"",'1 day'!A10,"")</f>
        <v>6</v>
      </c>
      <c r="B9" s="5" t="str">
        <f>IF(A9&lt;&gt;"",INDEX(Map!$W$2:$W$67, MATCH('Raw data'!A9, Map!$V$2:$V$67,0)),"")</f>
        <v>T4</v>
      </c>
      <c r="C9" s="5" t="str">
        <f>IF(A9&lt;&gt;"",INDEX(Map!$X$2:$X$67, MATCH('Raw data'!A9, Map!$V$2:$V$67,0)),"")</f>
        <v>R1</v>
      </c>
      <c r="D9" s="7">
        <f>IF(A9&lt;&gt;"",'1 day'!B10,"")</f>
        <v>40</v>
      </c>
      <c r="E9" s="11">
        <f>IF(A9&lt;&gt;"",'1 day'!C10,"")</f>
        <v>1.84</v>
      </c>
      <c r="F9" s="12">
        <f>IF(A9&lt;&gt;"",'1 day'!C10/'1 day'!B10,"")</f>
        <v>4.5999999999999999E-2</v>
      </c>
      <c r="G9" s="18">
        <f>IF(A9&lt;&gt;"",'1 day'!E10*'1 day'!D10+'1 day'!F10,"")</f>
        <v>26.365000000000002</v>
      </c>
      <c r="H9" s="3">
        <f>IF(A9&lt;&gt;"",'1 day'!H10*'1 day'!G10+'1 day'!I10,"")</f>
        <v>96</v>
      </c>
      <c r="I9" s="19">
        <f>IF(A9&lt;&gt;"",'1 day'!K10*'1 day'!J10+'1 day'!L10,"")</f>
        <v>63</v>
      </c>
      <c r="K9" s="164" t="s">
        <v>87</v>
      </c>
      <c r="L9" s="162">
        <f>'14 days'!A10</f>
        <v>6</v>
      </c>
      <c r="M9" s="163">
        <f t="shared" si="9"/>
        <v>38</v>
      </c>
      <c r="N9" s="163" t="str">
        <f>INDEX(Map!$W$2:$W$67, MATCH('Raw data'!L9, Map!$V$2:$V$67,0))</f>
        <v>T4</v>
      </c>
      <c r="O9" s="165" t="str">
        <f>INDEX(Map!$X$2:$X$67, MATCH('Raw data'!L9, Map!$V$2:$V$67,0))</f>
        <v>R1</v>
      </c>
      <c r="P9" s="158">
        <f>'14 days'!C10-'14 days'!$C$3</f>
        <v>12.49</v>
      </c>
      <c r="Q9" s="154">
        <f t="shared" si="0"/>
        <v>0.3286842105263158</v>
      </c>
      <c r="R9" s="155">
        <f t="shared" si="1"/>
        <v>10.742000000000001</v>
      </c>
      <c r="S9" s="328">
        <f t="shared" si="2"/>
        <v>0.28268421052631582</v>
      </c>
      <c r="T9" s="336">
        <f>IF((IF(('14 days'!D10-'14 days'!$D$3)&lt;0, 0, ('14 days'!D10-'14 days'!$D$3)))+(IF(('14 days'!E10-'14 days'!$E$3)&lt;0, 0, ('14 days'!E10-'14 days'!$E$3)))+('14 days'!G10*'14 days'!F10)+('14 days'!H10)&lt;0, 0, (IF(('14 days'!D10-'14 days'!$D$3)&lt;0, 0, ('14 days'!D10-'14 days'!$D$3)))+(IF(('14 days'!E10-'14 days'!$E$3)&lt;0, 0, ('14 days'!E10-'14 days'!$E$3)))+('14 days'!G10*'14 days'!F10)+('14 days'!H10))</f>
        <v>11.565000000000001</v>
      </c>
      <c r="U9" s="158">
        <f t="shared" si="10"/>
        <v>14.8</v>
      </c>
      <c r="V9" s="154">
        <f t="shared" si="3"/>
        <v>0.38947368421052636</v>
      </c>
      <c r="W9" s="155">
        <f t="shared" si="4"/>
        <v>1.1564306922956713</v>
      </c>
      <c r="X9" s="196">
        <f t="shared" si="5"/>
        <v>40</v>
      </c>
      <c r="Y9" s="213">
        <f t="shared" si="19"/>
        <v>38</v>
      </c>
      <c r="Z9" s="163">
        <f>'14 days'!I10</f>
        <v>1</v>
      </c>
      <c r="AA9" s="154">
        <f>'14 days'!J10</f>
        <v>5.8000000000000003E-2</v>
      </c>
      <c r="AB9" s="163">
        <f>'14 days'!K10</f>
        <v>1</v>
      </c>
      <c r="AC9" s="154">
        <f>'14 days'!L10</f>
        <v>0.25</v>
      </c>
      <c r="AD9" s="213">
        <f>'14 days'!M10</f>
        <v>0</v>
      </c>
      <c r="AE9" s="154">
        <f>'14 days'!N10</f>
        <v>0</v>
      </c>
      <c r="AF9" s="163">
        <f t="shared" si="11"/>
        <v>2</v>
      </c>
      <c r="AG9" s="160">
        <f t="shared" si="12"/>
        <v>0.308</v>
      </c>
      <c r="AI9" s="319" t="s">
        <v>116</v>
      </c>
      <c r="AJ9" s="162">
        <f t="shared" si="13"/>
        <v>6</v>
      </c>
      <c r="AK9" s="163" t="str">
        <f>INDEX(Map!$W$2:$W$67, MATCH('Raw data'!AJ9, Map!$V$2:$V$67,0))</f>
        <v>T4</v>
      </c>
      <c r="AL9" s="165" t="str">
        <f>INDEX(Map!$X$2:$X$67, MATCH('Raw data'!AJ9, Map!$V$2:$V$67,0))</f>
        <v>R1</v>
      </c>
      <c r="AM9" s="319">
        <f t="shared" si="6"/>
        <v>12.49</v>
      </c>
      <c r="AN9" s="150">
        <f t="shared" si="14"/>
        <v>0.3286842105263158</v>
      </c>
      <c r="AO9" s="151">
        <f t="shared" si="15"/>
        <v>10.742000000000001</v>
      </c>
      <c r="AP9" s="150">
        <f t="shared" si="16"/>
        <v>0.28268421052631582</v>
      </c>
      <c r="AQ9" s="151">
        <f t="shared" si="17"/>
        <v>14.8</v>
      </c>
      <c r="AR9" s="149">
        <f t="shared" si="18"/>
        <v>0.38947368421052636</v>
      </c>
      <c r="AS9" s="150">
        <f t="shared" si="8"/>
        <v>1.1564306922956713</v>
      </c>
    </row>
    <row r="10" spans="1:45" x14ac:dyDescent="0.25">
      <c r="A10" s="5">
        <f>IF('1 day'!A11&lt;&gt;"",'1 day'!A11,"")</f>
        <v>7</v>
      </c>
      <c r="B10" s="5" t="str">
        <f>IF(A10&lt;&gt;"",INDEX(Map!$W$2:$W$67, MATCH('Raw data'!A10, Map!$V$2:$V$67,0)),"")</f>
        <v>T2</v>
      </c>
      <c r="C10" s="5" t="str">
        <f>IF(A10&lt;&gt;"",INDEX(Map!$X$2:$X$67, MATCH('Raw data'!A10, Map!$V$2:$V$67,0)),"")</f>
        <v>R1</v>
      </c>
      <c r="D10" s="7">
        <f>IF(A10&lt;&gt;"",'1 day'!B11,"")</f>
        <v>40</v>
      </c>
      <c r="E10" s="11">
        <f>IF(A10&lt;&gt;"",'1 day'!C11,"")</f>
        <v>1.8340000000000001</v>
      </c>
      <c r="F10" s="12">
        <f>IF(A10&lt;&gt;"",'1 day'!C11/'1 day'!B11,"")</f>
        <v>4.5850000000000002E-2</v>
      </c>
      <c r="G10" s="18">
        <f>IF(A10&lt;&gt;"",'1 day'!E11*'1 day'!D11+'1 day'!F11,"")</f>
        <v>26.664999999999999</v>
      </c>
      <c r="H10" s="3">
        <f>IF(A10&lt;&gt;"",'1 day'!H11*'1 day'!G11+'1 day'!I11,"")</f>
        <v>96</v>
      </c>
      <c r="I10" s="19">
        <f>IF(A10&lt;&gt;"",'1 day'!K11*'1 day'!J11+'1 day'!L11,"")</f>
        <v>63</v>
      </c>
      <c r="K10" s="164" t="s">
        <v>87</v>
      </c>
      <c r="L10" s="162">
        <f>'14 days'!A11</f>
        <v>7</v>
      </c>
      <c r="M10" s="163">
        <f t="shared" si="9"/>
        <v>39</v>
      </c>
      <c r="N10" s="163" t="str">
        <f>INDEX(Map!$W$2:$W$67, MATCH('Raw data'!L10, Map!$V$2:$V$67,0))</f>
        <v>T2</v>
      </c>
      <c r="O10" s="165" t="str">
        <f>INDEX(Map!$X$2:$X$67, MATCH('Raw data'!L10, Map!$V$2:$V$67,0))</f>
        <v>R1</v>
      </c>
      <c r="P10" s="158">
        <f>'14 days'!C11-'14 days'!$C$3</f>
        <v>14.040000000000001</v>
      </c>
      <c r="Q10" s="154">
        <f t="shared" si="0"/>
        <v>0.36000000000000004</v>
      </c>
      <c r="R10" s="155">
        <f t="shared" si="1"/>
        <v>12.251850000000001</v>
      </c>
      <c r="S10" s="328">
        <f t="shared" si="2"/>
        <v>0.31415000000000004</v>
      </c>
      <c r="T10" s="336">
        <f>IF((IF(('14 days'!D11-'14 days'!$D$3)&lt;0, 0, ('14 days'!D11-'14 days'!$D$3)))+(IF(('14 days'!E11-'14 days'!$E$3)&lt;0, 0, ('14 days'!E11-'14 days'!$E$3)))+('14 days'!G11*'14 days'!F11)+('14 days'!H11)&lt;0, 0, (IF(('14 days'!D11-'14 days'!$D$3)&lt;0, 0, ('14 days'!D11-'14 days'!$D$3)))+(IF(('14 days'!E11-'14 days'!$E$3)&lt;0, 0, ('14 days'!E11-'14 days'!$E$3)))+('14 days'!G11*'14 days'!F11)+('14 days'!H11))</f>
        <v>10.665000000000001</v>
      </c>
      <c r="U10" s="158">
        <f t="shared" si="10"/>
        <v>15.999999999999998</v>
      </c>
      <c r="V10" s="154">
        <f t="shared" si="3"/>
        <v>0.41025641025641019</v>
      </c>
      <c r="W10" s="155">
        <f t="shared" si="4"/>
        <v>1.1345103878607385</v>
      </c>
      <c r="X10" s="196">
        <f t="shared" si="5"/>
        <v>40</v>
      </c>
      <c r="Y10" s="213">
        <f t="shared" si="19"/>
        <v>39</v>
      </c>
      <c r="Z10" s="163">
        <f>'14 days'!I11</f>
        <v>1</v>
      </c>
      <c r="AA10" s="154">
        <f>'14 days'!J11</f>
        <v>6.3E-2</v>
      </c>
      <c r="AB10" s="163">
        <f>'14 days'!K11</f>
        <v>0</v>
      </c>
      <c r="AC10" s="154">
        <f>'14 days'!L11</f>
        <v>0</v>
      </c>
      <c r="AD10" s="213">
        <f>'14 days'!M11</f>
        <v>0</v>
      </c>
      <c r="AE10" s="154">
        <f>'14 days'!N11</f>
        <v>0</v>
      </c>
      <c r="AF10" s="163">
        <f t="shared" si="11"/>
        <v>1</v>
      </c>
      <c r="AG10" s="160">
        <f t="shared" si="12"/>
        <v>6.3E-2</v>
      </c>
      <c r="AI10" s="319" t="s">
        <v>116</v>
      </c>
      <c r="AJ10" s="162">
        <f t="shared" si="13"/>
        <v>7</v>
      </c>
      <c r="AK10" s="163" t="str">
        <f>INDEX(Map!$W$2:$W$67, MATCH('Raw data'!AJ10, Map!$V$2:$V$67,0))</f>
        <v>T2</v>
      </c>
      <c r="AL10" s="165" t="str">
        <f>INDEX(Map!$X$2:$X$67, MATCH('Raw data'!AJ10, Map!$V$2:$V$67,0))</f>
        <v>R1</v>
      </c>
      <c r="AM10" s="319">
        <f t="shared" si="6"/>
        <v>14.040000000000001</v>
      </c>
      <c r="AN10" s="150">
        <f t="shared" si="14"/>
        <v>0.36000000000000004</v>
      </c>
      <c r="AO10" s="151">
        <f t="shared" si="15"/>
        <v>12.251850000000001</v>
      </c>
      <c r="AP10" s="150">
        <f t="shared" si="16"/>
        <v>0.31415000000000004</v>
      </c>
      <c r="AQ10" s="151">
        <f t="shared" si="17"/>
        <v>15.999999999999998</v>
      </c>
      <c r="AR10" s="149">
        <f t="shared" si="18"/>
        <v>0.41025641025641019</v>
      </c>
      <c r="AS10" s="150">
        <f t="shared" si="8"/>
        <v>1.1345103878607385</v>
      </c>
    </row>
    <row r="11" spans="1:45" x14ac:dyDescent="0.25">
      <c r="A11" s="5">
        <f>IF('1 day'!A12&lt;&gt;"",'1 day'!A12,"")</f>
        <v>8</v>
      </c>
      <c r="B11" s="5" t="str">
        <f>IF(A11&lt;&gt;"",INDEX(Map!$W$2:$W$67, MATCH('Raw data'!A11, Map!$V$2:$V$67,0)),"")</f>
        <v>T1</v>
      </c>
      <c r="C11" s="5" t="str">
        <f>IF(A11&lt;&gt;"",INDEX(Map!$X$2:$X$67, MATCH('Raw data'!A11, Map!$V$2:$V$67,0)),"")</f>
        <v>R1</v>
      </c>
      <c r="D11" s="7">
        <f>IF(A11&lt;&gt;"",'1 day'!B12,"")</f>
        <v>40</v>
      </c>
      <c r="E11" s="11">
        <f>IF(A11&lt;&gt;"",'1 day'!C12,"")</f>
        <v>1.8340000000000001</v>
      </c>
      <c r="F11" s="12">
        <f>IF(A11&lt;&gt;"",'1 day'!C12/'1 day'!B12,"")</f>
        <v>4.5850000000000002E-2</v>
      </c>
      <c r="G11" s="18">
        <f>IF(A11&lt;&gt;"",'1 day'!E12*'1 day'!D12+'1 day'!F12,"")</f>
        <v>26.015000000000001</v>
      </c>
      <c r="H11" s="3">
        <f>IF(A11&lt;&gt;"",'1 day'!H12*'1 day'!G12+'1 day'!I12,"")</f>
        <v>96</v>
      </c>
      <c r="I11" s="19">
        <f>IF(A11&lt;&gt;"",'1 day'!K12*'1 day'!J12+'1 day'!L12,"")</f>
        <v>63</v>
      </c>
      <c r="K11" s="164" t="s">
        <v>87</v>
      </c>
      <c r="L11" s="162">
        <f>'14 days'!A12</f>
        <v>8</v>
      </c>
      <c r="M11" s="163">
        <f t="shared" si="9"/>
        <v>39</v>
      </c>
      <c r="N11" s="163" t="str">
        <f>INDEX(Map!$W$2:$W$67, MATCH('Raw data'!L11, Map!$V$2:$V$67,0))</f>
        <v>T1</v>
      </c>
      <c r="O11" s="165" t="str">
        <f>INDEX(Map!$X$2:$X$67, MATCH('Raw data'!L11, Map!$V$2:$V$67,0))</f>
        <v>R1</v>
      </c>
      <c r="P11" s="158">
        <f>'14 days'!C12-'14 days'!$C$3</f>
        <v>13.639999999999999</v>
      </c>
      <c r="Q11" s="154">
        <f t="shared" si="0"/>
        <v>0.34974358974358971</v>
      </c>
      <c r="R11" s="155">
        <f t="shared" si="1"/>
        <v>11.851849999999999</v>
      </c>
      <c r="S11" s="328">
        <f t="shared" si="2"/>
        <v>0.30389358974358971</v>
      </c>
      <c r="T11" s="336">
        <f>IF((IF(('14 days'!D12-'14 days'!$D$3)&lt;0, 0, ('14 days'!D12-'14 days'!$D$3)))+(IF(('14 days'!E12-'14 days'!$E$3)&lt;0, 0, ('14 days'!E12-'14 days'!$E$3)))+('14 days'!G12*'14 days'!F12)+('14 days'!H12)&lt;0, 0, (IF(('14 days'!D12-'14 days'!$D$3)&lt;0, 0, ('14 days'!D12-'14 days'!$D$3)))+(IF(('14 days'!E12-'14 days'!$E$3)&lt;0, 0, ('14 days'!E12-'14 days'!$E$3)))+('14 days'!G12*'14 days'!F12)+('14 days'!H12))</f>
        <v>10.365</v>
      </c>
      <c r="U11" s="158">
        <f t="shared" si="10"/>
        <v>15.65</v>
      </c>
      <c r="V11" s="154">
        <f t="shared" si="3"/>
        <v>0.4012820512820513</v>
      </c>
      <c r="W11" s="155">
        <f t="shared" si="4"/>
        <v>1.1333188500253459</v>
      </c>
      <c r="X11" s="196">
        <f t="shared" si="5"/>
        <v>40</v>
      </c>
      <c r="Y11" s="213">
        <f t="shared" si="19"/>
        <v>39</v>
      </c>
      <c r="Z11" s="163">
        <f>'14 days'!I12</f>
        <v>1</v>
      </c>
      <c r="AA11" s="154">
        <f>'14 days'!J12</f>
        <v>0.16900000000000001</v>
      </c>
      <c r="AB11" s="163">
        <f>'14 days'!K12</f>
        <v>0</v>
      </c>
      <c r="AC11" s="154">
        <f>'14 days'!L12</f>
        <v>0</v>
      </c>
      <c r="AD11" s="213">
        <f>'14 days'!M12</f>
        <v>0</v>
      </c>
      <c r="AE11" s="154">
        <f>'14 days'!N12</f>
        <v>0</v>
      </c>
      <c r="AF11" s="163">
        <f t="shared" si="11"/>
        <v>1</v>
      </c>
      <c r="AG11" s="160">
        <f t="shared" si="12"/>
        <v>0.16900000000000001</v>
      </c>
      <c r="AI11" s="319" t="s">
        <v>116</v>
      </c>
      <c r="AJ11" s="162">
        <f t="shared" si="13"/>
        <v>8</v>
      </c>
      <c r="AK11" s="163" t="str">
        <f>INDEX(Map!$W$2:$W$67, MATCH('Raw data'!AJ11, Map!$V$2:$V$67,0))</f>
        <v>T1</v>
      </c>
      <c r="AL11" s="165" t="str">
        <f>INDEX(Map!$X$2:$X$67, MATCH('Raw data'!AJ11, Map!$V$2:$V$67,0))</f>
        <v>R1</v>
      </c>
      <c r="AM11" s="319">
        <f t="shared" si="6"/>
        <v>13.639999999999999</v>
      </c>
      <c r="AN11" s="150">
        <f t="shared" si="14"/>
        <v>0.34974358974358971</v>
      </c>
      <c r="AO11" s="151">
        <f t="shared" si="15"/>
        <v>11.851849999999999</v>
      </c>
      <c r="AP11" s="150">
        <f t="shared" si="16"/>
        <v>0.30389358974358971</v>
      </c>
      <c r="AQ11" s="151">
        <f t="shared" si="17"/>
        <v>15.65</v>
      </c>
      <c r="AR11" s="149">
        <f t="shared" si="18"/>
        <v>0.4012820512820513</v>
      </c>
      <c r="AS11" s="150">
        <f t="shared" si="8"/>
        <v>1.1333188500253459</v>
      </c>
    </row>
    <row r="12" spans="1:45" x14ac:dyDescent="0.25">
      <c r="A12" s="5">
        <f>IF('1 day'!A13&lt;&gt;"",'1 day'!A13,"")</f>
        <v>9</v>
      </c>
      <c r="B12" s="5" t="str">
        <f>IF(A12&lt;&gt;"",INDEX(Map!$W$2:$W$67, MATCH('Raw data'!A12, Map!$V$2:$V$67,0)),"")</f>
        <v>T4</v>
      </c>
      <c r="C12" s="5" t="str">
        <f>IF(A12&lt;&gt;"",INDEX(Map!$X$2:$X$67, MATCH('Raw data'!A12, Map!$V$2:$V$67,0)),"")</f>
        <v>R2</v>
      </c>
      <c r="D12" s="7">
        <f>IF(A12&lt;&gt;"",'1 day'!B13,"")</f>
        <v>40</v>
      </c>
      <c r="E12" s="11">
        <f>IF(A12&lt;&gt;"",'1 day'!C13,"")</f>
        <v>1.839</v>
      </c>
      <c r="F12" s="12">
        <f>IF(A12&lt;&gt;"",'1 day'!C13/'1 day'!B13,"")</f>
        <v>4.5975000000000002E-2</v>
      </c>
      <c r="G12" s="18">
        <f>IF(A12&lt;&gt;"",'1 day'!E13*'1 day'!D13+'1 day'!F13,"")</f>
        <v>25.965</v>
      </c>
      <c r="H12" s="3">
        <f>IF(A12&lt;&gt;"",'1 day'!H13*'1 day'!G13+'1 day'!I13,"")</f>
        <v>96</v>
      </c>
      <c r="I12" s="19">
        <f>IF(A12&lt;&gt;"",'1 day'!K13*'1 day'!J13+'1 day'!L13,"")</f>
        <v>63</v>
      </c>
      <c r="K12" s="164" t="s">
        <v>87</v>
      </c>
      <c r="L12" s="162">
        <f>'14 days'!A13</f>
        <v>9</v>
      </c>
      <c r="M12" s="163">
        <f t="shared" si="9"/>
        <v>40</v>
      </c>
      <c r="N12" s="163" t="str">
        <f>INDEX(Map!$W$2:$W$67, MATCH('Raw data'!L12, Map!$V$2:$V$67,0))</f>
        <v>T4</v>
      </c>
      <c r="O12" s="165" t="str">
        <f>INDEX(Map!$X$2:$X$67, MATCH('Raw data'!L12, Map!$V$2:$V$67,0))</f>
        <v>R2</v>
      </c>
      <c r="P12" s="158">
        <f>'14 days'!C13-'14 days'!$C$3</f>
        <v>12.99</v>
      </c>
      <c r="Q12" s="154">
        <f t="shared" si="0"/>
        <v>0.32474999999999998</v>
      </c>
      <c r="R12" s="155">
        <f t="shared" si="1"/>
        <v>11.151</v>
      </c>
      <c r="S12" s="328">
        <f t="shared" si="2"/>
        <v>0.278775</v>
      </c>
      <c r="T12" s="336">
        <f>IF((IF(('14 days'!D13-'14 days'!$D$3)&lt;0, 0, ('14 days'!D13-'14 days'!$D$3)))+(IF(('14 days'!E13-'14 days'!$E$3)&lt;0, 0, ('14 days'!E13-'14 days'!$E$3)))+('14 days'!G13*'14 days'!F13)+('14 days'!H13)&lt;0, 0, (IF(('14 days'!D13-'14 days'!$D$3)&lt;0, 0, ('14 days'!D13-'14 days'!$D$3)))+(IF(('14 days'!E13-'14 days'!$E$3)&lt;0, 0, ('14 days'!E13-'14 days'!$E$3)))+('14 days'!G13*'14 days'!F13)+('14 days'!H13))</f>
        <v>11.115</v>
      </c>
      <c r="U12" s="158">
        <f t="shared" si="10"/>
        <v>14.85</v>
      </c>
      <c r="V12" s="154">
        <f t="shared" si="3"/>
        <v>0.37124999999999997</v>
      </c>
      <c r="W12" s="155">
        <f t="shared" si="4"/>
        <v>1.1431870669745958</v>
      </c>
      <c r="X12" s="196">
        <f t="shared" si="5"/>
        <v>40</v>
      </c>
      <c r="Y12" s="213">
        <f t="shared" si="19"/>
        <v>40</v>
      </c>
      <c r="Z12" s="163">
        <f>'14 days'!I13</f>
        <v>0</v>
      </c>
      <c r="AA12" s="154">
        <f>'14 days'!J13</f>
        <v>0</v>
      </c>
      <c r="AB12" s="163">
        <f>'14 days'!K13</f>
        <v>0</v>
      </c>
      <c r="AC12" s="154">
        <f>'14 days'!L13</f>
        <v>0</v>
      </c>
      <c r="AD12" s="213">
        <f>'14 days'!M13</f>
        <v>0</v>
      </c>
      <c r="AE12" s="154">
        <f>'14 days'!N13</f>
        <v>0</v>
      </c>
      <c r="AF12" s="163">
        <f t="shared" si="11"/>
        <v>0</v>
      </c>
      <c r="AG12" s="160">
        <f t="shared" si="12"/>
        <v>0</v>
      </c>
      <c r="AI12" s="319" t="s">
        <v>116</v>
      </c>
      <c r="AJ12" s="162">
        <f t="shared" si="13"/>
        <v>9</v>
      </c>
      <c r="AK12" s="163" t="str">
        <f>INDEX(Map!$W$2:$W$67, MATCH('Raw data'!AJ12, Map!$V$2:$V$67,0))</f>
        <v>T4</v>
      </c>
      <c r="AL12" s="165" t="str">
        <f>INDEX(Map!$X$2:$X$67, MATCH('Raw data'!AJ12, Map!$V$2:$V$67,0))</f>
        <v>R2</v>
      </c>
      <c r="AM12" s="319">
        <f t="shared" si="6"/>
        <v>12.99</v>
      </c>
      <c r="AN12" s="150">
        <f t="shared" si="14"/>
        <v>0.32474999999999998</v>
      </c>
      <c r="AO12" s="151">
        <f t="shared" si="15"/>
        <v>11.151</v>
      </c>
      <c r="AP12" s="150">
        <f t="shared" si="16"/>
        <v>0.278775</v>
      </c>
      <c r="AQ12" s="151">
        <f t="shared" si="17"/>
        <v>14.85</v>
      </c>
      <c r="AR12" s="149">
        <f t="shared" si="18"/>
        <v>0.37124999999999997</v>
      </c>
      <c r="AS12" s="150">
        <f t="shared" si="8"/>
        <v>1.1431870669745958</v>
      </c>
    </row>
    <row r="13" spans="1:45" x14ac:dyDescent="0.25">
      <c r="A13" s="5">
        <f>IF('1 day'!A14&lt;&gt;"",'1 day'!A14,"")</f>
        <v>10</v>
      </c>
      <c r="B13" s="5" t="str">
        <f>IF(A13&lt;&gt;"",INDEX(Map!$W$2:$W$67, MATCH('Raw data'!A13, Map!$V$2:$V$67,0)),"")</f>
        <v>T6</v>
      </c>
      <c r="C13" s="5" t="str">
        <f>IF(A13&lt;&gt;"",INDEX(Map!$X$2:$X$67, MATCH('Raw data'!A13, Map!$V$2:$V$67,0)),"")</f>
        <v>R2</v>
      </c>
      <c r="D13" s="7">
        <f>IF(A13&lt;&gt;"",'1 day'!B14,"")</f>
        <v>40</v>
      </c>
      <c r="E13" s="11">
        <f>IF(A13&lt;&gt;"",'1 day'!C14,"")</f>
        <v>1.8340000000000001</v>
      </c>
      <c r="F13" s="12">
        <f>IF(A13&lt;&gt;"",'1 day'!C14/'1 day'!B14,"")</f>
        <v>4.5850000000000002E-2</v>
      </c>
      <c r="G13" s="18">
        <f>IF(A13&lt;&gt;"",'1 day'!E14*'1 day'!D14+'1 day'!F14,"")</f>
        <v>26.115000000000002</v>
      </c>
      <c r="H13" s="3">
        <f>IF(A13&lt;&gt;"",'1 day'!H14*'1 day'!G14+'1 day'!I14,"")</f>
        <v>96</v>
      </c>
      <c r="I13" s="19">
        <f>IF(A13&lt;&gt;"",'1 day'!K14*'1 day'!J14+'1 day'!L14,"")</f>
        <v>63</v>
      </c>
      <c r="K13" s="164" t="s">
        <v>87</v>
      </c>
      <c r="L13" s="162">
        <f>'14 days'!A14</f>
        <v>10</v>
      </c>
      <c r="M13" s="163">
        <f t="shared" si="9"/>
        <v>38</v>
      </c>
      <c r="N13" s="163" t="str">
        <f>INDEX(Map!$W$2:$W$67, MATCH('Raw data'!L13, Map!$V$2:$V$67,0))</f>
        <v>T6</v>
      </c>
      <c r="O13" s="165" t="str">
        <f>INDEX(Map!$X$2:$X$67, MATCH('Raw data'!L13, Map!$V$2:$V$67,0))</f>
        <v>R2</v>
      </c>
      <c r="P13" s="158">
        <f>'14 days'!C14-'14 days'!$C$3</f>
        <v>14.69</v>
      </c>
      <c r="Q13" s="154">
        <f t="shared" si="0"/>
        <v>0.38657894736842102</v>
      </c>
      <c r="R13" s="155">
        <f t="shared" si="1"/>
        <v>12.947699999999999</v>
      </c>
      <c r="S13" s="328">
        <f t="shared" si="2"/>
        <v>0.34072894736842102</v>
      </c>
      <c r="T13" s="336">
        <f>IF((IF(('14 days'!D14-'14 days'!$D$3)&lt;0, 0, ('14 days'!D14-'14 days'!$D$3)))+(IF(('14 days'!E14-'14 days'!$E$3)&lt;0, 0, ('14 days'!E14-'14 days'!$E$3)))+('14 days'!G14*'14 days'!F14)+('14 days'!H14)&lt;0, 0, (IF(('14 days'!D14-'14 days'!$D$3)&lt;0, 0, ('14 days'!D14-'14 days'!$D$3)))+(IF(('14 days'!E14-'14 days'!$E$3)&lt;0, 0, ('14 days'!E14-'14 days'!$E$3)))+('14 days'!G14*'14 days'!F14)+('14 days'!H14))</f>
        <v>9.4149999999999991</v>
      </c>
      <c r="U13" s="158">
        <f t="shared" si="10"/>
        <v>16.700000000000003</v>
      </c>
      <c r="V13" s="154">
        <f t="shared" si="3"/>
        <v>0.43947368421052641</v>
      </c>
      <c r="W13" s="155">
        <f t="shared" si="4"/>
        <v>1.1213321694755929</v>
      </c>
      <c r="X13" s="196">
        <f t="shared" si="5"/>
        <v>40</v>
      </c>
      <c r="Y13" s="213">
        <f t="shared" si="19"/>
        <v>38</v>
      </c>
      <c r="Z13" s="163">
        <f>'14 days'!I14</f>
        <v>2</v>
      </c>
      <c r="AA13" s="154">
        <f>'14 days'!J14</f>
        <v>0.20300000000000001</v>
      </c>
      <c r="AB13" s="163">
        <f>'14 days'!K14</f>
        <v>0</v>
      </c>
      <c r="AC13" s="154">
        <f>'14 days'!L14</f>
        <v>0</v>
      </c>
      <c r="AD13" s="213">
        <f>'14 days'!M14</f>
        <v>0</v>
      </c>
      <c r="AE13" s="154">
        <f>'14 days'!N14</f>
        <v>0</v>
      </c>
      <c r="AF13" s="163">
        <f t="shared" si="11"/>
        <v>2</v>
      </c>
      <c r="AG13" s="160">
        <f t="shared" si="12"/>
        <v>0.20300000000000001</v>
      </c>
      <c r="AI13" s="319" t="s">
        <v>116</v>
      </c>
      <c r="AJ13" s="162">
        <f t="shared" si="13"/>
        <v>10</v>
      </c>
      <c r="AK13" s="163" t="str">
        <f>INDEX(Map!$W$2:$W$67, MATCH('Raw data'!AJ13, Map!$V$2:$V$67,0))</f>
        <v>T6</v>
      </c>
      <c r="AL13" s="165" t="str">
        <f>INDEX(Map!$X$2:$X$67, MATCH('Raw data'!AJ13, Map!$V$2:$V$67,0))</f>
        <v>R2</v>
      </c>
      <c r="AM13" s="319">
        <f t="shared" si="6"/>
        <v>14.69</v>
      </c>
      <c r="AN13" s="150">
        <f t="shared" si="14"/>
        <v>0.38657894736842102</v>
      </c>
      <c r="AO13" s="151">
        <f t="shared" si="15"/>
        <v>12.947699999999999</v>
      </c>
      <c r="AP13" s="150">
        <f t="shared" si="16"/>
        <v>0.34072894736842102</v>
      </c>
      <c r="AQ13" s="151">
        <f t="shared" si="17"/>
        <v>16.700000000000003</v>
      </c>
      <c r="AR13" s="149">
        <f t="shared" si="18"/>
        <v>0.43947368421052641</v>
      </c>
      <c r="AS13" s="150">
        <f t="shared" si="8"/>
        <v>1.1213321694755929</v>
      </c>
    </row>
    <row r="14" spans="1:45" x14ac:dyDescent="0.25">
      <c r="A14" s="5">
        <f>IF('1 day'!A15&lt;&gt;"",'1 day'!A15,"")</f>
        <v>11</v>
      </c>
      <c r="B14" s="5" t="str">
        <f>IF(A14&lt;&gt;"",INDEX(Map!$W$2:$W$67, MATCH('Raw data'!A14, Map!$V$2:$V$67,0)),"")</f>
        <v>T2</v>
      </c>
      <c r="C14" s="5" t="str">
        <f>IF(A14&lt;&gt;"",INDEX(Map!$X$2:$X$67, MATCH('Raw data'!A14, Map!$V$2:$V$67,0)),"")</f>
        <v>R2</v>
      </c>
      <c r="D14" s="7">
        <f>IF(A14&lt;&gt;"",'1 day'!B15,"")</f>
        <v>40</v>
      </c>
      <c r="E14" s="11">
        <f>IF(A14&lt;&gt;"",'1 day'!C15,"")</f>
        <v>1.83</v>
      </c>
      <c r="F14" s="12">
        <f>IF(A14&lt;&gt;"",'1 day'!C15/'1 day'!B15,"")</f>
        <v>4.5749999999999999E-2</v>
      </c>
      <c r="G14" s="18">
        <f>IF(A14&lt;&gt;"",'1 day'!E15*'1 day'!D15+'1 day'!F15,"")</f>
        <v>26.315000000000001</v>
      </c>
      <c r="H14" s="3">
        <f>IF(A14&lt;&gt;"",'1 day'!H15*'1 day'!G15+'1 day'!I15,"")</f>
        <v>96</v>
      </c>
      <c r="I14" s="19">
        <f>IF(A14&lt;&gt;"",'1 day'!K15*'1 day'!J15+'1 day'!L15,"")</f>
        <v>63</v>
      </c>
      <c r="K14" s="164" t="s">
        <v>87</v>
      </c>
      <c r="L14" s="162">
        <f>'14 days'!A15</f>
        <v>11</v>
      </c>
      <c r="M14" s="163">
        <f t="shared" si="9"/>
        <v>39</v>
      </c>
      <c r="N14" s="163" t="str">
        <f>INDEX(Map!$W$2:$W$67, MATCH('Raw data'!L14, Map!$V$2:$V$67,0))</f>
        <v>T2</v>
      </c>
      <c r="O14" s="165" t="str">
        <f>INDEX(Map!$X$2:$X$67, MATCH('Raw data'!L14, Map!$V$2:$V$67,0))</f>
        <v>R2</v>
      </c>
      <c r="P14" s="158">
        <f>'14 days'!C15-'14 days'!$C$3</f>
        <v>12.54</v>
      </c>
      <c r="Q14" s="154">
        <f t="shared" si="0"/>
        <v>0.3215384615384615</v>
      </c>
      <c r="R14" s="155">
        <f t="shared" si="1"/>
        <v>10.755749999999997</v>
      </c>
      <c r="S14" s="328">
        <f t="shared" si="2"/>
        <v>0.27578846153846148</v>
      </c>
      <c r="T14" s="336">
        <f>IF((IF(('14 days'!D15-'14 days'!$D$3)&lt;0, 0, ('14 days'!D15-'14 days'!$D$3)))+(IF(('14 days'!E15-'14 days'!$E$3)&lt;0, 0, ('14 days'!E15-'14 days'!$E$3)))+('14 days'!G15*'14 days'!F15)+('14 days'!H15)&lt;0, 0, (IF(('14 days'!D15-'14 days'!$D$3)&lt;0, 0, ('14 days'!D15-'14 days'!$D$3)))+(IF(('14 days'!E15-'14 days'!$E$3)&lt;0, 0, ('14 days'!E15-'14 days'!$E$3)))+('14 days'!G15*'14 days'!F15)+('14 days'!H15))</f>
        <v>11.965</v>
      </c>
      <c r="U14" s="158">
        <f t="shared" si="10"/>
        <v>14.350000000000001</v>
      </c>
      <c r="V14" s="154">
        <f t="shared" si="3"/>
        <v>0.36794871794871797</v>
      </c>
      <c r="W14" s="155">
        <f t="shared" si="4"/>
        <v>1.137354363160815</v>
      </c>
      <c r="X14" s="196">
        <f t="shared" si="5"/>
        <v>40</v>
      </c>
      <c r="Y14" s="213">
        <f t="shared" si="19"/>
        <v>39</v>
      </c>
      <c r="Z14" s="163">
        <f>'14 days'!I15</f>
        <v>1</v>
      </c>
      <c r="AA14" s="154">
        <f>'14 days'!J15</f>
        <v>7.6999999999999999E-2</v>
      </c>
      <c r="AB14" s="163">
        <f>'14 days'!K15</f>
        <v>0</v>
      </c>
      <c r="AC14" s="154">
        <f>'14 days'!L15</f>
        <v>0</v>
      </c>
      <c r="AD14" s="213">
        <f>'14 days'!M15</f>
        <v>0</v>
      </c>
      <c r="AE14" s="154">
        <f>'14 days'!N15</f>
        <v>0</v>
      </c>
      <c r="AF14" s="163">
        <f t="shared" si="11"/>
        <v>1</v>
      </c>
      <c r="AG14" s="160">
        <f t="shared" si="12"/>
        <v>7.6999999999999999E-2</v>
      </c>
      <c r="AI14" s="319" t="s">
        <v>116</v>
      </c>
      <c r="AJ14" s="162">
        <f t="shared" si="13"/>
        <v>11</v>
      </c>
      <c r="AK14" s="163" t="str">
        <f>INDEX(Map!$W$2:$W$67, MATCH('Raw data'!AJ14, Map!$V$2:$V$67,0))</f>
        <v>T2</v>
      </c>
      <c r="AL14" s="165" t="str">
        <f>INDEX(Map!$X$2:$X$67, MATCH('Raw data'!AJ14, Map!$V$2:$V$67,0))</f>
        <v>R2</v>
      </c>
      <c r="AM14" s="319">
        <f t="shared" si="6"/>
        <v>12.54</v>
      </c>
      <c r="AN14" s="150">
        <f t="shared" si="14"/>
        <v>0.3215384615384615</v>
      </c>
      <c r="AO14" s="151">
        <f t="shared" si="15"/>
        <v>10.755749999999997</v>
      </c>
      <c r="AP14" s="150">
        <f t="shared" si="16"/>
        <v>0.27578846153846148</v>
      </c>
      <c r="AQ14" s="151">
        <f t="shared" si="17"/>
        <v>14.350000000000001</v>
      </c>
      <c r="AR14" s="149">
        <f t="shared" si="18"/>
        <v>0.36794871794871797</v>
      </c>
      <c r="AS14" s="150">
        <f t="shared" si="8"/>
        <v>1.137354363160815</v>
      </c>
    </row>
    <row r="15" spans="1:45" x14ac:dyDescent="0.25">
      <c r="A15" s="5">
        <f>IF('1 day'!A16&lt;&gt;"",'1 day'!A16,"")</f>
        <v>12</v>
      </c>
      <c r="B15" s="5" t="str">
        <f>IF(A15&lt;&gt;"",INDEX(Map!$W$2:$W$67, MATCH('Raw data'!A15, Map!$V$2:$V$67,0)),"")</f>
        <v>T1</v>
      </c>
      <c r="C15" s="5" t="str">
        <f>IF(A15&lt;&gt;"",INDEX(Map!$X$2:$X$67, MATCH('Raw data'!A15, Map!$V$2:$V$67,0)),"")</f>
        <v>R2</v>
      </c>
      <c r="D15" s="7">
        <f>IF(A15&lt;&gt;"",'1 day'!B16,"")</f>
        <v>40</v>
      </c>
      <c r="E15" s="11">
        <f>IF(A15&lt;&gt;"",'1 day'!C16,"")</f>
        <v>1.841</v>
      </c>
      <c r="F15" s="12">
        <f>IF(A15&lt;&gt;"",'1 day'!C16/'1 day'!B16,"")</f>
        <v>4.6024999999999996E-2</v>
      </c>
      <c r="G15" s="18">
        <f>IF(A15&lt;&gt;"",'1 day'!E16*'1 day'!D16+'1 day'!F16,"")</f>
        <v>26.515000000000001</v>
      </c>
      <c r="H15" s="3">
        <f>IF(A15&lt;&gt;"",'1 day'!H16*'1 day'!G16+'1 day'!I16,"")</f>
        <v>96</v>
      </c>
      <c r="I15" s="19">
        <f>IF(A15&lt;&gt;"",'1 day'!K16*'1 day'!J16+'1 day'!L16,"")</f>
        <v>63</v>
      </c>
      <c r="K15" s="164" t="s">
        <v>87</v>
      </c>
      <c r="L15" s="162">
        <f>'14 days'!A16</f>
        <v>12</v>
      </c>
      <c r="M15" s="163">
        <f t="shared" si="9"/>
        <v>39</v>
      </c>
      <c r="N15" s="163" t="str">
        <f>INDEX(Map!$W$2:$W$67, MATCH('Raw data'!L15, Map!$V$2:$V$67,0))</f>
        <v>T1</v>
      </c>
      <c r="O15" s="165" t="str">
        <f>INDEX(Map!$X$2:$X$67, MATCH('Raw data'!L15, Map!$V$2:$V$67,0))</f>
        <v>R2</v>
      </c>
      <c r="P15" s="158">
        <f>'14 days'!C16-'14 days'!$C$3</f>
        <v>13.889999999999999</v>
      </c>
      <c r="Q15" s="154">
        <f t="shared" si="0"/>
        <v>0.3561538461538461</v>
      </c>
      <c r="R15" s="155">
        <f t="shared" si="1"/>
        <v>12.095024999999998</v>
      </c>
      <c r="S15" s="328">
        <f t="shared" si="2"/>
        <v>0.31012884615384612</v>
      </c>
      <c r="T15" s="336">
        <f>IF((IF(('14 days'!D16-'14 days'!$D$3)&lt;0, 0, ('14 days'!D16-'14 days'!$D$3)))+(IF(('14 days'!E16-'14 days'!$E$3)&lt;0, 0, ('14 days'!E16-'14 days'!$E$3)))+('14 days'!G16*'14 days'!F16)+('14 days'!H16)&lt;0, 0, (IF(('14 days'!D16-'14 days'!$D$3)&lt;0, 0, ('14 days'!D16-'14 days'!$D$3)))+(IF(('14 days'!E16-'14 days'!$E$3)&lt;0, 0, ('14 days'!E16-'14 days'!$E$3)))+('14 days'!G16*'14 days'!F16)+('14 days'!H16))</f>
        <v>10.164999999999999</v>
      </c>
      <c r="U15" s="158">
        <f t="shared" si="10"/>
        <v>16.350000000000001</v>
      </c>
      <c r="V15" s="154">
        <f t="shared" si="3"/>
        <v>0.41923076923076924</v>
      </c>
      <c r="W15" s="155">
        <f t="shared" si="4"/>
        <v>1.1734730495944883</v>
      </c>
      <c r="X15" s="196">
        <f t="shared" si="5"/>
        <v>40</v>
      </c>
      <c r="Y15" s="213">
        <f t="shared" si="19"/>
        <v>39</v>
      </c>
      <c r="Z15" s="163">
        <f>'14 days'!I16</f>
        <v>1</v>
      </c>
      <c r="AA15" s="154">
        <f>'14 days'!J16</f>
        <v>4.2999999999999997E-2</v>
      </c>
      <c r="AB15" s="163">
        <f>'14 days'!K16</f>
        <v>0</v>
      </c>
      <c r="AC15" s="154">
        <f>'14 days'!L16</f>
        <v>0</v>
      </c>
      <c r="AD15" s="213">
        <f>'14 days'!M16</f>
        <v>0</v>
      </c>
      <c r="AE15" s="154">
        <f>'14 days'!N16</f>
        <v>0</v>
      </c>
      <c r="AF15" s="163">
        <f t="shared" si="11"/>
        <v>1</v>
      </c>
      <c r="AG15" s="160">
        <f t="shared" si="12"/>
        <v>4.2999999999999997E-2</v>
      </c>
      <c r="AI15" s="319" t="s">
        <v>116</v>
      </c>
      <c r="AJ15" s="162">
        <f t="shared" si="13"/>
        <v>12</v>
      </c>
      <c r="AK15" s="163" t="str">
        <f>INDEX(Map!$W$2:$W$67, MATCH('Raw data'!AJ15, Map!$V$2:$V$67,0))</f>
        <v>T1</v>
      </c>
      <c r="AL15" s="165" t="str">
        <f>INDEX(Map!$X$2:$X$67, MATCH('Raw data'!AJ15, Map!$V$2:$V$67,0))</f>
        <v>R2</v>
      </c>
      <c r="AM15" s="319">
        <f t="shared" si="6"/>
        <v>13.889999999999999</v>
      </c>
      <c r="AN15" s="150">
        <f t="shared" si="14"/>
        <v>0.3561538461538461</v>
      </c>
      <c r="AO15" s="151">
        <f t="shared" si="15"/>
        <v>12.095024999999998</v>
      </c>
      <c r="AP15" s="150">
        <f t="shared" si="16"/>
        <v>0.31012884615384612</v>
      </c>
      <c r="AQ15" s="151">
        <f t="shared" si="17"/>
        <v>16.350000000000001</v>
      </c>
      <c r="AR15" s="149">
        <f t="shared" si="18"/>
        <v>0.41923076923076924</v>
      </c>
      <c r="AS15" s="150">
        <f t="shared" si="8"/>
        <v>1.1734730495944883</v>
      </c>
    </row>
    <row r="16" spans="1:45" x14ac:dyDescent="0.25">
      <c r="A16" s="5">
        <f>IF('1 day'!A17&lt;&gt;"",'1 day'!A17,"")</f>
        <v>13</v>
      </c>
      <c r="B16" s="5" t="str">
        <f>IF(A16&lt;&gt;"",INDEX(Map!$W$2:$W$67, MATCH('Raw data'!A16, Map!$V$2:$V$67,0)),"")</f>
        <v>T3</v>
      </c>
      <c r="C16" s="5" t="str">
        <f>IF(A16&lt;&gt;"",INDEX(Map!$X$2:$X$67, MATCH('Raw data'!A16, Map!$V$2:$V$67,0)),"")</f>
        <v>R2</v>
      </c>
      <c r="D16" s="7">
        <f>IF(A16&lt;&gt;"",'1 day'!B17,"")</f>
        <v>40</v>
      </c>
      <c r="E16" s="11">
        <f>IF(A16&lt;&gt;"",'1 day'!C17,"")</f>
        <v>1.829</v>
      </c>
      <c r="F16" s="12">
        <f>IF(A16&lt;&gt;"",'1 day'!C17/'1 day'!B17,"")</f>
        <v>4.5725000000000002E-2</v>
      </c>
      <c r="G16" s="18">
        <f>IF(A16&lt;&gt;"",'1 day'!E17*'1 day'!D17+'1 day'!F17,"")</f>
        <v>26.865000000000002</v>
      </c>
      <c r="H16" s="3">
        <f>IF(A16&lt;&gt;"",'1 day'!H17*'1 day'!G17+'1 day'!I17,"")</f>
        <v>96</v>
      </c>
      <c r="I16" s="19">
        <f>IF(A16&lt;&gt;"",'1 day'!K17*'1 day'!J17+'1 day'!L17,"")</f>
        <v>63</v>
      </c>
      <c r="K16" s="164" t="s">
        <v>87</v>
      </c>
      <c r="L16" s="162">
        <f>'14 days'!A17</f>
        <v>13</v>
      </c>
      <c r="M16" s="163">
        <f>Y16</f>
        <v>39</v>
      </c>
      <c r="N16" s="163" t="str">
        <f>INDEX(Map!$W$2:$W$67, MATCH('Raw data'!L16, Map!$V$2:$V$67,0))</f>
        <v>T3</v>
      </c>
      <c r="O16" s="165" t="str">
        <f>INDEX(Map!$X$2:$X$67, MATCH('Raw data'!L16, Map!$V$2:$V$67,0))</f>
        <v>R2</v>
      </c>
      <c r="P16" s="158">
        <f>'14 days'!C17-'14 days'!$C$3</f>
        <v>13.74</v>
      </c>
      <c r="Q16" s="154">
        <f t="shared" si="0"/>
        <v>0.35230769230769232</v>
      </c>
      <c r="R16" s="155">
        <f t="shared" si="1"/>
        <v>11.956725</v>
      </c>
      <c r="S16" s="328">
        <f t="shared" si="2"/>
        <v>0.30658269230769231</v>
      </c>
      <c r="T16" s="336">
        <f>IF((IF(('14 days'!D17-'14 days'!$D$3)&lt;0, 0, ('14 days'!D17-'14 days'!$D$3)))+(IF(('14 days'!E17-'14 days'!$E$3)&lt;0, 0, ('14 days'!E17-'14 days'!$E$3)))+('14 days'!G17*'14 days'!F17)+('14 days'!H17)&lt;0, 0, (IF(('14 days'!D17-'14 days'!$D$3)&lt;0, 0, ('14 days'!D17-'14 days'!$D$3)))+(IF(('14 days'!E17-'14 days'!$E$3)&lt;0, 0, ('14 days'!E17-'14 days'!$E$3)))+('14 days'!G17*'14 days'!F17)+('14 days'!H17))</f>
        <v>10.965</v>
      </c>
      <c r="U16" s="158">
        <f t="shared" si="10"/>
        <v>15.900000000000002</v>
      </c>
      <c r="V16" s="154">
        <f t="shared" si="3"/>
        <v>0.40769230769230774</v>
      </c>
      <c r="W16" s="155">
        <f t="shared" si="4"/>
        <v>1.1406025824964134</v>
      </c>
      <c r="X16" s="196">
        <f t="shared" si="5"/>
        <v>40</v>
      </c>
      <c r="Y16" s="213">
        <f t="shared" si="19"/>
        <v>39</v>
      </c>
      <c r="Z16" s="163">
        <f>'14 days'!I17</f>
        <v>0</v>
      </c>
      <c r="AA16" s="154">
        <f>'14 days'!J17</f>
        <v>0</v>
      </c>
      <c r="AB16" s="163">
        <f>'14 days'!K17</f>
        <v>1</v>
      </c>
      <c r="AC16" s="154">
        <f>'14 days'!L17</f>
        <v>0.2</v>
      </c>
      <c r="AD16" s="213">
        <f>'14 days'!M17</f>
        <v>0</v>
      </c>
      <c r="AE16" s="154">
        <f>'14 days'!N17</f>
        <v>0</v>
      </c>
      <c r="AF16" s="163">
        <f t="shared" si="11"/>
        <v>1</v>
      </c>
      <c r="AG16" s="160">
        <f t="shared" si="12"/>
        <v>0.2</v>
      </c>
      <c r="AI16" s="319" t="s">
        <v>116</v>
      </c>
      <c r="AJ16" s="162">
        <f t="shared" si="13"/>
        <v>13</v>
      </c>
      <c r="AK16" s="163" t="str">
        <f>INDEX(Map!$W$2:$W$67, MATCH('Raw data'!AJ16, Map!$V$2:$V$67,0))</f>
        <v>T3</v>
      </c>
      <c r="AL16" s="165" t="str">
        <f>INDEX(Map!$X$2:$X$67, MATCH('Raw data'!AJ16, Map!$V$2:$V$67,0))</f>
        <v>R2</v>
      </c>
      <c r="AM16" s="319">
        <f t="shared" si="6"/>
        <v>13.74</v>
      </c>
      <c r="AN16" s="150">
        <f t="shared" si="14"/>
        <v>0.35230769230769232</v>
      </c>
      <c r="AO16" s="151">
        <f t="shared" si="15"/>
        <v>11.956725</v>
      </c>
      <c r="AP16" s="150">
        <f t="shared" si="16"/>
        <v>0.30658269230769231</v>
      </c>
      <c r="AQ16" s="151">
        <f t="shared" si="17"/>
        <v>15.900000000000002</v>
      </c>
      <c r="AR16" s="149">
        <f t="shared" si="18"/>
        <v>0.40769230769230774</v>
      </c>
      <c r="AS16" s="150">
        <f t="shared" si="8"/>
        <v>1.1406025824964134</v>
      </c>
    </row>
    <row r="17" spans="1:45" x14ac:dyDescent="0.25">
      <c r="A17" s="5">
        <f>IF('1 day'!A18&lt;&gt;"",'1 day'!A18,"")</f>
        <v>14</v>
      </c>
      <c r="B17" s="5" t="str">
        <f>IF(A17&lt;&gt;"",INDEX(Map!$W$2:$W$67, MATCH('Raw data'!A17, Map!$V$2:$V$67,0)),"")</f>
        <v>T5</v>
      </c>
      <c r="C17" s="5" t="str">
        <f>IF(A17&lt;&gt;"",INDEX(Map!$X$2:$X$67, MATCH('Raw data'!A17, Map!$V$2:$V$67,0)),"")</f>
        <v>R2</v>
      </c>
      <c r="D17" s="7">
        <f>IF(A17&lt;&gt;"",'1 day'!B18,"")</f>
        <v>40</v>
      </c>
      <c r="E17" s="11">
        <f>IF(A17&lt;&gt;"",'1 day'!C18,"")</f>
        <v>1.8260000000000001</v>
      </c>
      <c r="F17" s="12">
        <f>IF(A17&lt;&gt;"",'1 day'!C18/'1 day'!B18,"")</f>
        <v>4.5650000000000003E-2</v>
      </c>
      <c r="G17" s="18">
        <f>IF(A17&lt;&gt;"",'1 day'!E18*'1 day'!D18+'1 day'!F18,"")</f>
        <v>26.215</v>
      </c>
      <c r="H17" s="3">
        <f>IF(A17&lt;&gt;"",'1 day'!H18*'1 day'!G18+'1 day'!I18,"")</f>
        <v>96</v>
      </c>
      <c r="I17" s="19">
        <f>IF(A17&lt;&gt;"",'1 day'!K18*'1 day'!J18+'1 day'!L18,"")</f>
        <v>63</v>
      </c>
      <c r="K17" s="164" t="s">
        <v>87</v>
      </c>
      <c r="L17" s="162">
        <f>'14 days'!A18</f>
        <v>14</v>
      </c>
      <c r="M17" s="163">
        <f t="shared" si="9"/>
        <v>39</v>
      </c>
      <c r="N17" s="163" t="str">
        <f>INDEX(Map!$W$2:$W$67, MATCH('Raw data'!L17, Map!$V$2:$V$67,0))</f>
        <v>T5</v>
      </c>
      <c r="O17" s="165" t="str">
        <f>INDEX(Map!$X$2:$X$67, MATCH('Raw data'!L17, Map!$V$2:$V$67,0))</f>
        <v>R2</v>
      </c>
      <c r="P17" s="158">
        <f>'14 days'!C18-'14 days'!$C$3</f>
        <v>14.089999999999998</v>
      </c>
      <c r="Q17" s="154">
        <f t="shared" si="0"/>
        <v>0.36128205128205121</v>
      </c>
      <c r="R17" s="155">
        <f t="shared" si="1"/>
        <v>12.309649999999996</v>
      </c>
      <c r="S17" s="328">
        <f t="shared" si="2"/>
        <v>0.31563205128205118</v>
      </c>
      <c r="T17" s="336">
        <f>IF((IF(('14 days'!D18-'14 days'!$D$3)&lt;0, 0, ('14 days'!D18-'14 days'!$D$3)))+(IF(('14 days'!E18-'14 days'!$E$3)&lt;0, 0, ('14 days'!E18-'14 days'!$E$3)))+('14 days'!G18*'14 days'!F18)+('14 days'!H18)&lt;0, 0, (IF(('14 days'!D18-'14 days'!$D$3)&lt;0, 0, ('14 days'!D18-'14 days'!$D$3)))+(IF(('14 days'!E18-'14 days'!$E$3)&lt;0, 0, ('14 days'!E18-'14 days'!$E$3)))+('14 days'!G18*'14 days'!F18)+('14 days'!H18))</f>
        <v>10.164999999999999</v>
      </c>
      <c r="U17" s="158">
        <f t="shared" si="10"/>
        <v>16.05</v>
      </c>
      <c r="V17" s="154">
        <f t="shared" si="3"/>
        <v>0.41153846153846158</v>
      </c>
      <c r="W17" s="155">
        <f t="shared" si="4"/>
        <v>1.129963390594199</v>
      </c>
      <c r="X17" s="196">
        <f t="shared" si="5"/>
        <v>40</v>
      </c>
      <c r="Y17" s="213">
        <f t="shared" si="19"/>
        <v>39</v>
      </c>
      <c r="Z17" s="163">
        <f>'14 days'!I18</f>
        <v>1</v>
      </c>
      <c r="AA17" s="154">
        <f>'14 days'!J18</f>
        <v>0.114</v>
      </c>
      <c r="AB17" s="163">
        <f>'14 days'!K18</f>
        <v>0</v>
      </c>
      <c r="AC17" s="154">
        <f>'14 days'!L18</f>
        <v>0</v>
      </c>
      <c r="AD17" s="213">
        <f>'14 days'!M18</f>
        <v>0</v>
      </c>
      <c r="AE17" s="154">
        <f>'14 days'!N18</f>
        <v>0</v>
      </c>
      <c r="AF17" s="163">
        <f t="shared" si="11"/>
        <v>1</v>
      </c>
      <c r="AG17" s="160">
        <f t="shared" si="12"/>
        <v>0.114</v>
      </c>
      <c r="AI17" s="319" t="s">
        <v>116</v>
      </c>
      <c r="AJ17" s="162">
        <f t="shared" si="13"/>
        <v>14</v>
      </c>
      <c r="AK17" s="163" t="str">
        <f>INDEX(Map!$W$2:$W$67, MATCH('Raw data'!AJ17, Map!$V$2:$V$67,0))</f>
        <v>T5</v>
      </c>
      <c r="AL17" s="165" t="str">
        <f>INDEX(Map!$X$2:$X$67, MATCH('Raw data'!AJ17, Map!$V$2:$V$67,0))</f>
        <v>R2</v>
      </c>
      <c r="AM17" s="319">
        <f t="shared" si="6"/>
        <v>14.089999999999998</v>
      </c>
      <c r="AN17" s="150">
        <f t="shared" si="14"/>
        <v>0.36128205128205121</v>
      </c>
      <c r="AO17" s="151">
        <f t="shared" si="15"/>
        <v>12.309649999999996</v>
      </c>
      <c r="AP17" s="150">
        <f t="shared" si="16"/>
        <v>0.31563205128205118</v>
      </c>
      <c r="AQ17" s="151">
        <f t="shared" si="17"/>
        <v>16.05</v>
      </c>
      <c r="AR17" s="149">
        <f t="shared" si="18"/>
        <v>0.41153846153846158</v>
      </c>
      <c r="AS17" s="150">
        <f t="shared" si="8"/>
        <v>1.129963390594199</v>
      </c>
    </row>
    <row r="18" spans="1:45" x14ac:dyDescent="0.25">
      <c r="A18" s="5">
        <f>IF('1 day'!A19&lt;&gt;"",'1 day'!A19,"")</f>
        <v>15</v>
      </c>
      <c r="B18" s="5" t="str">
        <f>IF(A18&lt;&gt;"",INDEX(Map!$W$2:$W$67, MATCH('Raw data'!A18, Map!$V$2:$V$67,0)),"")</f>
        <v>T4</v>
      </c>
      <c r="C18" s="5" t="str">
        <f>IF(A18&lt;&gt;"",INDEX(Map!$X$2:$X$67, MATCH('Raw data'!A18, Map!$V$2:$V$67,0)),"")</f>
        <v>R3</v>
      </c>
      <c r="D18" s="7">
        <f>IF(A18&lt;&gt;"",'1 day'!B19,"")</f>
        <v>40</v>
      </c>
      <c r="E18" s="11">
        <f>IF(A18&lt;&gt;"",'1 day'!C19,"")</f>
        <v>1.833</v>
      </c>
      <c r="F18" s="12">
        <f>IF(A18&lt;&gt;"",'1 day'!C19/'1 day'!B19,"")</f>
        <v>4.5824999999999998E-2</v>
      </c>
      <c r="G18" s="18">
        <f>IF(A18&lt;&gt;"",'1 day'!E19*'1 day'!D19+'1 day'!F19,"")</f>
        <v>26.465</v>
      </c>
      <c r="H18" s="3">
        <f>IF(A18&lt;&gt;"",'1 day'!H19*'1 day'!G19+'1 day'!I19,"")</f>
        <v>96</v>
      </c>
      <c r="I18" s="19">
        <f>IF(A18&lt;&gt;"",'1 day'!K19*'1 day'!J19+'1 day'!L19,"")</f>
        <v>63</v>
      </c>
      <c r="K18" s="164" t="s">
        <v>87</v>
      </c>
      <c r="L18" s="162">
        <f>'14 days'!A19</f>
        <v>15</v>
      </c>
      <c r="M18" s="163">
        <f t="shared" si="9"/>
        <v>39</v>
      </c>
      <c r="N18" s="163" t="str">
        <f>INDEX(Map!$W$2:$W$67, MATCH('Raw data'!L18, Map!$V$2:$V$67,0))</f>
        <v>T4</v>
      </c>
      <c r="O18" s="165" t="str">
        <f>INDEX(Map!$X$2:$X$67, MATCH('Raw data'!L18, Map!$V$2:$V$67,0))</f>
        <v>R3</v>
      </c>
      <c r="P18" s="158">
        <f>'14 days'!C19-'14 days'!$C$3</f>
        <v>14.290000000000001</v>
      </c>
      <c r="Q18" s="154">
        <f t="shared" si="0"/>
        <v>0.36641025641025643</v>
      </c>
      <c r="R18" s="155">
        <f t="shared" si="1"/>
        <v>12.502825000000001</v>
      </c>
      <c r="S18" s="328">
        <f t="shared" si="2"/>
        <v>0.32058525641025643</v>
      </c>
      <c r="T18" s="336">
        <f>IF((IF(('14 days'!D19-'14 days'!$D$3)&lt;0, 0, ('14 days'!D19-'14 days'!$D$3)))+(IF(('14 days'!E19-'14 days'!$E$3)&lt;0, 0, ('14 days'!E19-'14 days'!$E$3)))+('14 days'!G19*'14 days'!F19)+('14 days'!H19)&lt;0, 0, (IF(('14 days'!D19-'14 days'!$D$3)&lt;0, 0, ('14 days'!D19-'14 days'!$D$3)))+(IF(('14 days'!E19-'14 days'!$E$3)&lt;0, 0, ('14 days'!E19-'14 days'!$E$3)))+('14 days'!G19*'14 days'!F19)+('14 days'!H19))</f>
        <v>9.8149999999999995</v>
      </c>
      <c r="U18" s="158">
        <f t="shared" si="10"/>
        <v>16.649999999999999</v>
      </c>
      <c r="V18" s="154">
        <f t="shared" si="3"/>
        <v>0.42692307692307691</v>
      </c>
      <c r="W18" s="155">
        <f t="shared" si="4"/>
        <v>1.1451169188445665</v>
      </c>
      <c r="X18" s="196">
        <f t="shared" si="5"/>
        <v>40</v>
      </c>
      <c r="Y18" s="213">
        <f t="shared" si="19"/>
        <v>39</v>
      </c>
      <c r="Z18" s="163">
        <f>'14 days'!I19</f>
        <v>0</v>
      </c>
      <c r="AA18" s="154">
        <f>'14 days'!J19</f>
        <v>0</v>
      </c>
      <c r="AB18" s="163">
        <f>'14 days'!K19</f>
        <v>1</v>
      </c>
      <c r="AC18" s="154">
        <f>'14 days'!L19</f>
        <v>0.25</v>
      </c>
      <c r="AD18" s="213">
        <f>'14 days'!M19</f>
        <v>0</v>
      </c>
      <c r="AE18" s="154">
        <f>'14 days'!N19</f>
        <v>0</v>
      </c>
      <c r="AF18" s="163">
        <f t="shared" si="11"/>
        <v>1</v>
      </c>
      <c r="AG18" s="160">
        <f t="shared" si="12"/>
        <v>0.25</v>
      </c>
      <c r="AI18" s="319" t="s">
        <v>116</v>
      </c>
      <c r="AJ18" s="162">
        <f t="shared" si="13"/>
        <v>15</v>
      </c>
      <c r="AK18" s="163" t="str">
        <f>INDEX(Map!$W$2:$W$67, MATCH('Raw data'!AJ18, Map!$V$2:$V$67,0))</f>
        <v>T4</v>
      </c>
      <c r="AL18" s="165" t="str">
        <f>INDEX(Map!$X$2:$X$67, MATCH('Raw data'!AJ18, Map!$V$2:$V$67,0))</f>
        <v>R3</v>
      </c>
      <c r="AM18" s="319">
        <f t="shared" si="6"/>
        <v>14.290000000000001</v>
      </c>
      <c r="AN18" s="150">
        <f t="shared" si="14"/>
        <v>0.36641025641025643</v>
      </c>
      <c r="AO18" s="151">
        <f t="shared" si="15"/>
        <v>12.502825000000001</v>
      </c>
      <c r="AP18" s="150">
        <f t="shared" si="16"/>
        <v>0.32058525641025643</v>
      </c>
      <c r="AQ18" s="151">
        <f t="shared" si="17"/>
        <v>16.649999999999999</v>
      </c>
      <c r="AR18" s="149">
        <f t="shared" si="18"/>
        <v>0.42692307692307691</v>
      </c>
      <c r="AS18" s="150">
        <f t="shared" si="8"/>
        <v>1.1451169188445665</v>
      </c>
    </row>
    <row r="19" spans="1:45" x14ac:dyDescent="0.25">
      <c r="A19" s="5">
        <f>IF('1 day'!A20&lt;&gt;"",'1 day'!A20,"")</f>
        <v>16</v>
      </c>
      <c r="B19" s="5" t="str">
        <f>IF(A19&lt;&gt;"",INDEX(Map!$W$2:$W$67, MATCH('Raw data'!A19, Map!$V$2:$V$67,0)),"")</f>
        <v>T2</v>
      </c>
      <c r="C19" s="5" t="str">
        <f>IF(A19&lt;&gt;"",INDEX(Map!$X$2:$X$67, MATCH('Raw data'!A19, Map!$V$2:$V$67,0)),"")</f>
        <v>R3</v>
      </c>
      <c r="D19" s="7">
        <f>IF(A19&lt;&gt;"",'1 day'!B20,"")</f>
        <v>40</v>
      </c>
      <c r="E19" s="11">
        <f>IF(A19&lt;&gt;"",'1 day'!C20,"")</f>
        <v>1.8320000000000001</v>
      </c>
      <c r="F19" s="12">
        <f>IF(A19&lt;&gt;"",'1 day'!C20/'1 day'!B20,"")</f>
        <v>4.58E-2</v>
      </c>
      <c r="G19" s="18">
        <f>IF(A19&lt;&gt;"",'1 day'!E20*'1 day'!D20+'1 day'!F20,"")</f>
        <v>27.065000000000001</v>
      </c>
      <c r="H19" s="3">
        <f>IF(A19&lt;&gt;"",'1 day'!H20*'1 day'!G20+'1 day'!I20,"")</f>
        <v>96</v>
      </c>
      <c r="I19" s="19">
        <f>IF(A19&lt;&gt;"",'1 day'!K20*'1 day'!J20+'1 day'!L20,"")</f>
        <v>63</v>
      </c>
      <c r="K19" s="164" t="s">
        <v>87</v>
      </c>
      <c r="L19" s="162">
        <f>'14 days'!A20</f>
        <v>16</v>
      </c>
      <c r="M19" s="163">
        <f t="shared" si="9"/>
        <v>39</v>
      </c>
      <c r="N19" s="163" t="str">
        <f>INDEX(Map!$W$2:$W$67, MATCH('Raw data'!L19, Map!$V$2:$V$67,0))</f>
        <v>T2</v>
      </c>
      <c r="O19" s="165" t="str">
        <f>INDEX(Map!$X$2:$X$67, MATCH('Raw data'!L19, Map!$V$2:$V$67,0))</f>
        <v>R3</v>
      </c>
      <c r="P19" s="158">
        <f>'14 days'!C20-'14 days'!$C$3</f>
        <v>14.839999999999998</v>
      </c>
      <c r="Q19" s="154">
        <f t="shared" si="0"/>
        <v>0.38051282051282048</v>
      </c>
      <c r="R19" s="155">
        <f t="shared" si="1"/>
        <v>13.053799999999999</v>
      </c>
      <c r="S19" s="328">
        <f t="shared" si="2"/>
        <v>0.33471282051282047</v>
      </c>
      <c r="T19" s="336">
        <f>IF((IF(('14 days'!D20-'14 days'!$D$3)&lt;0, 0, ('14 days'!D20-'14 days'!$D$3)))+(IF(('14 days'!E20-'14 days'!$E$3)&lt;0, 0, ('14 days'!E20-'14 days'!$E$3)))+('14 days'!G20*'14 days'!F20)+('14 days'!H20)&lt;0, 0, (IF(('14 days'!D20-'14 days'!$D$3)&lt;0, 0, ('14 days'!D20-'14 days'!$D$3)))+(IF(('14 days'!E20-'14 days'!$E$3)&lt;0, 0, ('14 days'!E20-'14 days'!$E$3)))+('14 days'!G20*'14 days'!F20)+('14 days'!H20))</f>
        <v>10.315</v>
      </c>
      <c r="U19" s="158">
        <f t="shared" si="10"/>
        <v>16.75</v>
      </c>
      <c r="V19" s="154">
        <f t="shared" si="3"/>
        <v>0.42948717948717946</v>
      </c>
      <c r="W19" s="155">
        <f t="shared" si="4"/>
        <v>1.1248405076892083</v>
      </c>
      <c r="X19" s="196">
        <f t="shared" si="5"/>
        <v>40</v>
      </c>
      <c r="Y19" s="213">
        <f t="shared" si="19"/>
        <v>39</v>
      </c>
      <c r="Z19" s="163">
        <f>'14 days'!I20</f>
        <v>1</v>
      </c>
      <c r="AA19" s="154">
        <f>'14 days'!J20</f>
        <v>5.0999999999999997E-2</v>
      </c>
      <c r="AB19" s="163">
        <f>'14 days'!K20</f>
        <v>0</v>
      </c>
      <c r="AC19" s="154">
        <f>'14 days'!L20</f>
        <v>0</v>
      </c>
      <c r="AD19" s="213">
        <f>'14 days'!M20</f>
        <v>0</v>
      </c>
      <c r="AE19" s="154">
        <f>'14 days'!N20</f>
        <v>0</v>
      </c>
      <c r="AF19" s="163">
        <f t="shared" si="11"/>
        <v>1</v>
      </c>
      <c r="AG19" s="160">
        <f t="shared" si="12"/>
        <v>5.0999999999999997E-2</v>
      </c>
      <c r="AI19" s="319" t="s">
        <v>116</v>
      </c>
      <c r="AJ19" s="162">
        <f t="shared" si="13"/>
        <v>16</v>
      </c>
      <c r="AK19" s="163" t="str">
        <f>INDEX(Map!$W$2:$W$67, MATCH('Raw data'!AJ19, Map!$V$2:$V$67,0))</f>
        <v>T2</v>
      </c>
      <c r="AL19" s="165" t="str">
        <f>INDEX(Map!$X$2:$X$67, MATCH('Raw data'!AJ19, Map!$V$2:$V$67,0))</f>
        <v>R3</v>
      </c>
      <c r="AM19" s="319">
        <f t="shared" si="6"/>
        <v>14.839999999999998</v>
      </c>
      <c r="AN19" s="150">
        <f t="shared" si="14"/>
        <v>0.38051282051282048</v>
      </c>
      <c r="AO19" s="151">
        <f t="shared" si="15"/>
        <v>13.053799999999999</v>
      </c>
      <c r="AP19" s="150">
        <f t="shared" si="16"/>
        <v>0.33471282051282047</v>
      </c>
      <c r="AQ19" s="151">
        <f t="shared" si="17"/>
        <v>16.75</v>
      </c>
      <c r="AR19" s="149">
        <f t="shared" si="18"/>
        <v>0.42948717948717946</v>
      </c>
      <c r="AS19" s="150">
        <f t="shared" si="8"/>
        <v>1.1248405076892083</v>
      </c>
    </row>
    <row r="20" spans="1:45" x14ac:dyDescent="0.25">
      <c r="A20" s="5">
        <f>IF('1 day'!A21&lt;&gt;"",'1 day'!A21,"")</f>
        <v>17</v>
      </c>
      <c r="B20" s="5" t="str">
        <f>IF(A20&lt;&gt;"",INDEX(Map!$W$2:$W$67, MATCH('Raw data'!A20, Map!$V$2:$V$67,0)),"")</f>
        <v>T6</v>
      </c>
      <c r="C20" s="5" t="str">
        <f>IF(A20&lt;&gt;"",INDEX(Map!$X$2:$X$67, MATCH('Raw data'!A20, Map!$V$2:$V$67,0)),"")</f>
        <v>R3</v>
      </c>
      <c r="D20" s="7">
        <f>IF(A20&lt;&gt;"",'1 day'!B21,"")</f>
        <v>40</v>
      </c>
      <c r="E20" s="11">
        <f>IF(A20&lt;&gt;"",'1 day'!C21,"")</f>
        <v>1.8320000000000001</v>
      </c>
      <c r="F20" s="12">
        <f>IF(A20&lt;&gt;"",'1 day'!C21/'1 day'!B21,"")</f>
        <v>4.58E-2</v>
      </c>
      <c r="G20" s="18">
        <f>IF(A20&lt;&gt;"",'1 day'!E21*'1 day'!D21+'1 day'!F21,"")</f>
        <v>26.765000000000001</v>
      </c>
      <c r="H20" s="3">
        <f>IF(A20&lt;&gt;"",'1 day'!H21*'1 day'!G21+'1 day'!I21,"")</f>
        <v>96</v>
      </c>
      <c r="I20" s="19">
        <f>IF(A20&lt;&gt;"",'1 day'!K21*'1 day'!J21+'1 day'!L21,"")</f>
        <v>63</v>
      </c>
      <c r="K20" s="164" t="s">
        <v>87</v>
      </c>
      <c r="L20" s="162">
        <f>'14 days'!A21</f>
        <v>17</v>
      </c>
      <c r="M20" s="163">
        <f t="shared" si="9"/>
        <v>40</v>
      </c>
      <c r="N20" s="163" t="str">
        <f>INDEX(Map!$W$2:$W$67, MATCH('Raw data'!L20, Map!$V$2:$V$67,0))</f>
        <v>T6</v>
      </c>
      <c r="O20" s="165" t="str">
        <f>INDEX(Map!$X$2:$X$67, MATCH('Raw data'!L20, Map!$V$2:$V$67,0))</f>
        <v>R3</v>
      </c>
      <c r="P20" s="158">
        <f>'14 days'!C21-'14 days'!$C$3</f>
        <v>13.99</v>
      </c>
      <c r="Q20" s="154">
        <f t="shared" si="0"/>
        <v>0.34975000000000001</v>
      </c>
      <c r="R20" s="155">
        <f t="shared" si="1"/>
        <v>12.157999999999999</v>
      </c>
      <c r="S20" s="328">
        <f t="shared" si="2"/>
        <v>0.30395</v>
      </c>
      <c r="T20" s="336">
        <f>IF((IF(('14 days'!D21-'14 days'!$D$3)&lt;0, 0, ('14 days'!D21-'14 days'!$D$3)))+(IF(('14 days'!E21-'14 days'!$E$3)&lt;0, 0, ('14 days'!E21-'14 days'!$E$3)))+('14 days'!G21*'14 days'!F21)+('14 days'!H21)&lt;0, 0, (IF(('14 days'!D21-'14 days'!$D$3)&lt;0, 0, ('14 days'!D21-'14 days'!$D$3)))+(IF(('14 days'!E21-'14 days'!$E$3)&lt;0, 0, ('14 days'!E21-'14 days'!$E$3)))+('14 days'!G21*'14 days'!F21)+('14 days'!H21))</f>
        <v>10.764999999999999</v>
      </c>
      <c r="U20" s="158">
        <f t="shared" si="10"/>
        <v>16</v>
      </c>
      <c r="V20" s="154">
        <f t="shared" si="3"/>
        <v>0.4</v>
      </c>
      <c r="W20" s="155">
        <f t="shared" si="4"/>
        <v>1.143674052894925</v>
      </c>
      <c r="X20" s="196">
        <f t="shared" si="5"/>
        <v>40</v>
      </c>
      <c r="Y20" s="213">
        <f t="shared" si="19"/>
        <v>40</v>
      </c>
      <c r="Z20" s="163">
        <f>'14 days'!I21</f>
        <v>0</v>
      </c>
      <c r="AA20" s="154">
        <f>'14 days'!J21</f>
        <v>0</v>
      </c>
      <c r="AB20" s="163">
        <f>'14 days'!K21</f>
        <v>0</v>
      </c>
      <c r="AC20" s="154">
        <f>'14 days'!L21</f>
        <v>0</v>
      </c>
      <c r="AD20" s="213">
        <f>'14 days'!M21</f>
        <v>0</v>
      </c>
      <c r="AE20" s="154">
        <f>'14 days'!N21</f>
        <v>0</v>
      </c>
      <c r="AF20" s="163">
        <f t="shared" si="11"/>
        <v>0</v>
      </c>
      <c r="AG20" s="160">
        <f t="shared" si="12"/>
        <v>0</v>
      </c>
      <c r="AI20" s="319" t="s">
        <v>116</v>
      </c>
      <c r="AJ20" s="162">
        <f t="shared" si="13"/>
        <v>17</v>
      </c>
      <c r="AK20" s="163" t="str">
        <f>INDEX(Map!$W$2:$W$67, MATCH('Raw data'!AJ20, Map!$V$2:$V$67,0))</f>
        <v>T6</v>
      </c>
      <c r="AL20" s="165" t="str">
        <f>INDEX(Map!$X$2:$X$67, MATCH('Raw data'!AJ20, Map!$V$2:$V$67,0))</f>
        <v>R3</v>
      </c>
      <c r="AM20" s="319">
        <f t="shared" si="6"/>
        <v>13.99</v>
      </c>
      <c r="AN20" s="150">
        <f t="shared" si="14"/>
        <v>0.34975000000000001</v>
      </c>
      <c r="AO20" s="151">
        <f t="shared" si="15"/>
        <v>12.157999999999999</v>
      </c>
      <c r="AP20" s="150">
        <f t="shared" si="16"/>
        <v>0.30395</v>
      </c>
      <c r="AQ20" s="151">
        <f t="shared" si="17"/>
        <v>16</v>
      </c>
      <c r="AR20" s="149">
        <f t="shared" si="18"/>
        <v>0.4</v>
      </c>
      <c r="AS20" s="150">
        <f t="shared" si="8"/>
        <v>1.143674052894925</v>
      </c>
    </row>
    <row r="21" spans="1:45" x14ac:dyDescent="0.25">
      <c r="A21" s="5">
        <f>IF('1 day'!A22&lt;&gt;"",'1 day'!A22,"")</f>
        <v>18</v>
      </c>
      <c r="B21" s="5" t="str">
        <f>IF(A21&lt;&gt;"",INDEX(Map!$W$2:$W$67, MATCH('Raw data'!A21, Map!$V$2:$V$67,0)),"")</f>
        <v>T5</v>
      </c>
      <c r="C21" s="5" t="str">
        <f>IF(A21&lt;&gt;"",INDEX(Map!$X$2:$X$67, MATCH('Raw data'!A21, Map!$V$2:$V$67,0)),"")</f>
        <v>R3</v>
      </c>
      <c r="D21" s="7">
        <f>IF(A21&lt;&gt;"",'1 day'!B22,"")</f>
        <v>40</v>
      </c>
      <c r="E21" s="11">
        <f>IF(A21&lt;&gt;"",'1 day'!C22,"")</f>
        <v>1.823</v>
      </c>
      <c r="F21" s="12">
        <f>IF(A21&lt;&gt;"",'1 day'!C22/'1 day'!B22,"")</f>
        <v>4.5574999999999997E-2</v>
      </c>
      <c r="G21" s="18">
        <f>IF(A21&lt;&gt;"",'1 day'!E22*'1 day'!D22+'1 day'!F22,"")</f>
        <v>26.414999999999999</v>
      </c>
      <c r="H21" s="3">
        <f>IF(A21&lt;&gt;"",'1 day'!H22*'1 day'!G22+'1 day'!I22,"")</f>
        <v>96</v>
      </c>
      <c r="I21" s="19">
        <f>IF(A21&lt;&gt;"",'1 day'!K22*'1 day'!J22+'1 day'!L22,"")</f>
        <v>63</v>
      </c>
      <c r="K21" s="164" t="s">
        <v>87</v>
      </c>
      <c r="L21" s="162">
        <f>'14 days'!A22</f>
        <v>18</v>
      </c>
      <c r="M21" s="163">
        <f t="shared" si="9"/>
        <v>40</v>
      </c>
      <c r="N21" s="163" t="str">
        <f>INDEX(Map!$W$2:$W$67, MATCH('Raw data'!L21, Map!$V$2:$V$67,0))</f>
        <v>T5</v>
      </c>
      <c r="O21" s="165" t="str">
        <f>INDEX(Map!$X$2:$X$67, MATCH('Raw data'!L21, Map!$V$2:$V$67,0))</f>
        <v>R3</v>
      </c>
      <c r="P21" s="158">
        <f>'14 days'!C22-'14 days'!$C$3</f>
        <v>14.24</v>
      </c>
      <c r="Q21" s="154">
        <f t="shared" si="0"/>
        <v>0.35599999999999998</v>
      </c>
      <c r="R21" s="155">
        <f t="shared" si="1"/>
        <v>12.417</v>
      </c>
      <c r="S21" s="328">
        <f t="shared" si="2"/>
        <v>0.31042500000000001</v>
      </c>
      <c r="T21" s="336">
        <f>IF((IF(('14 days'!D22-'14 days'!$D$3)&lt;0, 0, ('14 days'!D22-'14 days'!$D$3)))+(IF(('14 days'!E22-'14 days'!$E$3)&lt;0, 0, ('14 days'!E22-'14 days'!$E$3)))+('14 days'!G22*'14 days'!F22)+('14 days'!H22)&lt;0, 0, (IF(('14 days'!D22-'14 days'!$D$3)&lt;0, 0, ('14 days'!D22-'14 days'!$D$3)))+(IF(('14 days'!E22-'14 days'!$E$3)&lt;0, 0, ('14 days'!E22-'14 days'!$E$3)))+('14 days'!G22*'14 days'!F22)+('14 days'!H22))</f>
        <v>10.315000000000001</v>
      </c>
      <c r="U21" s="158">
        <f t="shared" si="10"/>
        <v>16.099999999999998</v>
      </c>
      <c r="V21" s="154">
        <f t="shared" si="3"/>
        <v>0.40249999999999997</v>
      </c>
      <c r="W21" s="155">
        <f t="shared" si="4"/>
        <v>1.1306179775280898</v>
      </c>
      <c r="X21" s="196">
        <f t="shared" si="5"/>
        <v>40</v>
      </c>
      <c r="Y21" s="213">
        <f t="shared" si="19"/>
        <v>40</v>
      </c>
      <c r="Z21" s="163">
        <f>'14 days'!I22</f>
        <v>0</v>
      </c>
      <c r="AA21" s="154">
        <f>'14 days'!J22</f>
        <v>0</v>
      </c>
      <c r="AB21" s="163">
        <f>'14 days'!K22</f>
        <v>0</v>
      </c>
      <c r="AC21" s="154">
        <f>'14 days'!L22</f>
        <v>0</v>
      </c>
      <c r="AD21" s="213">
        <f>'14 days'!M22</f>
        <v>0</v>
      </c>
      <c r="AE21" s="154">
        <f>'14 days'!N22</f>
        <v>0</v>
      </c>
      <c r="AF21" s="163">
        <f t="shared" si="11"/>
        <v>0</v>
      </c>
      <c r="AG21" s="160">
        <f t="shared" si="12"/>
        <v>0</v>
      </c>
      <c r="AI21" s="319" t="s">
        <v>116</v>
      </c>
      <c r="AJ21" s="162">
        <f t="shared" si="13"/>
        <v>18</v>
      </c>
      <c r="AK21" s="163" t="str">
        <f>INDEX(Map!$W$2:$W$67, MATCH('Raw data'!AJ21, Map!$V$2:$V$67,0))</f>
        <v>T5</v>
      </c>
      <c r="AL21" s="165" t="str">
        <f>INDEX(Map!$X$2:$X$67, MATCH('Raw data'!AJ21, Map!$V$2:$V$67,0))</f>
        <v>R3</v>
      </c>
      <c r="AM21" s="319">
        <f t="shared" si="6"/>
        <v>14.24</v>
      </c>
      <c r="AN21" s="150">
        <f t="shared" si="14"/>
        <v>0.35599999999999998</v>
      </c>
      <c r="AO21" s="151">
        <f t="shared" si="15"/>
        <v>12.417</v>
      </c>
      <c r="AP21" s="150">
        <f t="shared" si="16"/>
        <v>0.31042500000000001</v>
      </c>
      <c r="AQ21" s="151">
        <f t="shared" si="17"/>
        <v>16.099999999999998</v>
      </c>
      <c r="AR21" s="149">
        <f t="shared" si="18"/>
        <v>0.40249999999999997</v>
      </c>
      <c r="AS21" s="150">
        <f t="shared" si="8"/>
        <v>1.1306179775280898</v>
      </c>
    </row>
    <row r="22" spans="1:45" x14ac:dyDescent="0.25">
      <c r="A22" s="5">
        <f>IF('1 day'!A23&lt;&gt;"",'1 day'!A23,"")</f>
        <v>19</v>
      </c>
      <c r="B22" s="5" t="str">
        <f>IF(A22&lt;&gt;"",INDEX(Map!$W$2:$W$67, MATCH('Raw data'!A22, Map!$V$2:$V$67,0)),"")</f>
        <v>T3</v>
      </c>
      <c r="C22" s="5" t="str">
        <f>IF(A22&lt;&gt;"",INDEX(Map!$X$2:$X$67, MATCH('Raw data'!A22, Map!$V$2:$V$67,0)),"")</f>
        <v>R3</v>
      </c>
      <c r="D22" s="7">
        <f>IF(A22&lt;&gt;"",'1 day'!B23,"")</f>
        <v>40</v>
      </c>
      <c r="E22" s="11">
        <f>IF(A22&lt;&gt;"",'1 day'!C23,"")</f>
        <v>1.827</v>
      </c>
      <c r="F22" s="12">
        <f>IF(A22&lt;&gt;"",'1 day'!C23/'1 day'!B23,"")</f>
        <v>4.5675E-2</v>
      </c>
      <c r="G22" s="18">
        <f>IF(A22&lt;&gt;"",'1 day'!E23*'1 day'!D23+'1 day'!F23,"")</f>
        <v>26.664999999999999</v>
      </c>
      <c r="H22" s="3">
        <f>IF(A22&lt;&gt;"",'1 day'!H23*'1 day'!G23+'1 day'!I23,"")</f>
        <v>96</v>
      </c>
      <c r="I22" s="19">
        <f>IF(A22&lt;&gt;"",'1 day'!K23*'1 day'!J23+'1 day'!L23,"")</f>
        <v>63</v>
      </c>
      <c r="K22" s="164" t="s">
        <v>87</v>
      </c>
      <c r="L22" s="162">
        <f>'14 days'!A23</f>
        <v>19</v>
      </c>
      <c r="M22" s="163">
        <f t="shared" si="9"/>
        <v>36</v>
      </c>
      <c r="N22" s="163" t="str">
        <f>INDEX(Map!$W$2:$W$67, MATCH('Raw data'!L22, Map!$V$2:$V$67,0))</f>
        <v>T3</v>
      </c>
      <c r="O22" s="165" t="str">
        <f>INDEX(Map!$X$2:$X$67, MATCH('Raw data'!L22, Map!$V$2:$V$67,0))</f>
        <v>R3</v>
      </c>
      <c r="P22" s="158">
        <f>'14 days'!C23-'14 days'!$C$3</f>
        <v>11.94</v>
      </c>
      <c r="Q22" s="154">
        <f t="shared" si="0"/>
        <v>0.33166666666666667</v>
      </c>
      <c r="R22" s="155">
        <f t="shared" si="1"/>
        <v>10.2957</v>
      </c>
      <c r="S22" s="328">
        <f t="shared" si="2"/>
        <v>0.28599166666666664</v>
      </c>
      <c r="T22" s="336">
        <f>IF((IF(('14 days'!D23-'14 days'!$D$3)&lt;0, 0, ('14 days'!D23-'14 days'!$D$3)))+(IF(('14 days'!E23-'14 days'!$E$3)&lt;0, 0, ('14 days'!E23-'14 days'!$E$3)))+('14 days'!G23*'14 days'!F23)+('14 days'!H23)&lt;0, 0, (IF(('14 days'!D23-'14 days'!$D$3)&lt;0, 0, ('14 days'!D23-'14 days'!$D$3)))+(IF(('14 days'!E23-'14 days'!$E$3)&lt;0, 0, ('14 days'!E23-'14 days'!$E$3)))+('14 days'!G23*'14 days'!F23)+('14 days'!H23))</f>
        <v>12.164999999999999</v>
      </c>
      <c r="U22" s="158">
        <f t="shared" si="10"/>
        <v>14.5</v>
      </c>
      <c r="V22" s="154">
        <f t="shared" si="3"/>
        <v>0.40277777777777779</v>
      </c>
      <c r="W22" s="155">
        <f t="shared" si="4"/>
        <v>1.1310452418096724</v>
      </c>
      <c r="X22" s="196">
        <f t="shared" si="5"/>
        <v>40</v>
      </c>
      <c r="Y22" s="213">
        <f t="shared" si="19"/>
        <v>36</v>
      </c>
      <c r="Z22" s="163">
        <f>'14 days'!I23</f>
        <v>1</v>
      </c>
      <c r="AA22" s="154">
        <f>'14 days'!J23</f>
        <v>0.23</v>
      </c>
      <c r="AB22" s="163">
        <f>'14 days'!K23</f>
        <v>3</v>
      </c>
      <c r="AC22" s="154">
        <f>'14 days'!L23</f>
        <v>0.65</v>
      </c>
      <c r="AD22" s="213">
        <f>'14 days'!M23</f>
        <v>0</v>
      </c>
      <c r="AE22" s="154">
        <f>'14 days'!N23</f>
        <v>0</v>
      </c>
      <c r="AF22" s="163">
        <f t="shared" si="11"/>
        <v>4</v>
      </c>
      <c r="AG22" s="160">
        <f t="shared" si="12"/>
        <v>0.88</v>
      </c>
      <c r="AI22" s="319" t="s">
        <v>116</v>
      </c>
      <c r="AJ22" s="162">
        <f t="shared" si="13"/>
        <v>19</v>
      </c>
      <c r="AK22" s="163" t="str">
        <f>INDEX(Map!$W$2:$W$67, MATCH('Raw data'!AJ22, Map!$V$2:$V$67,0))</f>
        <v>T3</v>
      </c>
      <c r="AL22" s="165" t="str">
        <f>INDEX(Map!$X$2:$X$67, MATCH('Raw data'!AJ22, Map!$V$2:$V$67,0))</f>
        <v>R3</v>
      </c>
      <c r="AM22" s="319">
        <f t="shared" si="6"/>
        <v>11.94</v>
      </c>
      <c r="AN22" s="150">
        <f t="shared" si="14"/>
        <v>0.33166666666666667</v>
      </c>
      <c r="AO22" s="151">
        <f t="shared" si="15"/>
        <v>10.2957</v>
      </c>
      <c r="AP22" s="150">
        <f t="shared" si="16"/>
        <v>0.28599166666666664</v>
      </c>
      <c r="AQ22" s="151">
        <f t="shared" si="17"/>
        <v>14.5</v>
      </c>
      <c r="AR22" s="149">
        <f t="shared" si="18"/>
        <v>0.40277777777777779</v>
      </c>
      <c r="AS22" s="150">
        <f t="shared" si="8"/>
        <v>1.1310452418096724</v>
      </c>
    </row>
    <row r="23" spans="1:45" x14ac:dyDescent="0.25">
      <c r="A23" s="5">
        <f>IF('1 day'!A24&lt;&gt;"",'1 day'!A24,"")</f>
        <v>20</v>
      </c>
      <c r="B23" s="5" t="str">
        <f>IF(A23&lt;&gt;"",INDEX(Map!$W$2:$W$67, MATCH('Raw data'!A23, Map!$V$2:$V$67,0)),"")</f>
        <v>T1</v>
      </c>
      <c r="C23" s="5" t="str">
        <f>IF(A23&lt;&gt;"",INDEX(Map!$X$2:$X$67, MATCH('Raw data'!A23, Map!$V$2:$V$67,0)),"")</f>
        <v>R3</v>
      </c>
      <c r="D23" s="7">
        <f>IF(A23&lt;&gt;"",'1 day'!B24,"")</f>
        <v>40</v>
      </c>
      <c r="E23" s="11">
        <f>IF(A23&lt;&gt;"",'1 day'!C24,"")</f>
        <v>1.825</v>
      </c>
      <c r="F23" s="12">
        <f>IF(A23&lt;&gt;"",'1 day'!C24/'1 day'!B24,"")</f>
        <v>4.5624999999999999E-2</v>
      </c>
      <c r="G23" s="18">
        <f>IF(A23&lt;&gt;"",'1 day'!E24*'1 day'!D24+'1 day'!F24,"")</f>
        <v>26.315000000000001</v>
      </c>
      <c r="H23" s="3">
        <f>IF(A23&lt;&gt;"",'1 day'!H24*'1 day'!G24+'1 day'!I24,"")</f>
        <v>96</v>
      </c>
      <c r="I23" s="19">
        <f>IF(A23&lt;&gt;"",'1 day'!K24*'1 day'!J24+'1 day'!L24,"")</f>
        <v>63</v>
      </c>
      <c r="K23" s="164" t="s">
        <v>87</v>
      </c>
      <c r="L23" s="162">
        <f>'14 days'!A24</f>
        <v>20</v>
      </c>
      <c r="M23" s="163">
        <f t="shared" si="9"/>
        <v>40</v>
      </c>
      <c r="N23" s="163" t="str">
        <f>INDEX(Map!$W$2:$W$67, MATCH('Raw data'!L23, Map!$V$2:$V$67,0))</f>
        <v>T1</v>
      </c>
      <c r="O23" s="165" t="str">
        <f>INDEX(Map!$X$2:$X$67, MATCH('Raw data'!L23, Map!$V$2:$V$67,0))</f>
        <v>R3</v>
      </c>
      <c r="P23" s="158">
        <f>'14 days'!C24-'14 days'!$C$3</f>
        <v>14.139999999999999</v>
      </c>
      <c r="Q23" s="154">
        <f t="shared" si="0"/>
        <v>0.35349999999999998</v>
      </c>
      <c r="R23" s="155">
        <f t="shared" si="1"/>
        <v>12.315000000000001</v>
      </c>
      <c r="S23" s="328">
        <f t="shared" si="2"/>
        <v>0.30787500000000001</v>
      </c>
      <c r="T23" s="336">
        <f>IF((IF(('14 days'!D24-'14 days'!$D$3)&lt;0, 0, ('14 days'!D24-'14 days'!$D$3)))+(IF(('14 days'!E24-'14 days'!$E$3)&lt;0, 0, ('14 days'!E24-'14 days'!$E$3)))+('14 days'!G24*'14 days'!F24)+('14 days'!H24)&lt;0, 0, (IF(('14 days'!D24-'14 days'!$D$3)&lt;0, 0, ('14 days'!D24-'14 days'!$D$3)))+(IF(('14 days'!E24-'14 days'!$E$3)&lt;0, 0, ('14 days'!E24-'14 days'!$E$3)))+('14 days'!G24*'14 days'!F24)+('14 days'!H24))</f>
        <v>10.115</v>
      </c>
      <c r="U23" s="158">
        <f t="shared" si="10"/>
        <v>16.200000000000003</v>
      </c>
      <c r="V23" s="154">
        <f t="shared" si="3"/>
        <v>0.40500000000000008</v>
      </c>
      <c r="W23" s="155">
        <f t="shared" si="4"/>
        <v>1.1456859971711459</v>
      </c>
      <c r="X23" s="196">
        <f t="shared" si="5"/>
        <v>40</v>
      </c>
      <c r="Y23" s="213">
        <f t="shared" si="19"/>
        <v>40</v>
      </c>
      <c r="Z23" s="163">
        <f>'14 days'!I24</f>
        <v>0</v>
      </c>
      <c r="AA23" s="154">
        <f>'14 days'!J24</f>
        <v>0</v>
      </c>
      <c r="AB23" s="163">
        <f>'14 days'!K24</f>
        <v>0</v>
      </c>
      <c r="AC23" s="154">
        <f>'14 days'!L24</f>
        <v>0</v>
      </c>
      <c r="AD23" s="213">
        <f>'14 days'!M24</f>
        <v>0</v>
      </c>
      <c r="AE23" s="154">
        <f>'14 days'!N24</f>
        <v>0</v>
      </c>
      <c r="AF23" s="163">
        <f t="shared" si="11"/>
        <v>0</v>
      </c>
      <c r="AG23" s="160">
        <f t="shared" si="12"/>
        <v>0</v>
      </c>
      <c r="AI23" s="319" t="s">
        <v>116</v>
      </c>
      <c r="AJ23" s="162">
        <f t="shared" si="13"/>
        <v>20</v>
      </c>
      <c r="AK23" s="163" t="str">
        <f>INDEX(Map!$W$2:$W$67, MATCH('Raw data'!AJ23, Map!$V$2:$V$67,0))</f>
        <v>T1</v>
      </c>
      <c r="AL23" s="165" t="str">
        <f>INDEX(Map!$X$2:$X$67, MATCH('Raw data'!AJ23, Map!$V$2:$V$67,0))</f>
        <v>R3</v>
      </c>
      <c r="AM23" s="319">
        <f t="shared" si="6"/>
        <v>14.139999999999999</v>
      </c>
      <c r="AN23" s="150">
        <f t="shared" si="14"/>
        <v>0.35349999999999998</v>
      </c>
      <c r="AO23" s="151">
        <f t="shared" si="15"/>
        <v>12.315000000000001</v>
      </c>
      <c r="AP23" s="150">
        <f t="shared" si="16"/>
        <v>0.30787500000000001</v>
      </c>
      <c r="AQ23" s="151">
        <f t="shared" si="17"/>
        <v>16.200000000000003</v>
      </c>
      <c r="AR23" s="149">
        <f t="shared" si="18"/>
        <v>0.40500000000000008</v>
      </c>
      <c r="AS23" s="150">
        <f t="shared" si="8"/>
        <v>1.1456859971711459</v>
      </c>
    </row>
    <row r="24" spans="1:45" x14ac:dyDescent="0.25">
      <c r="A24" s="5">
        <f>IF('1 day'!A25&lt;&gt;"",'1 day'!A25,"")</f>
        <v>21</v>
      </c>
      <c r="B24" s="5" t="str">
        <f>IF(A24&lt;&gt;"",INDEX(Map!$W$2:$W$67, MATCH('Raw data'!A24, Map!$V$2:$V$67,0)),"")</f>
        <v>T2</v>
      </c>
      <c r="C24" s="5" t="str">
        <f>IF(A24&lt;&gt;"",INDEX(Map!$X$2:$X$67, MATCH('Raw data'!A24, Map!$V$2:$V$67,0)),"")</f>
        <v>R11</v>
      </c>
      <c r="D24" s="7">
        <f>IF(A24&lt;&gt;"",'1 day'!B25,"")</f>
        <v>40</v>
      </c>
      <c r="E24" s="11">
        <f>IF(A24&lt;&gt;"",'1 day'!C25,"")</f>
        <v>1.831</v>
      </c>
      <c r="F24" s="12">
        <f>IF(A24&lt;&gt;"",'1 day'!C25/'1 day'!B25,"")</f>
        <v>4.5774999999999996E-2</v>
      </c>
      <c r="G24" s="18">
        <f>IF(A24&lt;&gt;"",'1 day'!E25*'1 day'!D25+'1 day'!F25,"")</f>
        <v>24.715</v>
      </c>
      <c r="H24" s="3">
        <f>IF(A24&lt;&gt;"",'1 day'!H25*'1 day'!G25+'1 day'!I25,"")</f>
        <v>94.35</v>
      </c>
      <c r="I24" s="19">
        <f>IF(A24&lt;&gt;"",'1 day'!K25*'1 day'!J25+'1 day'!L25,"")</f>
        <v>61.85</v>
      </c>
      <c r="K24" s="164" t="s">
        <v>87</v>
      </c>
      <c r="L24" s="162">
        <f>'14 days'!A25</f>
        <v>21</v>
      </c>
      <c r="M24" s="163">
        <f t="shared" si="9"/>
        <v>37</v>
      </c>
      <c r="N24" s="163" t="str">
        <f>INDEX(Map!$W$2:$W$67, MATCH('Raw data'!L24, Map!$V$2:$V$67,0))</f>
        <v>T2</v>
      </c>
      <c r="O24" s="165" t="str">
        <f>INDEX(Map!$X$2:$X$67, MATCH('Raw data'!L24, Map!$V$2:$V$67,0))</f>
        <v>R11</v>
      </c>
      <c r="P24" s="158">
        <f>'14 days'!C25-'14 days'!$C$3</f>
        <v>12.59</v>
      </c>
      <c r="Q24" s="154">
        <f t="shared" si="0"/>
        <v>0.34027027027027029</v>
      </c>
      <c r="R24" s="155">
        <f t="shared" si="1"/>
        <v>10.896325000000001</v>
      </c>
      <c r="S24" s="328">
        <f t="shared" si="2"/>
        <v>0.29449527027027028</v>
      </c>
      <c r="T24" s="336">
        <f>IF((IF(('14 days'!D25-'14 days'!$D$3)&lt;0, 0, ('14 days'!D25-'14 days'!$D$3)))+(IF(('14 days'!E25-'14 days'!$E$3)&lt;0, 0, ('14 days'!E25-'14 days'!$E$3)))+('14 days'!G25*'14 days'!F25)+('14 days'!H25)&lt;0, 0, (IF(('14 days'!D25-'14 days'!$D$3)&lt;0, 0, ('14 days'!D25-'14 days'!$D$3)))+(IF(('14 days'!E25-'14 days'!$E$3)&lt;0, 0, ('14 days'!E25-'14 days'!$E$3)))+('14 days'!G25*'14 days'!F25)+('14 days'!H25))</f>
        <v>9.5150000000000006</v>
      </c>
      <c r="U24" s="158">
        <f t="shared" si="10"/>
        <v>15.2</v>
      </c>
      <c r="V24" s="154">
        <f t="shared" si="3"/>
        <v>0.41081081081081078</v>
      </c>
      <c r="W24" s="155">
        <f t="shared" si="4"/>
        <v>1.1705814401232191</v>
      </c>
      <c r="X24" s="196">
        <f t="shared" si="5"/>
        <v>40</v>
      </c>
      <c r="Y24" s="213">
        <f t="shared" si="19"/>
        <v>37</v>
      </c>
      <c r="Z24" s="163">
        <f>'14 days'!I25</f>
        <v>2</v>
      </c>
      <c r="AA24" s="154">
        <f>'14 days'!J25</f>
        <v>0.14499999999999999</v>
      </c>
      <c r="AB24" s="163">
        <f>'14 days'!K25</f>
        <v>1</v>
      </c>
      <c r="AC24" s="154">
        <f>'14 days'!L25</f>
        <v>0.25</v>
      </c>
      <c r="AD24" s="213">
        <f>'14 days'!M25</f>
        <v>0</v>
      </c>
      <c r="AE24" s="154">
        <f>'14 days'!N25</f>
        <v>0</v>
      </c>
      <c r="AF24" s="163">
        <f t="shared" si="11"/>
        <v>3</v>
      </c>
      <c r="AG24" s="160">
        <f t="shared" si="12"/>
        <v>0.39500000000000002</v>
      </c>
      <c r="AI24" s="319" t="s">
        <v>116</v>
      </c>
      <c r="AJ24" s="162">
        <f t="shared" si="13"/>
        <v>21</v>
      </c>
      <c r="AK24" s="163" t="str">
        <f>INDEX(Map!$W$2:$W$67, MATCH('Raw data'!AJ24, Map!$V$2:$V$67,0))</f>
        <v>T2</v>
      </c>
      <c r="AL24" s="165" t="str">
        <f>INDEX(Map!$X$2:$X$67, MATCH('Raw data'!AJ24, Map!$V$2:$V$67,0))</f>
        <v>R11</v>
      </c>
      <c r="AM24" s="319">
        <f t="shared" si="6"/>
        <v>12.59</v>
      </c>
      <c r="AN24" s="150">
        <f t="shared" si="14"/>
        <v>0.34027027027027029</v>
      </c>
      <c r="AO24" s="151">
        <f t="shared" si="15"/>
        <v>10.896325000000001</v>
      </c>
      <c r="AP24" s="150">
        <f t="shared" si="16"/>
        <v>0.29449527027027028</v>
      </c>
      <c r="AQ24" s="151">
        <f t="shared" si="17"/>
        <v>15.2</v>
      </c>
      <c r="AR24" s="149">
        <f t="shared" si="18"/>
        <v>0.41081081081081078</v>
      </c>
      <c r="AS24" s="150">
        <f t="shared" si="8"/>
        <v>1.1705814401232191</v>
      </c>
    </row>
    <row r="25" spans="1:45" x14ac:dyDescent="0.25">
      <c r="A25" s="5">
        <f>IF('1 day'!A26&lt;&gt;"",'1 day'!A26,"")</f>
        <v>22</v>
      </c>
      <c r="B25" s="5" t="str">
        <f>IF(A25&lt;&gt;"",INDEX(Map!$W$2:$W$67, MATCH('Raw data'!A25, Map!$V$2:$V$67,0)),"")</f>
        <v>T5</v>
      </c>
      <c r="C25" s="5" t="str">
        <f>IF(A25&lt;&gt;"",INDEX(Map!$X$2:$X$67, MATCH('Raw data'!A25, Map!$V$2:$V$67,0)),"")</f>
        <v>R11</v>
      </c>
      <c r="D25" s="7">
        <f>IF(A25&lt;&gt;"",'1 day'!B26,"")</f>
        <v>40</v>
      </c>
      <c r="E25" s="11">
        <f>IF(A25&lt;&gt;"",'1 day'!C26,"")</f>
        <v>1.829</v>
      </c>
      <c r="F25" s="12">
        <f>IF(A25&lt;&gt;"",'1 day'!C26/'1 day'!B26,"")</f>
        <v>4.5725000000000002E-2</v>
      </c>
      <c r="G25" s="18">
        <f>IF(A25&lt;&gt;"",'1 day'!E26*'1 day'!D26+'1 day'!F26,"")</f>
        <v>25.115000000000002</v>
      </c>
      <c r="H25" s="3">
        <f>IF(A25&lt;&gt;"",'1 day'!H26*'1 day'!G26+'1 day'!I26,"")</f>
        <v>94.4</v>
      </c>
      <c r="I25" s="19">
        <f>IF(A25&lt;&gt;"",'1 day'!K26*'1 day'!J26+'1 day'!L26,"")</f>
        <v>61.8</v>
      </c>
      <c r="K25" s="164" t="s">
        <v>87</v>
      </c>
      <c r="L25" s="162">
        <f>'14 days'!A26</f>
        <v>22</v>
      </c>
      <c r="M25" s="163">
        <f t="shared" si="9"/>
        <v>40</v>
      </c>
      <c r="N25" s="163" t="str">
        <f>INDEX(Map!$W$2:$W$67, MATCH('Raw data'!L25, Map!$V$2:$V$67,0))</f>
        <v>T5</v>
      </c>
      <c r="O25" s="165" t="str">
        <f>INDEX(Map!$X$2:$X$67, MATCH('Raw data'!L25, Map!$V$2:$V$67,0))</f>
        <v>R11</v>
      </c>
      <c r="P25" s="158">
        <f>'14 days'!C26-'14 days'!$C$3</f>
        <v>13.54</v>
      </c>
      <c r="Q25" s="154">
        <f t="shared" si="0"/>
        <v>0.33849999999999997</v>
      </c>
      <c r="R25" s="155">
        <f t="shared" si="1"/>
        <v>11.710999999999999</v>
      </c>
      <c r="S25" s="328">
        <f t="shared" si="2"/>
        <v>0.29277499999999995</v>
      </c>
      <c r="T25" s="336">
        <f>IF((IF(('14 days'!D26-'14 days'!$D$3)&lt;0, 0, ('14 days'!D26-'14 days'!$D$3)))+(IF(('14 days'!E26-'14 days'!$E$3)&lt;0, 0, ('14 days'!E26-'14 days'!$E$3)))+('14 days'!G26*'14 days'!F26)+('14 days'!H26)&lt;0, 0, (IF(('14 days'!D26-'14 days'!$D$3)&lt;0, 0, ('14 days'!D26-'14 days'!$D$3)))+(IF(('14 days'!E26-'14 days'!$E$3)&lt;0, 0, ('14 days'!E26-'14 days'!$E$3)))+('14 days'!G26*'14 days'!F26)+('14 days'!H26))</f>
        <v>9.5150000000000006</v>
      </c>
      <c r="U25" s="158">
        <f t="shared" si="10"/>
        <v>15.600000000000001</v>
      </c>
      <c r="V25" s="154">
        <f t="shared" si="3"/>
        <v>0.39</v>
      </c>
      <c r="W25" s="155">
        <f t="shared" si="4"/>
        <v>1.152141802067947</v>
      </c>
      <c r="X25" s="196">
        <f t="shared" si="5"/>
        <v>40</v>
      </c>
      <c r="Y25" s="213">
        <f t="shared" si="19"/>
        <v>40</v>
      </c>
      <c r="Z25" s="163">
        <f>'14 days'!I26</f>
        <v>0</v>
      </c>
      <c r="AA25" s="154">
        <f>'14 days'!J26</f>
        <v>0</v>
      </c>
      <c r="AB25" s="163">
        <f>'14 days'!K26</f>
        <v>0</v>
      </c>
      <c r="AC25" s="154">
        <f>'14 days'!L26</f>
        <v>0</v>
      </c>
      <c r="AD25" s="213">
        <f>'14 days'!M26</f>
        <v>0</v>
      </c>
      <c r="AE25" s="154">
        <f>'14 days'!N26</f>
        <v>0</v>
      </c>
      <c r="AF25" s="163">
        <f t="shared" si="11"/>
        <v>0</v>
      </c>
      <c r="AG25" s="160">
        <f t="shared" si="12"/>
        <v>0</v>
      </c>
      <c r="AI25" s="319" t="s">
        <v>116</v>
      </c>
      <c r="AJ25" s="162">
        <f t="shared" si="13"/>
        <v>22</v>
      </c>
      <c r="AK25" s="163" t="str">
        <f>INDEX(Map!$W$2:$W$67, MATCH('Raw data'!AJ25, Map!$V$2:$V$67,0))</f>
        <v>T5</v>
      </c>
      <c r="AL25" s="165" t="str">
        <f>INDEX(Map!$X$2:$X$67, MATCH('Raw data'!AJ25, Map!$V$2:$V$67,0))</f>
        <v>R11</v>
      </c>
      <c r="AM25" s="319">
        <f t="shared" si="6"/>
        <v>13.54</v>
      </c>
      <c r="AN25" s="150">
        <f t="shared" si="14"/>
        <v>0.33849999999999997</v>
      </c>
      <c r="AO25" s="151">
        <f t="shared" si="15"/>
        <v>11.710999999999999</v>
      </c>
      <c r="AP25" s="150">
        <f t="shared" si="16"/>
        <v>0.29277499999999995</v>
      </c>
      <c r="AQ25" s="151">
        <f t="shared" si="17"/>
        <v>15.600000000000001</v>
      </c>
      <c r="AR25" s="149">
        <f t="shared" si="18"/>
        <v>0.39</v>
      </c>
      <c r="AS25" s="150">
        <f t="shared" si="8"/>
        <v>1.152141802067947</v>
      </c>
    </row>
    <row r="26" spans="1:45" x14ac:dyDescent="0.25">
      <c r="A26" s="5">
        <f>IF('1 day'!A27&lt;&gt;"",'1 day'!A27,"")</f>
        <v>23</v>
      </c>
      <c r="B26" s="5" t="str">
        <f>IF(A26&lt;&gt;"",INDEX(Map!$W$2:$W$67, MATCH('Raw data'!A26, Map!$V$2:$V$67,0)),"")</f>
        <v>T5</v>
      </c>
      <c r="C26" s="5" t="str">
        <f>IF(A26&lt;&gt;"",INDEX(Map!$X$2:$X$67, MATCH('Raw data'!A26, Map!$V$2:$V$67,0)),"")</f>
        <v>R10</v>
      </c>
      <c r="D26" s="7">
        <f>IF(A26&lt;&gt;"",'1 day'!B27,"")</f>
        <v>40</v>
      </c>
      <c r="E26" s="11">
        <f>IF(A26&lt;&gt;"",'1 day'!C27,"")</f>
        <v>1.827</v>
      </c>
      <c r="F26" s="12">
        <f>IF(A26&lt;&gt;"",'1 day'!C27/'1 day'!B27,"")</f>
        <v>4.5675E-2</v>
      </c>
      <c r="G26" s="18">
        <f>IF(A26&lt;&gt;"",'1 day'!E27*'1 day'!D27+'1 day'!F27,"")</f>
        <v>26.664999999999999</v>
      </c>
      <c r="H26" s="3">
        <f>IF(A26&lt;&gt;"",'1 day'!H27*'1 day'!G27+'1 day'!I27,"")</f>
        <v>96</v>
      </c>
      <c r="I26" s="19">
        <f>IF(A26&lt;&gt;"",'1 day'!K27*'1 day'!J27+'1 day'!L27,"")</f>
        <v>63</v>
      </c>
      <c r="K26" s="164" t="s">
        <v>87</v>
      </c>
      <c r="L26" s="162">
        <f>'14 days'!A27</f>
        <v>23</v>
      </c>
      <c r="M26" s="163">
        <f t="shared" si="9"/>
        <v>39</v>
      </c>
      <c r="N26" s="163" t="str">
        <f>INDEX(Map!$W$2:$W$67, MATCH('Raw data'!L26, Map!$V$2:$V$67,0))</f>
        <v>T5</v>
      </c>
      <c r="O26" s="165" t="str">
        <f>INDEX(Map!$X$2:$X$67, MATCH('Raw data'!L26, Map!$V$2:$V$67,0))</f>
        <v>R10</v>
      </c>
      <c r="P26" s="158">
        <f>'14 days'!C27-'14 days'!$C$3</f>
        <v>13.889999999999999</v>
      </c>
      <c r="Q26" s="154">
        <f t="shared" si="0"/>
        <v>0.3561538461538461</v>
      </c>
      <c r="R26" s="155">
        <f t="shared" si="1"/>
        <v>12.108674999999996</v>
      </c>
      <c r="S26" s="328">
        <f t="shared" si="2"/>
        <v>0.31047884615384608</v>
      </c>
      <c r="T26" s="336">
        <f>IF((IF(('14 days'!D27-'14 days'!$D$3)&lt;0, 0, ('14 days'!D27-'14 days'!$D$3)))+(IF(('14 days'!E27-'14 days'!$E$3)&lt;0, 0, ('14 days'!E27-'14 days'!$E$3)))+('14 days'!G27*'14 days'!F27)+('14 days'!H27)&lt;0, 0, (IF(('14 days'!D27-'14 days'!$D$3)&lt;0, 0, ('14 days'!D27-'14 days'!$D$3)))+(IF(('14 days'!E27-'14 days'!$E$3)&lt;0, 0, ('14 days'!E27-'14 days'!$E$3)))+('14 days'!G27*'14 days'!F27)+('14 days'!H27))</f>
        <v>10.664999999999999</v>
      </c>
      <c r="U26" s="158">
        <f t="shared" si="10"/>
        <v>16</v>
      </c>
      <c r="V26" s="154">
        <f t="shared" si="3"/>
        <v>0.41025641025641024</v>
      </c>
      <c r="W26" s="155">
        <f t="shared" si="4"/>
        <v>1.1355571327182401</v>
      </c>
      <c r="X26" s="196">
        <f t="shared" si="5"/>
        <v>40</v>
      </c>
      <c r="Y26" s="213">
        <f t="shared" si="19"/>
        <v>39</v>
      </c>
      <c r="Z26" s="163">
        <f>'14 days'!I27</f>
        <v>0</v>
      </c>
      <c r="AA26" s="154">
        <f>'14 days'!J27</f>
        <v>0</v>
      </c>
      <c r="AB26" s="163">
        <f>'14 days'!K27</f>
        <v>1</v>
      </c>
      <c r="AC26" s="154">
        <f>'14 days'!L27</f>
        <v>0.2</v>
      </c>
      <c r="AD26" s="213">
        <f>'14 days'!M27</f>
        <v>0</v>
      </c>
      <c r="AE26" s="154">
        <f>'14 days'!N27</f>
        <v>0</v>
      </c>
      <c r="AF26" s="163">
        <f t="shared" si="11"/>
        <v>1</v>
      </c>
      <c r="AG26" s="160">
        <f t="shared" si="12"/>
        <v>0.2</v>
      </c>
      <c r="AI26" s="319" t="s">
        <v>116</v>
      </c>
      <c r="AJ26" s="162">
        <f t="shared" si="13"/>
        <v>23</v>
      </c>
      <c r="AK26" s="163" t="str">
        <f>INDEX(Map!$W$2:$W$67, MATCH('Raw data'!AJ26, Map!$V$2:$V$67,0))</f>
        <v>T5</v>
      </c>
      <c r="AL26" s="165" t="str">
        <f>INDEX(Map!$X$2:$X$67, MATCH('Raw data'!AJ26, Map!$V$2:$V$67,0))</f>
        <v>R10</v>
      </c>
      <c r="AM26" s="319">
        <f t="shared" si="6"/>
        <v>13.889999999999999</v>
      </c>
      <c r="AN26" s="150">
        <f t="shared" si="14"/>
        <v>0.3561538461538461</v>
      </c>
      <c r="AO26" s="151">
        <f t="shared" si="15"/>
        <v>12.108674999999996</v>
      </c>
      <c r="AP26" s="150">
        <f t="shared" si="16"/>
        <v>0.31047884615384608</v>
      </c>
      <c r="AQ26" s="151">
        <f t="shared" si="17"/>
        <v>16</v>
      </c>
      <c r="AR26" s="149">
        <f t="shared" si="18"/>
        <v>0.41025641025641024</v>
      </c>
      <c r="AS26" s="150">
        <f t="shared" si="8"/>
        <v>1.1355571327182401</v>
      </c>
    </row>
    <row r="27" spans="1:45" x14ac:dyDescent="0.25">
      <c r="A27" s="5">
        <f>IF('1 day'!A28&lt;&gt;"",'1 day'!A28,"")</f>
        <v>24</v>
      </c>
      <c r="B27" s="5" t="str">
        <f>IF(A27&lt;&gt;"",INDEX(Map!$W$2:$W$67, MATCH('Raw data'!A27, Map!$V$2:$V$67,0)),"")</f>
        <v>T4</v>
      </c>
      <c r="C27" s="5" t="str">
        <f>IF(A27&lt;&gt;"",INDEX(Map!$X$2:$X$67, MATCH('Raw data'!A27, Map!$V$2:$V$67,0)),"")</f>
        <v>R10</v>
      </c>
      <c r="D27" s="7">
        <f>IF(A27&lt;&gt;"",'1 day'!B28,"")</f>
        <v>40</v>
      </c>
      <c r="E27" s="11">
        <f>IF(A27&lt;&gt;"",'1 day'!C28,"")</f>
        <v>1.8380000000000001</v>
      </c>
      <c r="F27" s="12">
        <f>IF(A27&lt;&gt;"",'1 day'!C28/'1 day'!B28,"")</f>
        <v>4.5950000000000005E-2</v>
      </c>
      <c r="G27" s="18">
        <f>IF(A27&lt;&gt;"",'1 day'!E28*'1 day'!D28+'1 day'!F28,"")</f>
        <v>26.914999999999999</v>
      </c>
      <c r="H27" s="3">
        <f>IF(A27&lt;&gt;"",'1 day'!H28*'1 day'!G28+'1 day'!I28,"")</f>
        <v>96</v>
      </c>
      <c r="I27" s="19">
        <f>IF(A27&lt;&gt;"",'1 day'!K28*'1 day'!J28+'1 day'!L28,"")</f>
        <v>63</v>
      </c>
      <c r="K27" s="164" t="s">
        <v>87</v>
      </c>
      <c r="L27" s="162">
        <f>'14 days'!A28</f>
        <v>24</v>
      </c>
      <c r="M27" s="163">
        <f t="shared" si="9"/>
        <v>40</v>
      </c>
      <c r="N27" s="163" t="str">
        <f>INDEX(Map!$W$2:$W$67, MATCH('Raw data'!L27, Map!$V$2:$V$67,0))</f>
        <v>T4</v>
      </c>
      <c r="O27" s="165" t="str">
        <f>INDEX(Map!$X$2:$X$67, MATCH('Raw data'!L27, Map!$V$2:$V$67,0))</f>
        <v>R10</v>
      </c>
      <c r="P27" s="158">
        <f>'14 days'!C28-'14 days'!$C$3</f>
        <v>14.290000000000001</v>
      </c>
      <c r="Q27" s="154">
        <f t="shared" si="0"/>
        <v>0.35725000000000001</v>
      </c>
      <c r="R27" s="155">
        <f t="shared" si="1"/>
        <v>12.452000000000002</v>
      </c>
      <c r="S27" s="328">
        <f t="shared" si="2"/>
        <v>0.31130000000000002</v>
      </c>
      <c r="T27" s="336">
        <f>IF((IF(('14 days'!D28-'14 days'!$D$3)&lt;0, 0, ('14 days'!D28-'14 days'!$D$3)))+(IF(('14 days'!E28-'14 days'!$E$3)&lt;0, 0, ('14 days'!E28-'14 days'!$E$3)))+('14 days'!G28*'14 days'!F28)+('14 days'!H28)&lt;0, 0, (IF(('14 days'!D28-'14 days'!$D$3)&lt;0, 0, ('14 days'!D28-'14 days'!$D$3)))+(IF(('14 days'!E28-'14 days'!$E$3)&lt;0, 0, ('14 days'!E28-'14 days'!$E$3)))+('14 days'!G28*'14 days'!F28)+('14 days'!H28))</f>
        <v>10.365</v>
      </c>
      <c r="U27" s="158">
        <f t="shared" si="10"/>
        <v>16.549999999999997</v>
      </c>
      <c r="V27" s="154">
        <f t="shared" si="3"/>
        <v>0.41374999999999995</v>
      </c>
      <c r="W27" s="155">
        <f t="shared" si="4"/>
        <v>1.1581525542337296</v>
      </c>
      <c r="X27" s="196">
        <f t="shared" si="5"/>
        <v>40</v>
      </c>
      <c r="Y27" s="213">
        <f t="shared" si="19"/>
        <v>40</v>
      </c>
      <c r="Z27" s="163">
        <f>'14 days'!I28</f>
        <v>0</v>
      </c>
      <c r="AA27" s="154">
        <f>'14 days'!J28</f>
        <v>0</v>
      </c>
      <c r="AB27" s="163">
        <f>'14 days'!K28</f>
        <v>0</v>
      </c>
      <c r="AC27" s="154">
        <f>'14 days'!L28</f>
        <v>0</v>
      </c>
      <c r="AD27" s="213">
        <f>'14 days'!M28</f>
        <v>0</v>
      </c>
      <c r="AE27" s="154">
        <f>'14 days'!N28</f>
        <v>0</v>
      </c>
      <c r="AF27" s="163">
        <f t="shared" si="11"/>
        <v>0</v>
      </c>
      <c r="AG27" s="160">
        <f t="shared" si="12"/>
        <v>0</v>
      </c>
      <c r="AI27" s="319" t="s">
        <v>116</v>
      </c>
      <c r="AJ27" s="162">
        <f t="shared" si="13"/>
        <v>24</v>
      </c>
      <c r="AK27" s="163" t="str">
        <f>INDEX(Map!$W$2:$W$67, MATCH('Raw data'!AJ27, Map!$V$2:$V$67,0))</f>
        <v>T4</v>
      </c>
      <c r="AL27" s="165" t="str">
        <f>INDEX(Map!$X$2:$X$67, MATCH('Raw data'!AJ27, Map!$V$2:$V$67,0))</f>
        <v>R10</v>
      </c>
      <c r="AM27" s="319">
        <f t="shared" si="6"/>
        <v>14.290000000000001</v>
      </c>
      <c r="AN27" s="150">
        <f t="shared" si="14"/>
        <v>0.35725000000000001</v>
      </c>
      <c r="AO27" s="151">
        <f t="shared" si="15"/>
        <v>12.452000000000002</v>
      </c>
      <c r="AP27" s="150">
        <f t="shared" si="16"/>
        <v>0.31130000000000002</v>
      </c>
      <c r="AQ27" s="151">
        <f t="shared" si="17"/>
        <v>16.549999999999997</v>
      </c>
      <c r="AR27" s="149">
        <f t="shared" si="18"/>
        <v>0.41374999999999995</v>
      </c>
      <c r="AS27" s="150">
        <f t="shared" si="8"/>
        <v>1.1581525542337296</v>
      </c>
    </row>
    <row r="28" spans="1:45" x14ac:dyDescent="0.25">
      <c r="A28" s="5">
        <f>IF('1 day'!A29&lt;&gt;"",'1 day'!A29,"")</f>
        <v>25</v>
      </c>
      <c r="B28" s="5" t="str">
        <f>IF(A28&lt;&gt;"",INDEX(Map!$W$2:$W$67, MATCH('Raw data'!A28, Map!$V$2:$V$67,0)),"")</f>
        <v>T2</v>
      </c>
      <c r="C28" s="5" t="str">
        <f>IF(A28&lt;&gt;"",INDEX(Map!$X$2:$X$67, MATCH('Raw data'!A28, Map!$V$2:$V$67,0)),"")</f>
        <v>R4</v>
      </c>
      <c r="D28" s="7">
        <f>IF(A28&lt;&gt;"",'1 day'!B29,"")</f>
        <v>40</v>
      </c>
      <c r="E28" s="11">
        <f>IF(A28&lt;&gt;"",'1 day'!C29,"")</f>
        <v>1.825</v>
      </c>
      <c r="F28" s="12">
        <f>IF(A28&lt;&gt;"",'1 day'!C29/'1 day'!B29,"")</f>
        <v>4.5624999999999999E-2</v>
      </c>
      <c r="G28" s="18">
        <f>IF(A28&lt;&gt;"",'1 day'!E29*'1 day'!D29+'1 day'!F29,"")</f>
        <v>26.664999999999999</v>
      </c>
      <c r="H28" s="3">
        <f>IF(A28&lt;&gt;"",'1 day'!H29*'1 day'!G29+'1 day'!I29,"")</f>
        <v>96</v>
      </c>
      <c r="I28" s="19">
        <f>IF(A28&lt;&gt;"",'1 day'!K29*'1 day'!J29+'1 day'!L29,"")</f>
        <v>63</v>
      </c>
      <c r="K28" s="164" t="s">
        <v>87</v>
      </c>
      <c r="L28" s="162">
        <f>'14 days'!A29</f>
        <v>25</v>
      </c>
      <c r="M28" s="163">
        <f t="shared" si="9"/>
        <v>40</v>
      </c>
      <c r="N28" s="163" t="str">
        <f>INDEX(Map!$W$2:$W$67, MATCH('Raw data'!L28, Map!$V$2:$V$67,0))</f>
        <v>T2</v>
      </c>
      <c r="O28" s="165" t="str">
        <f>INDEX(Map!$X$2:$X$67, MATCH('Raw data'!L28, Map!$V$2:$V$67,0))</f>
        <v>R4</v>
      </c>
      <c r="P28" s="158">
        <f>'14 days'!C29-'14 days'!$C$3</f>
        <v>14.089999999999998</v>
      </c>
      <c r="Q28" s="154">
        <f t="shared" si="0"/>
        <v>0.35224999999999995</v>
      </c>
      <c r="R28" s="155">
        <f t="shared" si="1"/>
        <v>12.264999999999997</v>
      </c>
      <c r="S28" s="328">
        <f t="shared" si="2"/>
        <v>0.30662499999999993</v>
      </c>
      <c r="T28" s="336">
        <f>IF((IF(('14 days'!D29-'14 days'!$D$3)&lt;0, 0, ('14 days'!D29-'14 days'!$D$3)))+(IF(('14 days'!E29-'14 days'!$E$3)&lt;0, 0, ('14 days'!E29-'14 days'!$E$3)))+('14 days'!G29*'14 days'!F29)+('14 days'!H29)&lt;0, 0, (IF(('14 days'!D29-'14 days'!$D$3)&lt;0, 0, ('14 days'!D29-'14 days'!$D$3)))+(IF(('14 days'!E29-'14 days'!$E$3)&lt;0, 0, ('14 days'!E29-'14 days'!$E$3)))+('14 days'!G29*'14 days'!F29)+('14 days'!H29))</f>
        <v>10.765000000000001</v>
      </c>
      <c r="U28" s="158">
        <f t="shared" si="10"/>
        <v>15.899999999999999</v>
      </c>
      <c r="V28" s="154">
        <f t="shared" si="3"/>
        <v>0.39749999999999996</v>
      </c>
      <c r="W28" s="155">
        <f t="shared" si="4"/>
        <v>1.128459900638751</v>
      </c>
      <c r="X28" s="196">
        <f t="shared" si="5"/>
        <v>40</v>
      </c>
      <c r="Y28" s="213">
        <f t="shared" si="19"/>
        <v>40</v>
      </c>
      <c r="Z28" s="163">
        <f>'14 days'!I29</f>
        <v>0</v>
      </c>
      <c r="AA28" s="154">
        <f>'14 days'!J29</f>
        <v>0</v>
      </c>
      <c r="AB28" s="163">
        <f>'14 days'!K29</f>
        <v>0</v>
      </c>
      <c r="AC28" s="154">
        <f>'14 days'!L29</f>
        <v>0</v>
      </c>
      <c r="AD28" s="213">
        <f>'14 days'!M29</f>
        <v>0</v>
      </c>
      <c r="AE28" s="154">
        <f>'14 days'!N29</f>
        <v>0</v>
      </c>
      <c r="AF28" s="163">
        <f t="shared" si="11"/>
        <v>0</v>
      </c>
      <c r="AG28" s="160">
        <f t="shared" si="12"/>
        <v>0</v>
      </c>
      <c r="AI28" s="319" t="s">
        <v>116</v>
      </c>
      <c r="AJ28" s="162">
        <f t="shared" si="13"/>
        <v>25</v>
      </c>
      <c r="AK28" s="163" t="str">
        <f>INDEX(Map!$W$2:$W$67, MATCH('Raw data'!AJ28, Map!$V$2:$V$67,0))</f>
        <v>T2</v>
      </c>
      <c r="AL28" s="165" t="str">
        <f>INDEX(Map!$X$2:$X$67, MATCH('Raw data'!AJ28, Map!$V$2:$V$67,0))</f>
        <v>R4</v>
      </c>
      <c r="AM28" s="319">
        <f t="shared" si="6"/>
        <v>14.089999999999998</v>
      </c>
      <c r="AN28" s="150">
        <f t="shared" si="14"/>
        <v>0.35224999999999995</v>
      </c>
      <c r="AO28" s="151">
        <f t="shared" si="15"/>
        <v>12.264999999999997</v>
      </c>
      <c r="AP28" s="150">
        <f t="shared" si="16"/>
        <v>0.30662499999999993</v>
      </c>
      <c r="AQ28" s="151">
        <f t="shared" si="17"/>
        <v>15.899999999999999</v>
      </c>
      <c r="AR28" s="149">
        <f t="shared" si="18"/>
        <v>0.39749999999999996</v>
      </c>
      <c r="AS28" s="150">
        <f t="shared" si="8"/>
        <v>1.128459900638751</v>
      </c>
    </row>
    <row r="29" spans="1:45" x14ac:dyDescent="0.25">
      <c r="A29" s="5">
        <f>IF('1 day'!A30&lt;&gt;"",'1 day'!A30,"")</f>
        <v>26</v>
      </c>
      <c r="B29" s="5" t="str">
        <f>IF(A29&lt;&gt;"",INDEX(Map!$W$2:$W$67, MATCH('Raw data'!A29, Map!$V$2:$V$67,0)),"")</f>
        <v>T3</v>
      </c>
      <c r="C29" s="5" t="str">
        <f>IF(A29&lt;&gt;"",INDEX(Map!$X$2:$X$67, MATCH('Raw data'!A29, Map!$V$2:$V$67,0)),"")</f>
        <v>R4</v>
      </c>
      <c r="D29" s="7">
        <f>IF(A29&lt;&gt;"",'1 day'!B30,"")</f>
        <v>40</v>
      </c>
      <c r="E29" s="11">
        <f>IF(A29&lt;&gt;"",'1 day'!C30,"")</f>
        <v>1.82</v>
      </c>
      <c r="F29" s="12">
        <f>IF(A29&lt;&gt;"",'1 day'!C30/'1 day'!B30,"")</f>
        <v>4.5499999999999999E-2</v>
      </c>
      <c r="G29" s="18">
        <f>IF(A29&lt;&gt;"",'1 day'!E30*'1 day'!D30+'1 day'!F30,"")</f>
        <v>26.265000000000001</v>
      </c>
      <c r="H29" s="3">
        <f>IF(A29&lt;&gt;"",'1 day'!H30*'1 day'!G30+'1 day'!I30,"")</f>
        <v>96</v>
      </c>
      <c r="I29" s="19">
        <f>IF(A29&lt;&gt;"",'1 day'!K30*'1 day'!J30+'1 day'!L30,"")</f>
        <v>63</v>
      </c>
      <c r="K29" s="164" t="s">
        <v>87</v>
      </c>
      <c r="L29" s="162">
        <f>'14 days'!A30</f>
        <v>26</v>
      </c>
      <c r="M29" s="163">
        <f t="shared" si="9"/>
        <v>39</v>
      </c>
      <c r="N29" s="163" t="str">
        <f>INDEX(Map!$W$2:$W$67, MATCH('Raw data'!L29, Map!$V$2:$V$67,0))</f>
        <v>T3</v>
      </c>
      <c r="O29" s="165" t="str">
        <f>INDEX(Map!$X$2:$X$67, MATCH('Raw data'!L29, Map!$V$2:$V$67,0))</f>
        <v>R4</v>
      </c>
      <c r="P29" s="158">
        <f>'14 days'!C30-'14 days'!$C$3</f>
        <v>13.139999999999999</v>
      </c>
      <c r="Q29" s="154">
        <f t="shared" si="0"/>
        <v>0.33692307692307688</v>
      </c>
      <c r="R29" s="155">
        <f t="shared" si="1"/>
        <v>11.365499999999999</v>
      </c>
      <c r="S29" s="328">
        <f t="shared" si="2"/>
        <v>0.2914230769230769</v>
      </c>
      <c r="T29" s="336">
        <f>IF((IF(('14 days'!D30-'14 days'!$D$3)&lt;0, 0, ('14 days'!D30-'14 days'!$D$3)))+(IF(('14 days'!E30-'14 days'!$E$3)&lt;0, 0, ('14 days'!E30-'14 days'!$E$3)))+('14 days'!G30*'14 days'!F30)+('14 days'!H30)&lt;0, 0, (IF(('14 days'!D30-'14 days'!$D$3)&lt;0, 0, ('14 days'!D30-'14 days'!$D$3)))+(IF(('14 days'!E30-'14 days'!$E$3)&lt;0, 0, ('14 days'!E30-'14 days'!$E$3)))+('14 days'!G30*'14 days'!F30)+('14 days'!H30))</f>
        <v>10.215</v>
      </c>
      <c r="U29" s="158">
        <f t="shared" si="10"/>
        <v>16.05</v>
      </c>
      <c r="V29" s="154">
        <f t="shared" si="3"/>
        <v>0.41153846153846158</v>
      </c>
      <c r="W29" s="155">
        <f t="shared" si="4"/>
        <v>1.1986557132188203</v>
      </c>
      <c r="X29" s="196">
        <f t="shared" si="5"/>
        <v>40</v>
      </c>
      <c r="Y29" s="213">
        <f t="shared" si="19"/>
        <v>39</v>
      </c>
      <c r="Z29" s="163">
        <f>'14 days'!I30</f>
        <v>0</v>
      </c>
      <c r="AA29" s="154">
        <f>'14 days'!J30</f>
        <v>0</v>
      </c>
      <c r="AB29" s="163">
        <f>'14 days'!K30</f>
        <v>1</v>
      </c>
      <c r="AC29" s="154">
        <f>'14 days'!L30</f>
        <v>0.25</v>
      </c>
      <c r="AD29" s="213">
        <f>'14 days'!M30</f>
        <v>0</v>
      </c>
      <c r="AE29" s="154">
        <f>'14 days'!N30</f>
        <v>0</v>
      </c>
      <c r="AF29" s="163">
        <f t="shared" si="11"/>
        <v>1</v>
      </c>
      <c r="AG29" s="160">
        <f t="shared" si="12"/>
        <v>0.25</v>
      </c>
      <c r="AI29" s="319" t="s">
        <v>116</v>
      </c>
      <c r="AJ29" s="162">
        <f t="shared" si="13"/>
        <v>26</v>
      </c>
      <c r="AK29" s="163" t="str">
        <f>INDEX(Map!$W$2:$W$67, MATCH('Raw data'!AJ29, Map!$V$2:$V$67,0))</f>
        <v>T3</v>
      </c>
      <c r="AL29" s="165" t="str">
        <f>INDEX(Map!$X$2:$X$67, MATCH('Raw data'!AJ29, Map!$V$2:$V$67,0))</f>
        <v>R4</v>
      </c>
      <c r="AM29" s="319">
        <f t="shared" si="6"/>
        <v>13.139999999999999</v>
      </c>
      <c r="AN29" s="150">
        <f t="shared" si="14"/>
        <v>0.33692307692307688</v>
      </c>
      <c r="AO29" s="151">
        <f t="shared" si="15"/>
        <v>11.365499999999999</v>
      </c>
      <c r="AP29" s="150">
        <f t="shared" si="16"/>
        <v>0.2914230769230769</v>
      </c>
      <c r="AQ29" s="151">
        <f t="shared" si="17"/>
        <v>16.05</v>
      </c>
      <c r="AR29" s="149">
        <f t="shared" si="18"/>
        <v>0.41153846153846158</v>
      </c>
      <c r="AS29" s="150">
        <f t="shared" si="8"/>
        <v>1.1986557132188203</v>
      </c>
    </row>
    <row r="30" spans="1:45" x14ac:dyDescent="0.25">
      <c r="A30" s="5">
        <f>IF('1 day'!A31&lt;&gt;"",'1 day'!A31,"")</f>
        <v>27</v>
      </c>
      <c r="B30" s="5" t="str">
        <f>IF(A30&lt;&gt;"",INDEX(Map!$W$2:$W$67, MATCH('Raw data'!A30, Map!$V$2:$V$67,0)),"")</f>
        <v>T1</v>
      </c>
      <c r="C30" s="5" t="str">
        <f>IF(A30&lt;&gt;"",INDEX(Map!$X$2:$X$67, MATCH('Raw data'!A30, Map!$V$2:$V$67,0)),"")</f>
        <v>R4</v>
      </c>
      <c r="D30" s="7">
        <f>IF(A30&lt;&gt;"",'1 day'!B31,"")</f>
        <v>40</v>
      </c>
      <c r="E30" s="11">
        <f>IF(A30&lt;&gt;"",'1 day'!C31,"")</f>
        <v>1.8340000000000001</v>
      </c>
      <c r="F30" s="12">
        <f>IF(A30&lt;&gt;"",'1 day'!C31/'1 day'!B31,"")</f>
        <v>4.5850000000000002E-2</v>
      </c>
      <c r="G30" s="18">
        <f>IF(A30&lt;&gt;"",'1 day'!E31*'1 day'!D31+'1 day'!F31,"")</f>
        <v>26.565000000000001</v>
      </c>
      <c r="H30" s="3">
        <f>IF(A30&lt;&gt;"",'1 day'!H31*'1 day'!G31+'1 day'!I31,"")</f>
        <v>96</v>
      </c>
      <c r="I30" s="19">
        <f>IF(A30&lt;&gt;"",'1 day'!K31*'1 day'!J31+'1 day'!L31,"")</f>
        <v>63</v>
      </c>
      <c r="K30" s="164" t="s">
        <v>87</v>
      </c>
      <c r="L30" s="162">
        <f>'14 days'!A31</f>
        <v>27</v>
      </c>
      <c r="M30" s="163">
        <f t="shared" si="9"/>
        <v>40</v>
      </c>
      <c r="N30" s="163" t="str">
        <f>INDEX(Map!$W$2:$W$67, MATCH('Raw data'!L30, Map!$V$2:$V$67,0))</f>
        <v>T1</v>
      </c>
      <c r="O30" s="165" t="str">
        <f>INDEX(Map!$X$2:$X$67, MATCH('Raw data'!L30, Map!$V$2:$V$67,0))</f>
        <v>R4</v>
      </c>
      <c r="P30" s="158">
        <f>'14 days'!C31-'14 days'!$C$3</f>
        <v>14.19</v>
      </c>
      <c r="Q30" s="154">
        <f t="shared" si="0"/>
        <v>0.35475000000000001</v>
      </c>
      <c r="R30" s="155">
        <f t="shared" si="1"/>
        <v>12.356</v>
      </c>
      <c r="S30" s="328">
        <f t="shared" si="2"/>
        <v>0.30890000000000001</v>
      </c>
      <c r="T30" s="336">
        <f>IF((IF(('14 days'!D31-'14 days'!$D$3)&lt;0, 0, ('14 days'!D31-'14 days'!$D$3)))+(IF(('14 days'!E31-'14 days'!$E$3)&lt;0, 0, ('14 days'!E31-'14 days'!$E$3)))+('14 days'!G31*'14 days'!F31)+('14 days'!H31)&lt;0, 0, (IF(('14 days'!D31-'14 days'!$D$3)&lt;0, 0, ('14 days'!D31-'14 days'!$D$3)))+(IF(('14 days'!E31-'14 days'!$E$3)&lt;0, 0, ('14 days'!E31-'14 days'!$E$3)))+('14 days'!G31*'14 days'!F31)+('14 days'!H31))</f>
        <v>10.615</v>
      </c>
      <c r="U30" s="158">
        <f t="shared" si="10"/>
        <v>15.950000000000001</v>
      </c>
      <c r="V30" s="154">
        <f t="shared" si="3"/>
        <v>0.39875000000000005</v>
      </c>
      <c r="W30" s="155">
        <f t="shared" si="4"/>
        <v>1.1240310077519382</v>
      </c>
      <c r="X30" s="196">
        <f t="shared" si="5"/>
        <v>40</v>
      </c>
      <c r="Y30" s="213">
        <f t="shared" si="19"/>
        <v>40</v>
      </c>
      <c r="Z30" s="163">
        <f>'14 days'!I31</f>
        <v>0</v>
      </c>
      <c r="AA30" s="154">
        <f>'14 days'!J31</f>
        <v>0</v>
      </c>
      <c r="AB30" s="163">
        <f>'14 days'!K31</f>
        <v>0</v>
      </c>
      <c r="AC30" s="154">
        <f>'14 days'!L31</f>
        <v>0</v>
      </c>
      <c r="AD30" s="213">
        <f>'14 days'!M31</f>
        <v>0</v>
      </c>
      <c r="AE30" s="154">
        <f>'14 days'!N31</f>
        <v>0</v>
      </c>
      <c r="AF30" s="163">
        <f t="shared" si="11"/>
        <v>0</v>
      </c>
      <c r="AG30" s="160">
        <f t="shared" si="12"/>
        <v>0</v>
      </c>
      <c r="AI30" s="319" t="s">
        <v>116</v>
      </c>
      <c r="AJ30" s="162">
        <f t="shared" si="13"/>
        <v>27</v>
      </c>
      <c r="AK30" s="163" t="str">
        <f>INDEX(Map!$W$2:$W$67, MATCH('Raw data'!AJ30, Map!$V$2:$V$67,0))</f>
        <v>T1</v>
      </c>
      <c r="AL30" s="165" t="str">
        <f>INDEX(Map!$X$2:$X$67, MATCH('Raw data'!AJ30, Map!$V$2:$V$67,0))</f>
        <v>R4</v>
      </c>
      <c r="AM30" s="319">
        <f t="shared" si="6"/>
        <v>14.19</v>
      </c>
      <c r="AN30" s="150">
        <f t="shared" si="14"/>
        <v>0.35475000000000001</v>
      </c>
      <c r="AO30" s="151">
        <f t="shared" si="15"/>
        <v>12.356</v>
      </c>
      <c r="AP30" s="150">
        <f t="shared" si="16"/>
        <v>0.30890000000000001</v>
      </c>
      <c r="AQ30" s="151">
        <f t="shared" si="17"/>
        <v>15.950000000000001</v>
      </c>
      <c r="AR30" s="149">
        <f t="shared" si="18"/>
        <v>0.39875000000000005</v>
      </c>
      <c r="AS30" s="150">
        <f t="shared" si="8"/>
        <v>1.1240310077519382</v>
      </c>
    </row>
    <row r="31" spans="1:45" x14ac:dyDescent="0.25">
      <c r="A31" s="5">
        <f>IF('1 day'!A32&lt;&gt;"",'1 day'!A32,"")</f>
        <v>28</v>
      </c>
      <c r="B31" s="5" t="str">
        <f>IF(A31&lt;&gt;"",INDEX(Map!$W$2:$W$67, MATCH('Raw data'!A31, Map!$V$2:$V$67,0)),"")</f>
        <v>T5</v>
      </c>
      <c r="C31" s="5" t="str">
        <f>IF(A31&lt;&gt;"",INDEX(Map!$X$2:$X$67, MATCH('Raw data'!A31, Map!$V$2:$V$67,0)),"")</f>
        <v>R4</v>
      </c>
      <c r="D31" s="7">
        <f>IF(A31&lt;&gt;"",'1 day'!B32,"")</f>
        <v>40</v>
      </c>
      <c r="E31" s="11">
        <f>IF(A31&lt;&gt;"",'1 day'!C32,"")</f>
        <v>1.83</v>
      </c>
      <c r="F31" s="12">
        <f>IF(A31&lt;&gt;"",'1 day'!C32/'1 day'!B32,"")</f>
        <v>4.5749999999999999E-2</v>
      </c>
      <c r="G31" s="18">
        <f>IF(A31&lt;&gt;"",'1 day'!E32*'1 day'!D32+'1 day'!F32,"")</f>
        <v>26.315000000000001</v>
      </c>
      <c r="H31" s="3">
        <f>IF(A31&lt;&gt;"",'1 day'!H32*'1 day'!G32+'1 day'!I32,"")</f>
        <v>96</v>
      </c>
      <c r="I31" s="19">
        <f>IF(A31&lt;&gt;"",'1 day'!K32*'1 day'!J32+'1 day'!L32,"")</f>
        <v>63</v>
      </c>
      <c r="K31" s="164" t="s">
        <v>87</v>
      </c>
      <c r="L31" s="162">
        <f>'14 days'!A32</f>
        <v>28</v>
      </c>
      <c r="M31" s="163">
        <f t="shared" si="9"/>
        <v>40</v>
      </c>
      <c r="N31" s="163" t="str">
        <f>INDEX(Map!$W$2:$W$67, MATCH('Raw data'!L31, Map!$V$2:$V$67,0))</f>
        <v>T5</v>
      </c>
      <c r="O31" s="165" t="str">
        <f>INDEX(Map!$X$2:$X$67, MATCH('Raw data'!L31, Map!$V$2:$V$67,0))</f>
        <v>R4</v>
      </c>
      <c r="P31" s="158">
        <f>'14 days'!C32-'14 days'!$C$3</f>
        <v>14.139999999999999</v>
      </c>
      <c r="Q31" s="154">
        <f t="shared" si="0"/>
        <v>0.35349999999999998</v>
      </c>
      <c r="R31" s="155">
        <f t="shared" si="1"/>
        <v>12.309999999999999</v>
      </c>
      <c r="S31" s="328">
        <f t="shared" si="2"/>
        <v>0.30774999999999997</v>
      </c>
      <c r="T31" s="336">
        <f>IF((IF(('14 days'!D32-'14 days'!$D$3)&lt;0, 0, ('14 days'!D32-'14 days'!$D$3)))+(IF(('14 days'!E32-'14 days'!$E$3)&lt;0, 0, ('14 days'!E32-'14 days'!$E$3)))+('14 days'!G32*'14 days'!F32)+('14 days'!H32)&lt;0, 0, (IF(('14 days'!D32-'14 days'!$D$3)&lt;0, 0, ('14 days'!D32-'14 days'!$D$3)))+(IF(('14 days'!E32-'14 days'!$E$3)&lt;0, 0, ('14 days'!E32-'14 days'!$E$3)))+('14 days'!G32*'14 days'!F32)+('14 days'!H32))</f>
        <v>10.565000000000001</v>
      </c>
      <c r="U31" s="158">
        <f t="shared" si="10"/>
        <v>15.75</v>
      </c>
      <c r="V31" s="154">
        <f t="shared" si="3"/>
        <v>0.39374999999999999</v>
      </c>
      <c r="W31" s="155">
        <f t="shared" si="4"/>
        <v>1.113861386138614</v>
      </c>
      <c r="X31" s="196">
        <f t="shared" si="5"/>
        <v>40</v>
      </c>
      <c r="Y31" s="213">
        <f t="shared" si="19"/>
        <v>40</v>
      </c>
      <c r="Z31" s="163">
        <f>'14 days'!I32</f>
        <v>0</v>
      </c>
      <c r="AA31" s="154">
        <f>'14 days'!J32</f>
        <v>0</v>
      </c>
      <c r="AB31" s="163">
        <f>'14 days'!K32</f>
        <v>0</v>
      </c>
      <c r="AC31" s="154">
        <f>'14 days'!L32</f>
        <v>0</v>
      </c>
      <c r="AD31" s="213">
        <f>'14 days'!M32</f>
        <v>0</v>
      </c>
      <c r="AE31" s="154">
        <f>'14 days'!N32</f>
        <v>0</v>
      </c>
      <c r="AF31" s="163">
        <f t="shared" si="11"/>
        <v>0</v>
      </c>
      <c r="AG31" s="160">
        <f t="shared" si="12"/>
        <v>0</v>
      </c>
      <c r="AI31" s="319" t="s">
        <v>116</v>
      </c>
      <c r="AJ31" s="162">
        <f t="shared" si="13"/>
        <v>28</v>
      </c>
      <c r="AK31" s="163" t="str">
        <f>INDEX(Map!$W$2:$W$67, MATCH('Raw data'!AJ31, Map!$V$2:$V$67,0))</f>
        <v>T5</v>
      </c>
      <c r="AL31" s="165" t="str">
        <f>INDEX(Map!$X$2:$X$67, MATCH('Raw data'!AJ31, Map!$V$2:$V$67,0))</f>
        <v>R4</v>
      </c>
      <c r="AM31" s="319">
        <f t="shared" si="6"/>
        <v>14.139999999999999</v>
      </c>
      <c r="AN31" s="150">
        <f t="shared" si="14"/>
        <v>0.35349999999999998</v>
      </c>
      <c r="AO31" s="151">
        <f t="shared" si="15"/>
        <v>12.309999999999999</v>
      </c>
      <c r="AP31" s="150">
        <f t="shared" si="16"/>
        <v>0.30774999999999997</v>
      </c>
      <c r="AQ31" s="151">
        <f t="shared" si="17"/>
        <v>15.75</v>
      </c>
      <c r="AR31" s="149">
        <f t="shared" si="18"/>
        <v>0.39374999999999999</v>
      </c>
      <c r="AS31" s="150">
        <f t="shared" si="8"/>
        <v>1.113861386138614</v>
      </c>
    </row>
    <row r="32" spans="1:45" x14ac:dyDescent="0.25">
      <c r="A32" s="5">
        <f>IF('1 day'!A33&lt;&gt;"",'1 day'!A33,"")</f>
        <v>29</v>
      </c>
      <c r="B32" s="5" t="str">
        <f>IF(A32&lt;&gt;"",INDEX(Map!$W$2:$W$67, MATCH('Raw data'!A32, Map!$V$2:$V$67,0)),"")</f>
        <v>T6</v>
      </c>
      <c r="C32" s="5" t="str">
        <f>IF(A32&lt;&gt;"",INDEX(Map!$X$2:$X$67, MATCH('Raw data'!A32, Map!$V$2:$V$67,0)),"")</f>
        <v>R4</v>
      </c>
      <c r="D32" s="7">
        <f>IF(A32&lt;&gt;"",'1 day'!B33,"")</f>
        <v>40</v>
      </c>
      <c r="E32" s="11">
        <f>IF(A32&lt;&gt;"",'1 day'!C33,"")</f>
        <v>1.83</v>
      </c>
      <c r="F32" s="12">
        <f>IF(A32&lt;&gt;"",'1 day'!C33/'1 day'!B33,"")</f>
        <v>4.5749999999999999E-2</v>
      </c>
      <c r="G32" s="18">
        <f>IF(A32&lt;&gt;"",'1 day'!E33*'1 day'!D33+'1 day'!F33,"")</f>
        <v>26.465</v>
      </c>
      <c r="H32" s="3">
        <f>IF(A32&lt;&gt;"",'1 day'!H33*'1 day'!G33+'1 day'!I33,"")</f>
        <v>96</v>
      </c>
      <c r="I32" s="19">
        <f>IF(A32&lt;&gt;"",'1 day'!K33*'1 day'!J33+'1 day'!L33,"")</f>
        <v>63</v>
      </c>
      <c r="K32" s="164" t="s">
        <v>87</v>
      </c>
      <c r="L32" s="162">
        <f>'14 days'!A33</f>
        <v>29</v>
      </c>
      <c r="M32" s="163">
        <f t="shared" si="9"/>
        <v>40</v>
      </c>
      <c r="N32" s="163" t="str">
        <f>INDEX(Map!$W$2:$W$67, MATCH('Raw data'!L32, Map!$V$2:$V$67,0))</f>
        <v>T6</v>
      </c>
      <c r="O32" s="165" t="str">
        <f>INDEX(Map!$X$2:$X$67, MATCH('Raw data'!L32, Map!$V$2:$V$67,0))</f>
        <v>R4</v>
      </c>
      <c r="P32" s="158">
        <f>'14 days'!C33-'14 days'!$C$3</f>
        <v>13.889999999999999</v>
      </c>
      <c r="Q32" s="154">
        <f t="shared" si="0"/>
        <v>0.34724999999999995</v>
      </c>
      <c r="R32" s="155">
        <f t="shared" si="1"/>
        <v>12.059999999999997</v>
      </c>
      <c r="S32" s="328">
        <f t="shared" si="2"/>
        <v>0.30149999999999993</v>
      </c>
      <c r="T32" s="336">
        <f>IF((IF(('14 days'!D33-'14 days'!$D$3)&lt;0, 0, ('14 days'!D33-'14 days'!$D$3)))+(IF(('14 days'!E33-'14 days'!$E$3)&lt;0, 0, ('14 days'!E33-'14 days'!$E$3)))+('14 days'!G33*'14 days'!F33)+('14 days'!H33)&lt;0, 0, (IF(('14 days'!D33-'14 days'!$D$3)&lt;0, 0, ('14 days'!D33-'14 days'!$D$3)))+(IF(('14 days'!E33-'14 days'!$E$3)&lt;0, 0, ('14 days'!E33-'14 days'!$E$3)))+('14 days'!G33*'14 days'!F33)+('14 days'!H33))</f>
        <v>10.965</v>
      </c>
      <c r="U32" s="158">
        <f t="shared" si="10"/>
        <v>15.5</v>
      </c>
      <c r="V32" s="154">
        <f t="shared" si="3"/>
        <v>0.38750000000000001</v>
      </c>
      <c r="W32" s="155">
        <f t="shared" si="4"/>
        <v>1.1159107271418287</v>
      </c>
      <c r="X32" s="196">
        <f t="shared" si="5"/>
        <v>40</v>
      </c>
      <c r="Y32" s="213">
        <f t="shared" si="19"/>
        <v>40</v>
      </c>
      <c r="Z32" s="163">
        <f>'14 days'!I33</f>
        <v>0</v>
      </c>
      <c r="AA32" s="154">
        <f>'14 days'!J33</f>
        <v>0</v>
      </c>
      <c r="AB32" s="163">
        <f>'14 days'!K33</f>
        <v>0</v>
      </c>
      <c r="AC32" s="154">
        <f>'14 days'!L33</f>
        <v>0</v>
      </c>
      <c r="AD32" s="213">
        <f>'14 days'!M33</f>
        <v>0</v>
      </c>
      <c r="AE32" s="154">
        <f>'14 days'!N33</f>
        <v>0</v>
      </c>
      <c r="AF32" s="163">
        <f t="shared" si="11"/>
        <v>0</v>
      </c>
      <c r="AG32" s="160">
        <f t="shared" si="12"/>
        <v>0</v>
      </c>
      <c r="AI32" s="319" t="s">
        <v>116</v>
      </c>
      <c r="AJ32" s="162">
        <f t="shared" si="13"/>
        <v>29</v>
      </c>
      <c r="AK32" s="163" t="str">
        <f>INDEX(Map!$W$2:$W$67, MATCH('Raw data'!AJ32, Map!$V$2:$V$67,0))</f>
        <v>T6</v>
      </c>
      <c r="AL32" s="165" t="str">
        <f>INDEX(Map!$X$2:$X$67, MATCH('Raw data'!AJ32, Map!$V$2:$V$67,0))</f>
        <v>R4</v>
      </c>
      <c r="AM32" s="319">
        <f t="shared" si="6"/>
        <v>13.889999999999999</v>
      </c>
      <c r="AN32" s="150">
        <f t="shared" si="14"/>
        <v>0.34724999999999995</v>
      </c>
      <c r="AO32" s="151">
        <f t="shared" si="15"/>
        <v>12.059999999999997</v>
      </c>
      <c r="AP32" s="150">
        <f t="shared" si="16"/>
        <v>0.30149999999999993</v>
      </c>
      <c r="AQ32" s="151">
        <f t="shared" si="17"/>
        <v>15.5</v>
      </c>
      <c r="AR32" s="149">
        <f t="shared" si="18"/>
        <v>0.38750000000000001</v>
      </c>
      <c r="AS32" s="150">
        <f t="shared" si="8"/>
        <v>1.1159107271418287</v>
      </c>
    </row>
    <row r="33" spans="1:45" x14ac:dyDescent="0.25">
      <c r="A33" s="5">
        <f>IF('1 day'!A34&lt;&gt;"",'1 day'!A34,"")</f>
        <v>30</v>
      </c>
      <c r="B33" s="5" t="str">
        <f>IF(A33&lt;&gt;"",INDEX(Map!$W$2:$W$67, MATCH('Raw data'!A33, Map!$V$2:$V$67,0)),"")</f>
        <v>T4</v>
      </c>
      <c r="C33" s="5" t="str">
        <f>IF(A33&lt;&gt;"",INDEX(Map!$X$2:$X$67, MATCH('Raw data'!A33, Map!$V$2:$V$67,0)),"")</f>
        <v>R4</v>
      </c>
      <c r="D33" s="7">
        <f>IF(A33&lt;&gt;"",'1 day'!B34,"")</f>
        <v>40</v>
      </c>
      <c r="E33" s="11">
        <f>IF(A33&lt;&gt;"",'1 day'!C34,"")</f>
        <v>1.8220000000000001</v>
      </c>
      <c r="F33" s="12">
        <f>IF(A33&lt;&gt;"",'1 day'!C34/'1 day'!B34,"")</f>
        <v>4.555E-2</v>
      </c>
      <c r="G33" s="18">
        <f>IF(A33&lt;&gt;"",'1 day'!E34*'1 day'!D34+'1 day'!F34,"")</f>
        <v>26.065000000000001</v>
      </c>
      <c r="H33" s="3">
        <f>IF(A33&lt;&gt;"",'1 day'!H34*'1 day'!G34+'1 day'!I34,"")</f>
        <v>96</v>
      </c>
      <c r="I33" s="19">
        <f>IF(A33&lt;&gt;"",'1 day'!K34*'1 day'!J34+'1 day'!L34,"")</f>
        <v>63</v>
      </c>
      <c r="K33" s="164" t="s">
        <v>87</v>
      </c>
      <c r="L33" s="162">
        <f>'14 days'!A34</f>
        <v>30</v>
      </c>
      <c r="M33" s="163">
        <f t="shared" si="9"/>
        <v>39</v>
      </c>
      <c r="N33" s="163" t="str">
        <f>INDEX(Map!$W$2:$W$67, MATCH('Raw data'!L33, Map!$V$2:$V$67,0))</f>
        <v>T4</v>
      </c>
      <c r="O33" s="165" t="str">
        <f>INDEX(Map!$X$2:$X$67, MATCH('Raw data'!L33, Map!$V$2:$V$67,0))</f>
        <v>R4</v>
      </c>
      <c r="P33" s="158">
        <f>'14 days'!C34-'14 days'!$C$3</f>
        <v>13.94</v>
      </c>
      <c r="Q33" s="154">
        <f t="shared" si="0"/>
        <v>0.35743589743589743</v>
      </c>
      <c r="R33" s="155">
        <f t="shared" si="1"/>
        <v>12.163550000000001</v>
      </c>
      <c r="S33" s="328">
        <f t="shared" si="2"/>
        <v>0.31188589743589745</v>
      </c>
      <c r="T33" s="336">
        <f>IF((IF(('14 days'!D34-'14 days'!$D$3)&lt;0, 0, ('14 days'!D34-'14 days'!$D$3)))+(IF(('14 days'!E34-'14 days'!$E$3)&lt;0, 0, ('14 days'!E34-'14 days'!$E$3)))+('14 days'!G34*'14 days'!F34)+('14 days'!H34)&lt;0, 0, (IF(('14 days'!D34-'14 days'!$D$3)&lt;0, 0, ('14 days'!D34-'14 days'!$D$3)))+(IF(('14 days'!E34-'14 days'!$E$3)&lt;0, 0, ('14 days'!E34-'14 days'!$E$3)))+('14 days'!G34*'14 days'!F34)+('14 days'!H34))</f>
        <v>9.6649999999999991</v>
      </c>
      <c r="U33" s="158">
        <f t="shared" si="10"/>
        <v>16.400000000000002</v>
      </c>
      <c r="V33" s="154">
        <f t="shared" si="3"/>
        <v>0.42051282051282057</v>
      </c>
      <c r="W33" s="155">
        <f t="shared" si="4"/>
        <v>1.1557434813248768</v>
      </c>
      <c r="X33" s="196">
        <f t="shared" si="5"/>
        <v>40</v>
      </c>
      <c r="Y33" s="213">
        <f t="shared" si="19"/>
        <v>39</v>
      </c>
      <c r="Z33" s="163">
        <f>'14 days'!I34</f>
        <v>0</v>
      </c>
      <c r="AA33" s="154">
        <f>'14 days'!J34</f>
        <v>0</v>
      </c>
      <c r="AB33" s="163">
        <f>'14 days'!K34</f>
        <v>1</v>
      </c>
      <c r="AC33" s="154">
        <f>'14 days'!L34</f>
        <v>0.25</v>
      </c>
      <c r="AD33" s="213">
        <f>'14 days'!M34</f>
        <v>0</v>
      </c>
      <c r="AE33" s="154">
        <f>'14 days'!N34</f>
        <v>0</v>
      </c>
      <c r="AF33" s="163">
        <f t="shared" si="11"/>
        <v>1</v>
      </c>
      <c r="AG33" s="160">
        <f t="shared" si="12"/>
        <v>0.25</v>
      </c>
      <c r="AI33" s="319" t="s">
        <v>116</v>
      </c>
      <c r="AJ33" s="162">
        <f t="shared" si="13"/>
        <v>30</v>
      </c>
      <c r="AK33" s="163" t="str">
        <f>INDEX(Map!$W$2:$W$67, MATCH('Raw data'!AJ33, Map!$V$2:$V$67,0))</f>
        <v>T4</v>
      </c>
      <c r="AL33" s="165" t="str">
        <f>INDEX(Map!$X$2:$X$67, MATCH('Raw data'!AJ33, Map!$V$2:$V$67,0))</f>
        <v>R4</v>
      </c>
      <c r="AM33" s="319">
        <f t="shared" si="6"/>
        <v>13.94</v>
      </c>
      <c r="AN33" s="150">
        <f t="shared" si="14"/>
        <v>0.35743589743589743</v>
      </c>
      <c r="AO33" s="151">
        <f t="shared" si="15"/>
        <v>12.163550000000001</v>
      </c>
      <c r="AP33" s="150">
        <f t="shared" si="16"/>
        <v>0.31188589743589745</v>
      </c>
      <c r="AQ33" s="151">
        <f t="shared" si="17"/>
        <v>16.400000000000002</v>
      </c>
      <c r="AR33" s="149">
        <f t="shared" si="18"/>
        <v>0.42051282051282057</v>
      </c>
      <c r="AS33" s="150">
        <f t="shared" si="8"/>
        <v>1.1557434813248768</v>
      </c>
    </row>
    <row r="34" spans="1:45" x14ac:dyDescent="0.25">
      <c r="A34" s="5">
        <f>IF('1 day'!A35&lt;&gt;"",'1 day'!A35,"")</f>
        <v>31</v>
      </c>
      <c r="B34" s="5" t="str">
        <f>IF(A34&lt;&gt;"",INDEX(Map!$W$2:$W$67, MATCH('Raw data'!A34, Map!$V$2:$V$67,0)),"")</f>
        <v>T1</v>
      </c>
      <c r="C34" s="5" t="str">
        <f>IF(A34&lt;&gt;"",INDEX(Map!$X$2:$X$67, MATCH('Raw data'!A34, Map!$V$2:$V$67,0)),"")</f>
        <v>R5</v>
      </c>
      <c r="D34" s="7">
        <f>IF(A34&lt;&gt;"",'1 day'!B35,"")</f>
        <v>40</v>
      </c>
      <c r="E34" s="11">
        <f>IF(A34&lt;&gt;"",'1 day'!C35,"")</f>
        <v>1.821</v>
      </c>
      <c r="F34" s="12">
        <f>IF(A34&lt;&gt;"",'1 day'!C35/'1 day'!B35,"")</f>
        <v>4.5524999999999996E-2</v>
      </c>
      <c r="G34" s="18">
        <f>IF(A34&lt;&gt;"",'1 day'!E35*'1 day'!D35+'1 day'!F35,"")</f>
        <v>26.365000000000002</v>
      </c>
      <c r="H34" s="3">
        <f>IF(A34&lt;&gt;"",'1 day'!H35*'1 day'!G35+'1 day'!I35,"")</f>
        <v>96</v>
      </c>
      <c r="I34" s="19">
        <f>IF(A34&lt;&gt;"",'1 day'!K35*'1 day'!J35+'1 day'!L35,"")</f>
        <v>63</v>
      </c>
      <c r="K34" s="164" t="s">
        <v>87</v>
      </c>
      <c r="L34" s="162">
        <f>'14 days'!A35</f>
        <v>31</v>
      </c>
      <c r="M34" s="163">
        <f t="shared" si="9"/>
        <v>39</v>
      </c>
      <c r="N34" s="163" t="str">
        <f>INDEX(Map!$W$2:$W$67, MATCH('Raw data'!L34, Map!$V$2:$V$67,0))</f>
        <v>T1</v>
      </c>
      <c r="O34" s="165" t="str">
        <f>INDEX(Map!$X$2:$X$67, MATCH('Raw data'!L34, Map!$V$2:$V$67,0))</f>
        <v>R5</v>
      </c>
      <c r="P34" s="158">
        <f>'14 days'!C35-'14 days'!$C$3</f>
        <v>12.79</v>
      </c>
      <c r="Q34" s="154">
        <f t="shared" si="0"/>
        <v>0.32794871794871794</v>
      </c>
      <c r="R34" s="155">
        <f t="shared" si="1"/>
        <v>11.014525000000001</v>
      </c>
      <c r="S34" s="328">
        <f t="shared" si="2"/>
        <v>0.28242371794871796</v>
      </c>
      <c r="T34" s="336">
        <f>IF((IF(('14 days'!D35-'14 days'!$D$3)&lt;0, 0, ('14 days'!D35-'14 days'!$D$3)))+(IF(('14 days'!E35-'14 days'!$E$3)&lt;0, 0, ('14 days'!E35-'14 days'!$E$3)))+('14 days'!G35*'14 days'!F35)+('14 days'!H35)&lt;0, 0, (IF(('14 days'!D35-'14 days'!$D$3)&lt;0, 0, ('14 days'!D35-'14 days'!$D$3)))+(IF(('14 days'!E35-'14 days'!$E$3)&lt;0, 0, ('14 days'!E35-'14 days'!$E$3)))+('14 days'!G35*'14 days'!F35)+('14 days'!H35))</f>
        <v>11.715</v>
      </c>
      <c r="U34" s="158">
        <f t="shared" si="10"/>
        <v>14.650000000000002</v>
      </c>
      <c r="V34" s="154">
        <f t="shared" si="3"/>
        <v>0.37564102564102569</v>
      </c>
      <c r="W34" s="155">
        <f t="shared" si="4"/>
        <v>1.13954573739888</v>
      </c>
      <c r="X34" s="196">
        <f t="shared" si="5"/>
        <v>40</v>
      </c>
      <c r="Y34" s="213">
        <f t="shared" si="19"/>
        <v>39</v>
      </c>
      <c r="Z34" s="163">
        <f>'14 days'!I35</f>
        <v>1</v>
      </c>
      <c r="AA34" s="154">
        <f>'14 days'!J35</f>
        <v>6.6000000000000003E-2</v>
      </c>
      <c r="AB34" s="163">
        <f>'14 days'!K35</f>
        <v>0</v>
      </c>
      <c r="AC34" s="154">
        <f>'14 days'!L35</f>
        <v>0</v>
      </c>
      <c r="AD34" s="213">
        <f>'14 days'!M35</f>
        <v>0</v>
      </c>
      <c r="AE34" s="154">
        <f>'14 days'!N35</f>
        <v>0</v>
      </c>
      <c r="AF34" s="163">
        <f t="shared" si="11"/>
        <v>1</v>
      </c>
      <c r="AG34" s="160">
        <f t="shared" si="12"/>
        <v>6.6000000000000003E-2</v>
      </c>
      <c r="AI34" s="319" t="s">
        <v>116</v>
      </c>
      <c r="AJ34" s="162">
        <f t="shared" si="13"/>
        <v>31</v>
      </c>
      <c r="AK34" s="163" t="str">
        <f>INDEX(Map!$W$2:$W$67, MATCH('Raw data'!AJ34, Map!$V$2:$V$67,0))</f>
        <v>T1</v>
      </c>
      <c r="AL34" s="165" t="str">
        <f>INDEX(Map!$X$2:$X$67, MATCH('Raw data'!AJ34, Map!$V$2:$V$67,0))</f>
        <v>R5</v>
      </c>
      <c r="AM34" s="319">
        <f t="shared" si="6"/>
        <v>12.79</v>
      </c>
      <c r="AN34" s="150">
        <f t="shared" si="14"/>
        <v>0.32794871794871794</v>
      </c>
      <c r="AO34" s="151">
        <f t="shared" si="15"/>
        <v>11.014525000000001</v>
      </c>
      <c r="AP34" s="150">
        <f t="shared" si="16"/>
        <v>0.28242371794871796</v>
      </c>
      <c r="AQ34" s="151">
        <f t="shared" si="17"/>
        <v>14.650000000000002</v>
      </c>
      <c r="AR34" s="149">
        <f t="shared" si="18"/>
        <v>0.37564102564102569</v>
      </c>
      <c r="AS34" s="150">
        <f t="shared" si="8"/>
        <v>1.13954573739888</v>
      </c>
    </row>
    <row r="35" spans="1:45" x14ac:dyDescent="0.25">
      <c r="A35" s="5">
        <f>IF('1 day'!A36&lt;&gt;"",'1 day'!A36,"")</f>
        <v>32</v>
      </c>
      <c r="B35" s="5" t="str">
        <f>IF(A35&lt;&gt;"",INDEX(Map!$W$2:$W$67, MATCH('Raw data'!A35, Map!$V$2:$V$67,0)),"")</f>
        <v>T6</v>
      </c>
      <c r="C35" s="5" t="str">
        <f>IF(A35&lt;&gt;"",INDEX(Map!$X$2:$X$67, MATCH('Raw data'!A35, Map!$V$2:$V$67,0)),"")</f>
        <v>R5</v>
      </c>
      <c r="D35" s="7">
        <f>IF(A35&lt;&gt;"",'1 day'!B36,"")</f>
        <v>40</v>
      </c>
      <c r="E35" s="11">
        <f>IF(A35&lt;&gt;"",'1 day'!C36,"")</f>
        <v>1.821</v>
      </c>
      <c r="F35" s="12">
        <f>IF(A35&lt;&gt;"",'1 day'!C36/'1 day'!B36,"")</f>
        <v>4.5524999999999996E-2</v>
      </c>
      <c r="G35" s="18">
        <f>IF(A35&lt;&gt;"",'1 day'!E36*'1 day'!D36+'1 day'!F36,"")</f>
        <v>26.265000000000001</v>
      </c>
      <c r="H35" s="3">
        <f>IF(A35&lt;&gt;"",'1 day'!H36*'1 day'!G36+'1 day'!I36,"")</f>
        <v>96</v>
      </c>
      <c r="I35" s="19">
        <f>IF(A35&lt;&gt;"",'1 day'!K36*'1 day'!J36+'1 day'!L36,"")</f>
        <v>63</v>
      </c>
      <c r="K35" s="164" t="s">
        <v>87</v>
      </c>
      <c r="L35" s="162">
        <f>'14 days'!A36</f>
        <v>32</v>
      </c>
      <c r="M35" s="163">
        <f t="shared" si="9"/>
        <v>40</v>
      </c>
      <c r="N35" s="163" t="str">
        <f>INDEX(Map!$W$2:$W$67, MATCH('Raw data'!L35, Map!$V$2:$V$67,0))</f>
        <v>T6</v>
      </c>
      <c r="O35" s="165" t="str">
        <f>INDEX(Map!$X$2:$X$67, MATCH('Raw data'!L35, Map!$V$2:$V$67,0))</f>
        <v>R5</v>
      </c>
      <c r="P35" s="158">
        <f>'14 days'!C36-'14 days'!$C$3</f>
        <v>13.34</v>
      </c>
      <c r="Q35" s="154">
        <f t="shared" si="0"/>
        <v>0.33350000000000002</v>
      </c>
      <c r="R35" s="155">
        <f t="shared" si="1"/>
        <v>11.519000000000002</v>
      </c>
      <c r="S35" s="328">
        <f t="shared" si="2"/>
        <v>0.28797500000000004</v>
      </c>
      <c r="T35" s="336">
        <f>IF((IF(('14 days'!D36-'14 days'!$D$3)&lt;0, 0, ('14 days'!D36-'14 days'!$D$3)))+(IF(('14 days'!E36-'14 days'!$E$3)&lt;0, 0, ('14 days'!E36-'14 days'!$E$3)))+('14 days'!G36*'14 days'!F36)+('14 days'!H36)&lt;0, 0, (IF(('14 days'!D36-'14 days'!$D$3)&lt;0, 0, ('14 days'!D36-'14 days'!$D$3)))+(IF(('14 days'!E36-'14 days'!$E$3)&lt;0, 0, ('14 days'!E36-'14 days'!$E$3)))+('14 days'!G36*'14 days'!F36)+('14 days'!H36))</f>
        <v>11.265000000000001</v>
      </c>
      <c r="U35" s="158">
        <f t="shared" si="10"/>
        <v>15</v>
      </c>
      <c r="V35" s="154">
        <f t="shared" si="3"/>
        <v>0.375</v>
      </c>
      <c r="W35" s="155">
        <f t="shared" si="4"/>
        <v>1.1244377811094453</v>
      </c>
      <c r="X35" s="196">
        <f t="shared" si="5"/>
        <v>40</v>
      </c>
      <c r="Y35" s="213">
        <f t="shared" si="19"/>
        <v>40</v>
      </c>
      <c r="Z35" s="163">
        <f>'14 days'!I36</f>
        <v>0</v>
      </c>
      <c r="AA35" s="154">
        <f>'14 days'!J36</f>
        <v>0</v>
      </c>
      <c r="AB35" s="163">
        <f>'14 days'!K36</f>
        <v>0</v>
      </c>
      <c r="AC35" s="154">
        <f>'14 days'!L36</f>
        <v>0</v>
      </c>
      <c r="AD35" s="213">
        <f>'14 days'!M36</f>
        <v>0</v>
      </c>
      <c r="AE35" s="154">
        <f>'14 days'!N36</f>
        <v>0</v>
      </c>
      <c r="AF35" s="163">
        <f t="shared" si="11"/>
        <v>0</v>
      </c>
      <c r="AG35" s="160">
        <f t="shared" si="12"/>
        <v>0</v>
      </c>
      <c r="AI35" s="319" t="s">
        <v>116</v>
      </c>
      <c r="AJ35" s="162">
        <f t="shared" si="13"/>
        <v>32</v>
      </c>
      <c r="AK35" s="163" t="str">
        <f>INDEX(Map!$W$2:$W$67, MATCH('Raw data'!AJ35, Map!$V$2:$V$67,0))</f>
        <v>T6</v>
      </c>
      <c r="AL35" s="165" t="str">
        <f>INDEX(Map!$X$2:$X$67, MATCH('Raw data'!AJ35, Map!$V$2:$V$67,0))</f>
        <v>R5</v>
      </c>
      <c r="AM35" s="319">
        <f t="shared" si="6"/>
        <v>13.34</v>
      </c>
      <c r="AN35" s="150">
        <f t="shared" si="14"/>
        <v>0.33350000000000002</v>
      </c>
      <c r="AO35" s="151">
        <f t="shared" si="15"/>
        <v>11.519000000000002</v>
      </c>
      <c r="AP35" s="150">
        <f t="shared" si="16"/>
        <v>0.28797500000000004</v>
      </c>
      <c r="AQ35" s="151">
        <f t="shared" si="17"/>
        <v>15</v>
      </c>
      <c r="AR35" s="149">
        <f t="shared" si="18"/>
        <v>0.375</v>
      </c>
      <c r="AS35" s="150">
        <f t="shared" si="8"/>
        <v>1.1244377811094453</v>
      </c>
    </row>
    <row r="36" spans="1:45" x14ac:dyDescent="0.25">
      <c r="A36" s="5">
        <f>IF('1 day'!A37&lt;&gt;"",'1 day'!A37,"")</f>
        <v>33</v>
      </c>
      <c r="B36" s="5" t="str">
        <f>IF(A36&lt;&gt;"",INDEX(Map!$W$2:$W$67, MATCH('Raw data'!A36, Map!$V$2:$V$67,0)),"")</f>
        <v>T3</v>
      </c>
      <c r="C36" s="5" t="str">
        <f>IF(A36&lt;&gt;"",INDEX(Map!$X$2:$X$67, MATCH('Raw data'!A36, Map!$V$2:$V$67,0)),"")</f>
        <v>R5</v>
      </c>
      <c r="D36" s="7">
        <f>IF(A36&lt;&gt;"",'1 day'!B37,"")</f>
        <v>40</v>
      </c>
      <c r="E36" s="11">
        <f>IF(A36&lt;&gt;"",'1 day'!C37,"")</f>
        <v>1.8260000000000001</v>
      </c>
      <c r="F36" s="12">
        <f>IF(A36&lt;&gt;"",'1 day'!C37/'1 day'!B37,"")</f>
        <v>4.5650000000000003E-2</v>
      </c>
      <c r="G36" s="18">
        <f>IF(A36&lt;&gt;"",'1 day'!E37*'1 day'!D37+'1 day'!F37,"")</f>
        <v>26.315000000000001</v>
      </c>
      <c r="H36" s="3">
        <f>IF(A36&lt;&gt;"",'1 day'!H37*'1 day'!G37+'1 day'!I37,"")</f>
        <v>96</v>
      </c>
      <c r="I36" s="19">
        <f>IF(A36&lt;&gt;"",'1 day'!K37*'1 day'!J37+'1 day'!L37,"")</f>
        <v>63</v>
      </c>
      <c r="K36" s="164" t="s">
        <v>87</v>
      </c>
      <c r="L36" s="162">
        <f>'14 days'!A37</f>
        <v>33</v>
      </c>
      <c r="M36" s="163">
        <f t="shared" si="9"/>
        <v>40</v>
      </c>
      <c r="N36" s="163" t="str">
        <f>INDEX(Map!$W$2:$W$67, MATCH('Raw data'!L36, Map!$V$2:$V$67,0))</f>
        <v>T3</v>
      </c>
      <c r="O36" s="165" t="str">
        <f>INDEX(Map!$X$2:$X$67, MATCH('Raw data'!L36, Map!$V$2:$V$67,0))</f>
        <v>R5</v>
      </c>
      <c r="P36" s="158">
        <f>'14 days'!C37-'14 days'!$C$3</f>
        <v>13.639999999999999</v>
      </c>
      <c r="Q36" s="154">
        <f t="shared" si="0"/>
        <v>0.34099999999999997</v>
      </c>
      <c r="R36" s="155">
        <f t="shared" si="1"/>
        <v>11.813999999999998</v>
      </c>
      <c r="S36" s="328">
        <f t="shared" ref="S36:S69" si="20">Q36-F36</f>
        <v>0.29534999999999995</v>
      </c>
      <c r="T36" s="336">
        <f>IF((IF(('14 days'!D37-'14 days'!$D$3)&lt;0, 0, ('14 days'!D37-'14 days'!$D$3)))+(IF(('14 days'!E37-'14 days'!$E$3)&lt;0, 0, ('14 days'!E37-'14 days'!$E$3)))+('14 days'!G37*'14 days'!F37)+('14 days'!H37)&lt;0, 0, (IF(('14 days'!D37-'14 days'!$D$3)&lt;0, 0, ('14 days'!D37-'14 days'!$D$3)))+(IF(('14 days'!E37-'14 days'!$E$3)&lt;0, 0, ('14 days'!E37-'14 days'!$E$3)))+('14 days'!G37*'14 days'!F37)+('14 days'!H37))</f>
        <v>10.765000000000001</v>
      </c>
      <c r="U36" s="158">
        <f t="shared" ref="U36:U67" si="21">G36-T36</f>
        <v>15.55</v>
      </c>
      <c r="V36" s="154">
        <f t="shared" si="3"/>
        <v>0.38875000000000004</v>
      </c>
      <c r="W36" s="155">
        <f t="shared" ref="W36:W69" si="22">U36/(P36+(SUM(AG36)))</f>
        <v>1.1400293255131966</v>
      </c>
      <c r="X36" s="196">
        <f t="shared" ref="X36:X69" si="23">D36</f>
        <v>40</v>
      </c>
      <c r="Y36" s="213">
        <f t="shared" si="19"/>
        <v>40</v>
      </c>
      <c r="Z36" s="163">
        <f>'14 days'!I37</f>
        <v>0</v>
      </c>
      <c r="AA36" s="154">
        <f>'14 days'!J37</f>
        <v>0</v>
      </c>
      <c r="AB36" s="163">
        <f>'14 days'!K37</f>
        <v>0</v>
      </c>
      <c r="AC36" s="154">
        <f>'14 days'!L37</f>
        <v>0</v>
      </c>
      <c r="AD36" s="213">
        <f>'14 days'!M37</f>
        <v>0</v>
      </c>
      <c r="AE36" s="154">
        <f>'14 days'!N37</f>
        <v>0</v>
      </c>
      <c r="AF36" s="163">
        <f t="shared" si="11"/>
        <v>0</v>
      </c>
      <c r="AG36" s="160">
        <f t="shared" si="12"/>
        <v>0</v>
      </c>
      <c r="AI36" s="319" t="s">
        <v>116</v>
      </c>
      <c r="AJ36" s="162">
        <f t="shared" si="13"/>
        <v>33</v>
      </c>
      <c r="AK36" s="163" t="str">
        <f>INDEX(Map!$W$2:$W$67, MATCH('Raw data'!AJ36, Map!$V$2:$V$67,0))</f>
        <v>T3</v>
      </c>
      <c r="AL36" s="165" t="str">
        <f>INDEX(Map!$X$2:$X$67, MATCH('Raw data'!AJ36, Map!$V$2:$V$67,0))</f>
        <v>R5</v>
      </c>
      <c r="AM36" s="319">
        <f t="shared" ref="AM36:AM69" si="24">P36</f>
        <v>13.639999999999999</v>
      </c>
      <c r="AN36" s="150">
        <f t="shared" si="14"/>
        <v>0.34099999999999997</v>
      </c>
      <c r="AO36" s="151">
        <f t="shared" si="15"/>
        <v>11.813999999999998</v>
      </c>
      <c r="AP36" s="150">
        <f t="shared" si="16"/>
        <v>0.29534999999999995</v>
      </c>
      <c r="AQ36" s="151">
        <f t="shared" si="17"/>
        <v>15.55</v>
      </c>
      <c r="AR36" s="149">
        <f t="shared" si="18"/>
        <v>0.38875000000000004</v>
      </c>
      <c r="AS36" s="150">
        <f t="shared" ref="AS36:AS69" si="25">AQ36/(AM36+(SUM(AG36)))</f>
        <v>1.1400293255131966</v>
      </c>
    </row>
    <row r="37" spans="1:45" x14ac:dyDescent="0.25">
      <c r="A37" s="5">
        <f>IF('1 day'!A38&lt;&gt;"",'1 day'!A38,"")</f>
        <v>34</v>
      </c>
      <c r="B37" s="5" t="str">
        <f>IF(A37&lt;&gt;"",INDEX(Map!$W$2:$W$67, MATCH('Raw data'!A37, Map!$V$2:$V$67,0)),"")</f>
        <v>T2</v>
      </c>
      <c r="C37" s="5" t="str">
        <f>IF(A37&lt;&gt;"",INDEX(Map!$X$2:$X$67, MATCH('Raw data'!A37, Map!$V$2:$V$67,0)),"")</f>
        <v>R5</v>
      </c>
      <c r="D37" s="7">
        <f>IF(A37&lt;&gt;"",'1 day'!B38,"")</f>
        <v>40</v>
      </c>
      <c r="E37" s="11">
        <f>IF(A37&lt;&gt;"",'1 day'!C38,"")</f>
        <v>1.8149999999999999</v>
      </c>
      <c r="F37" s="12">
        <f>IF(A37&lt;&gt;"",'1 day'!C38/'1 day'!B38,"")</f>
        <v>4.5374999999999999E-2</v>
      </c>
      <c r="G37" s="18">
        <f>IF(A37&lt;&gt;"",'1 day'!E38*'1 day'!D38+'1 day'!F38,"")</f>
        <v>27.215</v>
      </c>
      <c r="H37" s="3">
        <f>IF(A37&lt;&gt;"",'1 day'!H38*'1 day'!G38+'1 day'!I38,"")</f>
        <v>96</v>
      </c>
      <c r="I37" s="19">
        <f>IF(A37&lt;&gt;"",'1 day'!K38*'1 day'!J38+'1 day'!L38,"")</f>
        <v>63</v>
      </c>
      <c r="K37" s="164" t="s">
        <v>87</v>
      </c>
      <c r="L37" s="162">
        <f>'14 days'!A38</f>
        <v>34</v>
      </c>
      <c r="M37" s="163">
        <f t="shared" si="9"/>
        <v>40</v>
      </c>
      <c r="N37" s="163" t="str">
        <f>INDEX(Map!$W$2:$W$67, MATCH('Raw data'!L37, Map!$V$2:$V$67,0))</f>
        <v>T2</v>
      </c>
      <c r="O37" s="165" t="str">
        <f>INDEX(Map!$X$2:$X$67, MATCH('Raw data'!L37, Map!$V$2:$V$67,0))</f>
        <v>R5</v>
      </c>
      <c r="P37" s="158">
        <f>'14 days'!C38-'14 days'!$C$3</f>
        <v>13.99</v>
      </c>
      <c r="Q37" s="154">
        <f t="shared" si="0"/>
        <v>0.34975000000000001</v>
      </c>
      <c r="R37" s="155">
        <f t="shared" si="1"/>
        <v>12.175000000000001</v>
      </c>
      <c r="S37" s="328">
        <f t="shared" si="20"/>
        <v>0.30437500000000001</v>
      </c>
      <c r="T37" s="336">
        <f>IF((IF(('14 days'!D38-'14 days'!$D$3)&lt;0, 0, ('14 days'!D38-'14 days'!$D$3)))+(IF(('14 days'!E38-'14 days'!$E$3)&lt;0, 0, ('14 days'!E38-'14 days'!$E$3)))+('14 days'!G38*'14 days'!F38)+('14 days'!H38)&lt;0, 0, (IF(('14 days'!D38-'14 days'!$D$3)&lt;0, 0, ('14 days'!D38-'14 days'!$D$3)))+(IF(('14 days'!E38-'14 days'!$E$3)&lt;0, 0, ('14 days'!E38-'14 days'!$E$3)))+('14 days'!G38*'14 days'!F38)+('14 days'!H38))</f>
        <v>11.215</v>
      </c>
      <c r="U37" s="158">
        <f t="shared" si="21"/>
        <v>16</v>
      </c>
      <c r="V37" s="154">
        <f t="shared" si="3"/>
        <v>0.4</v>
      </c>
      <c r="W37" s="155">
        <f t="shared" si="22"/>
        <v>1.143674052894925</v>
      </c>
      <c r="X37" s="196">
        <f t="shared" si="23"/>
        <v>40</v>
      </c>
      <c r="Y37" s="213">
        <f t="shared" si="19"/>
        <v>40</v>
      </c>
      <c r="Z37" s="163">
        <f>'14 days'!I38</f>
        <v>0</v>
      </c>
      <c r="AA37" s="154">
        <f>'14 days'!J38</f>
        <v>0</v>
      </c>
      <c r="AB37" s="163">
        <f>'14 days'!K38</f>
        <v>0</v>
      </c>
      <c r="AC37" s="154">
        <f>'14 days'!L38</f>
        <v>0</v>
      </c>
      <c r="AD37" s="213">
        <f>'14 days'!M38</f>
        <v>0</v>
      </c>
      <c r="AE37" s="154">
        <f>'14 days'!N38</f>
        <v>0</v>
      </c>
      <c r="AF37" s="163">
        <f t="shared" si="11"/>
        <v>0</v>
      </c>
      <c r="AG37" s="160">
        <f t="shared" si="12"/>
        <v>0</v>
      </c>
      <c r="AI37" s="319" t="s">
        <v>116</v>
      </c>
      <c r="AJ37" s="162">
        <f t="shared" si="13"/>
        <v>34</v>
      </c>
      <c r="AK37" s="163" t="str">
        <f>INDEX(Map!$W$2:$W$67, MATCH('Raw data'!AJ37, Map!$V$2:$V$67,0))</f>
        <v>T2</v>
      </c>
      <c r="AL37" s="165" t="str">
        <f>INDEX(Map!$X$2:$X$67, MATCH('Raw data'!AJ37, Map!$V$2:$V$67,0))</f>
        <v>R5</v>
      </c>
      <c r="AM37" s="319">
        <f t="shared" si="24"/>
        <v>13.99</v>
      </c>
      <c r="AN37" s="150">
        <f t="shared" si="14"/>
        <v>0.34975000000000001</v>
      </c>
      <c r="AO37" s="151">
        <f t="shared" si="15"/>
        <v>12.175000000000001</v>
      </c>
      <c r="AP37" s="150">
        <f t="shared" si="16"/>
        <v>0.30437500000000001</v>
      </c>
      <c r="AQ37" s="151">
        <f t="shared" si="17"/>
        <v>16</v>
      </c>
      <c r="AR37" s="149">
        <f t="shared" si="18"/>
        <v>0.4</v>
      </c>
      <c r="AS37" s="150">
        <f t="shared" si="25"/>
        <v>1.143674052894925</v>
      </c>
    </row>
    <row r="38" spans="1:45" x14ac:dyDescent="0.25">
      <c r="A38" s="5">
        <f>IF('1 day'!A39&lt;&gt;"",'1 day'!A39,"")</f>
        <v>35</v>
      </c>
      <c r="B38" s="5" t="str">
        <f>IF(A38&lt;&gt;"",INDEX(Map!$W$2:$W$67, MATCH('Raw data'!A38, Map!$V$2:$V$67,0)),"")</f>
        <v>T5</v>
      </c>
      <c r="C38" s="5" t="str">
        <f>IF(A38&lt;&gt;"",INDEX(Map!$X$2:$X$67, MATCH('Raw data'!A38, Map!$V$2:$V$67,0)),"")</f>
        <v>R5</v>
      </c>
      <c r="D38" s="7">
        <f>IF(A38&lt;&gt;"",'1 day'!B39,"")</f>
        <v>40</v>
      </c>
      <c r="E38" s="11">
        <f>IF(A38&lt;&gt;"",'1 day'!C39,"")</f>
        <v>1.82</v>
      </c>
      <c r="F38" s="12">
        <f>IF(A38&lt;&gt;"",'1 day'!C39/'1 day'!B39,"")</f>
        <v>4.5499999999999999E-2</v>
      </c>
      <c r="G38" s="18">
        <f>IF(A38&lt;&gt;"",'1 day'!E39*'1 day'!D39+'1 day'!F39,"")</f>
        <v>26.265000000000001</v>
      </c>
      <c r="H38" s="3">
        <f>IF(A38&lt;&gt;"",'1 day'!H39*'1 day'!G39+'1 day'!I39,"")</f>
        <v>96</v>
      </c>
      <c r="I38" s="19">
        <f>IF(A38&lt;&gt;"",'1 day'!K39*'1 day'!J39+'1 day'!L39,"")</f>
        <v>63</v>
      </c>
      <c r="K38" s="164" t="s">
        <v>87</v>
      </c>
      <c r="L38" s="162">
        <f>'14 days'!A39</f>
        <v>35</v>
      </c>
      <c r="M38" s="163">
        <f t="shared" si="9"/>
        <v>37</v>
      </c>
      <c r="N38" s="163" t="str">
        <f>INDEX(Map!$W$2:$W$67, MATCH('Raw data'!L38, Map!$V$2:$V$67,0))</f>
        <v>T5</v>
      </c>
      <c r="O38" s="165" t="str">
        <f>INDEX(Map!$X$2:$X$67, MATCH('Raw data'!L38, Map!$V$2:$V$67,0))</f>
        <v>R5</v>
      </c>
      <c r="P38" s="158">
        <f>'14 days'!C39-'14 days'!$C$3</f>
        <v>13.19</v>
      </c>
      <c r="Q38" s="154">
        <f t="shared" si="0"/>
        <v>0.35648648648648645</v>
      </c>
      <c r="R38" s="155">
        <f t="shared" si="1"/>
        <v>11.506499999999999</v>
      </c>
      <c r="S38" s="328">
        <f t="shared" si="20"/>
        <v>0.31098648648648647</v>
      </c>
      <c r="T38" s="336">
        <f>IF((IF(('14 days'!D39-'14 days'!$D$3)&lt;0, 0, ('14 days'!D39-'14 days'!$D$3)))+(IF(('14 days'!E39-'14 days'!$E$3)&lt;0, 0, ('14 days'!E39-'14 days'!$E$3)))+('14 days'!G39*'14 days'!F39)+('14 days'!H39)&lt;0, 0, (IF(('14 days'!D39-'14 days'!$D$3)&lt;0, 0, ('14 days'!D39-'14 days'!$D$3)))+(IF(('14 days'!E39-'14 days'!$E$3)&lt;0, 0, ('14 days'!E39-'14 days'!$E$3)))+('14 days'!G39*'14 days'!F39)+('14 days'!H39))</f>
        <v>10.315</v>
      </c>
      <c r="U38" s="158">
        <f t="shared" si="21"/>
        <v>15.950000000000001</v>
      </c>
      <c r="V38" s="154">
        <f t="shared" si="3"/>
        <v>0.43108108108108112</v>
      </c>
      <c r="W38" s="155">
        <f t="shared" si="22"/>
        <v>1.1594940389648154</v>
      </c>
      <c r="X38" s="196">
        <f t="shared" si="23"/>
        <v>40</v>
      </c>
      <c r="Y38" s="213">
        <f t="shared" si="19"/>
        <v>37</v>
      </c>
      <c r="Z38" s="163">
        <f>'14 days'!I39</f>
        <v>1</v>
      </c>
      <c r="AA38" s="154">
        <f>'14 days'!J39</f>
        <v>0.11600000000000001</v>
      </c>
      <c r="AB38" s="163">
        <f>'14 days'!K39</f>
        <v>2</v>
      </c>
      <c r="AC38" s="154">
        <f>'14 days'!L39</f>
        <v>0.45</v>
      </c>
      <c r="AD38" s="213">
        <f>'14 days'!M39</f>
        <v>0</v>
      </c>
      <c r="AE38" s="154">
        <f>'14 days'!N39</f>
        <v>0</v>
      </c>
      <c r="AF38" s="163">
        <f t="shared" si="11"/>
        <v>3</v>
      </c>
      <c r="AG38" s="160">
        <f t="shared" si="12"/>
        <v>0.56600000000000006</v>
      </c>
      <c r="AI38" s="319" t="s">
        <v>116</v>
      </c>
      <c r="AJ38" s="162">
        <f t="shared" si="13"/>
        <v>35</v>
      </c>
      <c r="AK38" s="163" t="str">
        <f>INDEX(Map!$W$2:$W$67, MATCH('Raw data'!AJ38, Map!$V$2:$V$67,0))</f>
        <v>T5</v>
      </c>
      <c r="AL38" s="165" t="str">
        <f>INDEX(Map!$X$2:$X$67, MATCH('Raw data'!AJ38, Map!$V$2:$V$67,0))</f>
        <v>R5</v>
      </c>
      <c r="AM38" s="319">
        <f t="shared" si="24"/>
        <v>13.19</v>
      </c>
      <c r="AN38" s="150">
        <f t="shared" si="14"/>
        <v>0.35648648648648645</v>
      </c>
      <c r="AO38" s="151">
        <f t="shared" si="15"/>
        <v>11.506499999999999</v>
      </c>
      <c r="AP38" s="150">
        <f t="shared" si="16"/>
        <v>0.31098648648648647</v>
      </c>
      <c r="AQ38" s="151">
        <f t="shared" si="17"/>
        <v>15.950000000000001</v>
      </c>
      <c r="AR38" s="149">
        <f t="shared" si="18"/>
        <v>0.43108108108108112</v>
      </c>
      <c r="AS38" s="150">
        <f t="shared" si="25"/>
        <v>1.1594940389648154</v>
      </c>
    </row>
    <row r="39" spans="1:45" x14ac:dyDescent="0.25">
      <c r="A39" s="5">
        <f>IF('1 day'!A40&lt;&gt;"",'1 day'!A40,"")</f>
        <v>36</v>
      </c>
      <c r="B39" s="5" t="str">
        <f>IF(A39&lt;&gt;"",INDEX(Map!$W$2:$W$67, MATCH('Raw data'!A39, Map!$V$2:$V$67,0)),"")</f>
        <v>T4</v>
      </c>
      <c r="C39" s="5" t="str">
        <f>IF(A39&lt;&gt;"",INDEX(Map!$X$2:$X$67, MATCH('Raw data'!A39, Map!$V$2:$V$67,0)),"")</f>
        <v>R5</v>
      </c>
      <c r="D39" s="7">
        <f>IF(A39&lt;&gt;"",'1 day'!B40,"")</f>
        <v>40</v>
      </c>
      <c r="E39" s="11">
        <f>IF(A39&lt;&gt;"",'1 day'!C40,"")</f>
        <v>1.8129999999999999</v>
      </c>
      <c r="F39" s="12">
        <f>IF(A39&lt;&gt;"",'1 day'!C40/'1 day'!B40,"")</f>
        <v>4.5324999999999997E-2</v>
      </c>
      <c r="G39" s="18">
        <f>IF(A39&lt;&gt;"",'1 day'!E40*'1 day'!D40+'1 day'!F40,"")</f>
        <v>27.715</v>
      </c>
      <c r="H39" s="3">
        <f>IF(A39&lt;&gt;"",'1 day'!H40*'1 day'!G40+'1 day'!I40,"")</f>
        <v>96</v>
      </c>
      <c r="I39" s="19">
        <f>IF(A39&lt;&gt;"",'1 day'!K40*'1 day'!J40+'1 day'!L40,"")</f>
        <v>63</v>
      </c>
      <c r="K39" s="164" t="s">
        <v>87</v>
      </c>
      <c r="L39" s="162">
        <f>'14 days'!A40</f>
        <v>36</v>
      </c>
      <c r="M39" s="163">
        <f t="shared" si="9"/>
        <v>37</v>
      </c>
      <c r="N39" s="163" t="str">
        <f>INDEX(Map!$W$2:$W$67, MATCH('Raw data'!L39, Map!$V$2:$V$67,0))</f>
        <v>T4</v>
      </c>
      <c r="O39" s="165" t="str">
        <f>INDEX(Map!$X$2:$X$67, MATCH('Raw data'!L39, Map!$V$2:$V$67,0))</f>
        <v>R5</v>
      </c>
      <c r="P39" s="158">
        <f>'14 days'!C40-'14 days'!$C$3</f>
        <v>12.54</v>
      </c>
      <c r="Q39" s="154">
        <f t="shared" si="0"/>
        <v>0.3389189189189189</v>
      </c>
      <c r="R39" s="155">
        <f t="shared" si="1"/>
        <v>10.862974999999999</v>
      </c>
      <c r="S39" s="328">
        <f t="shared" si="20"/>
        <v>0.29359391891891889</v>
      </c>
      <c r="T39" s="336">
        <f>IF((IF(('14 days'!D40-'14 days'!$D$3)&lt;0, 0, ('14 days'!D40-'14 days'!$D$3)))+(IF(('14 days'!E40-'14 days'!$E$3)&lt;0, 0, ('14 days'!E40-'14 days'!$E$3)))+('14 days'!G40*'14 days'!F40)+('14 days'!H40)&lt;0, 0, (IF(('14 days'!D40-'14 days'!$D$3)&lt;0, 0, ('14 days'!D40-'14 days'!$D$3)))+(IF(('14 days'!E40-'14 days'!$E$3)&lt;0, 0, ('14 days'!E40-'14 days'!$E$3)))+('14 days'!G40*'14 days'!F40)+('14 days'!H40))</f>
        <v>11.915000000000001</v>
      </c>
      <c r="U39" s="158">
        <f t="shared" si="21"/>
        <v>15.799999999999999</v>
      </c>
      <c r="V39" s="154">
        <f t="shared" si="3"/>
        <v>0.427027027027027</v>
      </c>
      <c r="W39" s="155">
        <f t="shared" si="22"/>
        <v>1.2043600884213734</v>
      </c>
      <c r="X39" s="196">
        <f t="shared" si="23"/>
        <v>40</v>
      </c>
      <c r="Y39" s="213">
        <f t="shared" si="19"/>
        <v>37</v>
      </c>
      <c r="Z39" s="163">
        <f>'14 days'!I40</f>
        <v>1</v>
      </c>
      <c r="AA39" s="154">
        <f>'14 days'!J40</f>
        <v>0.129</v>
      </c>
      <c r="AB39" s="163">
        <f>'14 days'!K40</f>
        <v>2</v>
      </c>
      <c r="AC39" s="154">
        <f>'14 days'!L40</f>
        <v>0.45</v>
      </c>
      <c r="AD39" s="213">
        <f>'14 days'!M40</f>
        <v>0</v>
      </c>
      <c r="AE39" s="154">
        <f>'14 days'!N40</f>
        <v>0</v>
      </c>
      <c r="AF39" s="163">
        <f t="shared" si="11"/>
        <v>3</v>
      </c>
      <c r="AG39" s="160">
        <f t="shared" si="12"/>
        <v>0.57899999999999996</v>
      </c>
      <c r="AI39" s="319" t="s">
        <v>116</v>
      </c>
      <c r="AJ39" s="162">
        <f t="shared" si="13"/>
        <v>36</v>
      </c>
      <c r="AK39" s="163" t="str">
        <f>INDEX(Map!$W$2:$W$67, MATCH('Raw data'!AJ39, Map!$V$2:$V$67,0))</f>
        <v>T4</v>
      </c>
      <c r="AL39" s="165" t="str">
        <f>INDEX(Map!$X$2:$X$67, MATCH('Raw data'!AJ39, Map!$V$2:$V$67,0))</f>
        <v>R5</v>
      </c>
      <c r="AM39" s="319">
        <f t="shared" si="24"/>
        <v>12.54</v>
      </c>
      <c r="AN39" s="150">
        <f t="shared" si="14"/>
        <v>0.3389189189189189</v>
      </c>
      <c r="AO39" s="151">
        <f t="shared" si="15"/>
        <v>10.862974999999999</v>
      </c>
      <c r="AP39" s="150">
        <f t="shared" si="16"/>
        <v>0.29359391891891889</v>
      </c>
      <c r="AQ39" s="151">
        <f t="shared" si="17"/>
        <v>15.799999999999999</v>
      </c>
      <c r="AR39" s="149">
        <f t="shared" si="18"/>
        <v>0.427027027027027</v>
      </c>
      <c r="AS39" s="150">
        <f t="shared" si="25"/>
        <v>1.2043600884213734</v>
      </c>
    </row>
    <row r="40" spans="1:45" x14ac:dyDescent="0.25">
      <c r="A40" s="5">
        <f>IF('1 day'!A41&lt;&gt;"",'1 day'!A41,"")</f>
        <v>37</v>
      </c>
      <c r="B40" s="5" t="str">
        <f>IF(A40&lt;&gt;"",INDEX(Map!$W$2:$W$67, MATCH('Raw data'!A40, Map!$V$2:$V$67,0)),"")</f>
        <v>T2</v>
      </c>
      <c r="C40" s="5" t="str">
        <f>IF(A40&lt;&gt;"",INDEX(Map!$X$2:$X$67, MATCH('Raw data'!A40, Map!$V$2:$V$67,0)),"")</f>
        <v>R6</v>
      </c>
      <c r="D40" s="7">
        <f>IF(A40&lt;&gt;"",'1 day'!B41,"")</f>
        <v>40</v>
      </c>
      <c r="E40" s="11">
        <f>IF(A40&lt;&gt;"",'1 day'!C41,"")</f>
        <v>1.821</v>
      </c>
      <c r="F40" s="12">
        <f>IF(A40&lt;&gt;"",'1 day'!C41/'1 day'!B41,"")</f>
        <v>4.5524999999999996E-2</v>
      </c>
      <c r="G40" s="18">
        <f>IF(A40&lt;&gt;"",'1 day'!E41*'1 day'!D41+'1 day'!F41,"")</f>
        <v>26.565000000000001</v>
      </c>
      <c r="H40" s="3">
        <f>IF(A40&lt;&gt;"",'1 day'!H41*'1 day'!G41+'1 day'!I41,"")</f>
        <v>96</v>
      </c>
      <c r="I40" s="19">
        <f>IF(A40&lt;&gt;"",'1 day'!K41*'1 day'!J41+'1 day'!L41,"")</f>
        <v>63</v>
      </c>
      <c r="K40" s="164" t="s">
        <v>87</v>
      </c>
      <c r="L40" s="162">
        <f>'14 days'!A41</f>
        <v>37</v>
      </c>
      <c r="M40" s="163">
        <f t="shared" si="9"/>
        <v>40</v>
      </c>
      <c r="N40" s="163" t="str">
        <f>INDEX(Map!$W$2:$W$67, MATCH('Raw data'!L40, Map!$V$2:$V$67,0))</f>
        <v>T2</v>
      </c>
      <c r="O40" s="165" t="str">
        <f>INDEX(Map!$X$2:$X$67, MATCH('Raw data'!L40, Map!$V$2:$V$67,0))</f>
        <v>R6</v>
      </c>
      <c r="P40" s="158">
        <f>'14 days'!C41-'14 days'!$C$3</f>
        <v>13.99</v>
      </c>
      <c r="Q40" s="154">
        <f t="shared" si="0"/>
        <v>0.34975000000000001</v>
      </c>
      <c r="R40" s="155">
        <f t="shared" si="1"/>
        <v>12.169</v>
      </c>
      <c r="S40" s="328">
        <f t="shared" si="20"/>
        <v>0.30422500000000002</v>
      </c>
      <c r="T40" s="336">
        <f>IF((IF(('14 days'!D41-'14 days'!$D$3)&lt;0, 0, ('14 days'!D41-'14 days'!$D$3)))+(IF(('14 days'!E41-'14 days'!$E$3)&lt;0, 0, ('14 days'!E41-'14 days'!$E$3)))+('14 days'!G41*'14 days'!F41)+('14 days'!H41)&lt;0, 0, (IF(('14 days'!D41-'14 days'!$D$3)&lt;0, 0, ('14 days'!D41-'14 days'!$D$3)))+(IF(('14 days'!E41-'14 days'!$E$3)&lt;0, 0, ('14 days'!E41-'14 days'!$E$3)))+('14 days'!G41*'14 days'!F41)+('14 days'!H41))</f>
        <v>10.515000000000001</v>
      </c>
      <c r="U40" s="158">
        <f t="shared" si="21"/>
        <v>16.05</v>
      </c>
      <c r="V40" s="154">
        <f t="shared" si="3"/>
        <v>0.40125</v>
      </c>
      <c r="W40" s="155">
        <f t="shared" si="22"/>
        <v>1.1472480343102216</v>
      </c>
      <c r="X40" s="196">
        <f t="shared" si="23"/>
        <v>40</v>
      </c>
      <c r="Y40" s="213">
        <f t="shared" si="19"/>
        <v>40</v>
      </c>
      <c r="Z40" s="163">
        <f>'14 days'!I41</f>
        <v>0</v>
      </c>
      <c r="AA40" s="154">
        <f>'14 days'!J41</f>
        <v>0</v>
      </c>
      <c r="AB40" s="163">
        <f>'14 days'!K41</f>
        <v>0</v>
      </c>
      <c r="AC40" s="154">
        <f>'14 days'!L41</f>
        <v>0</v>
      </c>
      <c r="AD40" s="213">
        <f>'14 days'!M41</f>
        <v>0</v>
      </c>
      <c r="AE40" s="154">
        <f>'14 days'!N41</f>
        <v>0</v>
      </c>
      <c r="AF40" s="163">
        <f t="shared" si="11"/>
        <v>0</v>
      </c>
      <c r="AG40" s="160">
        <f t="shared" si="12"/>
        <v>0</v>
      </c>
      <c r="AI40" s="319" t="s">
        <v>116</v>
      </c>
      <c r="AJ40" s="162">
        <f t="shared" si="13"/>
        <v>37</v>
      </c>
      <c r="AK40" s="163" t="str">
        <f>INDEX(Map!$W$2:$W$67, MATCH('Raw data'!AJ40, Map!$V$2:$V$67,0))</f>
        <v>T2</v>
      </c>
      <c r="AL40" s="165" t="str">
        <f>INDEX(Map!$X$2:$X$67, MATCH('Raw data'!AJ40, Map!$V$2:$V$67,0))</f>
        <v>R6</v>
      </c>
      <c r="AM40" s="319">
        <f t="shared" si="24"/>
        <v>13.99</v>
      </c>
      <c r="AN40" s="150">
        <f t="shared" si="14"/>
        <v>0.34975000000000001</v>
      </c>
      <c r="AO40" s="151">
        <f t="shared" si="15"/>
        <v>12.169</v>
      </c>
      <c r="AP40" s="150">
        <f t="shared" si="16"/>
        <v>0.30422500000000002</v>
      </c>
      <c r="AQ40" s="151">
        <f t="shared" si="17"/>
        <v>16.05</v>
      </c>
      <c r="AR40" s="149">
        <f t="shared" si="18"/>
        <v>0.40125</v>
      </c>
      <c r="AS40" s="150">
        <f t="shared" si="25"/>
        <v>1.1472480343102216</v>
      </c>
    </row>
    <row r="41" spans="1:45" x14ac:dyDescent="0.25">
      <c r="A41" s="5">
        <f>IF('1 day'!A42&lt;&gt;"",'1 day'!A42,"")</f>
        <v>38</v>
      </c>
      <c r="B41" s="5" t="str">
        <f>IF(A41&lt;&gt;"",INDEX(Map!$W$2:$W$67, MATCH('Raw data'!A41, Map!$V$2:$V$67,0)),"")</f>
        <v>T6</v>
      </c>
      <c r="C41" s="5" t="str">
        <f>IF(A41&lt;&gt;"",INDEX(Map!$X$2:$X$67, MATCH('Raw data'!A41, Map!$V$2:$V$67,0)),"")</f>
        <v>R6</v>
      </c>
      <c r="D41" s="7">
        <f>IF(A41&lt;&gt;"",'1 day'!B42,"")</f>
        <v>40</v>
      </c>
      <c r="E41" s="11">
        <f>IF(A41&lt;&gt;"",'1 day'!C42,"")</f>
        <v>1.819</v>
      </c>
      <c r="F41" s="12">
        <f>IF(A41&lt;&gt;"",'1 day'!C42/'1 day'!B42,"")</f>
        <v>4.5475000000000002E-2</v>
      </c>
      <c r="G41" s="18">
        <f>IF(A41&lt;&gt;"",'1 day'!E42*'1 day'!D42+'1 day'!F42,"")</f>
        <v>26.465</v>
      </c>
      <c r="H41" s="3">
        <f>IF(A41&lt;&gt;"",'1 day'!H42*'1 day'!G42+'1 day'!I42,"")</f>
        <v>96</v>
      </c>
      <c r="I41" s="19">
        <f>IF(A41&lt;&gt;"",'1 day'!K42*'1 day'!J42+'1 day'!L42,"")</f>
        <v>63</v>
      </c>
      <c r="K41" s="164" t="s">
        <v>87</v>
      </c>
      <c r="L41" s="162">
        <f>'14 days'!A42</f>
        <v>38</v>
      </c>
      <c r="M41" s="163">
        <f t="shared" si="9"/>
        <v>40</v>
      </c>
      <c r="N41" s="163" t="str">
        <f>INDEX(Map!$W$2:$W$67, MATCH('Raw data'!L41, Map!$V$2:$V$67,0))</f>
        <v>T6</v>
      </c>
      <c r="O41" s="165" t="str">
        <f>INDEX(Map!$X$2:$X$67, MATCH('Raw data'!L41, Map!$V$2:$V$67,0))</f>
        <v>R6</v>
      </c>
      <c r="P41" s="158">
        <f>'14 days'!C42-'14 days'!$C$3</f>
        <v>13.24</v>
      </c>
      <c r="Q41" s="154">
        <f t="shared" si="0"/>
        <v>0.33100000000000002</v>
      </c>
      <c r="R41" s="155">
        <f t="shared" si="1"/>
        <v>11.421000000000001</v>
      </c>
      <c r="S41" s="328">
        <f t="shared" si="20"/>
        <v>0.28552500000000003</v>
      </c>
      <c r="T41" s="336">
        <f>IF((IF(('14 days'!D42-'14 days'!$D$3)&lt;0, 0, ('14 days'!D42-'14 days'!$D$3)))+(IF(('14 days'!E42-'14 days'!$E$3)&lt;0, 0, ('14 days'!E42-'14 days'!$E$3)))+('14 days'!G42*'14 days'!F42)+('14 days'!H42)&lt;0, 0, (IF(('14 days'!D42-'14 days'!$D$3)&lt;0, 0, ('14 days'!D42-'14 days'!$D$3)))+(IF(('14 days'!E42-'14 days'!$E$3)&lt;0, 0, ('14 days'!E42-'14 days'!$E$3)))+('14 days'!G42*'14 days'!F42)+('14 days'!H42))</f>
        <v>11.665000000000001</v>
      </c>
      <c r="U41" s="158">
        <f t="shared" si="21"/>
        <v>14.799999999999999</v>
      </c>
      <c r="V41" s="154">
        <f t="shared" si="3"/>
        <v>0.37</v>
      </c>
      <c r="W41" s="155">
        <f t="shared" si="22"/>
        <v>1.1178247734138971</v>
      </c>
      <c r="X41" s="196">
        <f t="shared" si="23"/>
        <v>40</v>
      </c>
      <c r="Y41" s="213">
        <f t="shared" si="19"/>
        <v>40</v>
      </c>
      <c r="Z41" s="163">
        <f>'14 days'!I42</f>
        <v>0</v>
      </c>
      <c r="AA41" s="154">
        <f>'14 days'!J42</f>
        <v>0</v>
      </c>
      <c r="AB41" s="163">
        <f>'14 days'!K42</f>
        <v>0</v>
      </c>
      <c r="AC41" s="154">
        <f>'14 days'!L42</f>
        <v>0</v>
      </c>
      <c r="AD41" s="213">
        <f>'14 days'!M42</f>
        <v>0</v>
      </c>
      <c r="AE41" s="154">
        <f>'14 days'!N42</f>
        <v>0</v>
      </c>
      <c r="AF41" s="163">
        <f t="shared" si="11"/>
        <v>0</v>
      </c>
      <c r="AG41" s="160">
        <f t="shared" si="12"/>
        <v>0</v>
      </c>
      <c r="AI41" s="319" t="s">
        <v>116</v>
      </c>
      <c r="AJ41" s="162">
        <f t="shared" si="13"/>
        <v>38</v>
      </c>
      <c r="AK41" s="163" t="str">
        <f>INDEX(Map!$W$2:$W$67, MATCH('Raw data'!AJ41, Map!$V$2:$V$67,0))</f>
        <v>T6</v>
      </c>
      <c r="AL41" s="165" t="str">
        <f>INDEX(Map!$X$2:$X$67, MATCH('Raw data'!AJ41, Map!$V$2:$V$67,0))</f>
        <v>R6</v>
      </c>
      <c r="AM41" s="319">
        <f t="shared" si="24"/>
        <v>13.24</v>
      </c>
      <c r="AN41" s="150">
        <f t="shared" si="14"/>
        <v>0.33100000000000002</v>
      </c>
      <c r="AO41" s="151">
        <f t="shared" si="15"/>
        <v>11.421000000000001</v>
      </c>
      <c r="AP41" s="150">
        <f t="shared" si="16"/>
        <v>0.28552500000000003</v>
      </c>
      <c r="AQ41" s="151">
        <f t="shared" si="17"/>
        <v>14.799999999999999</v>
      </c>
      <c r="AR41" s="149">
        <f t="shared" si="18"/>
        <v>0.37</v>
      </c>
      <c r="AS41" s="150">
        <f t="shared" si="25"/>
        <v>1.1178247734138971</v>
      </c>
    </row>
    <row r="42" spans="1:45" x14ac:dyDescent="0.25">
      <c r="A42" s="5">
        <f>IF('1 day'!A43&lt;&gt;"",'1 day'!A43,"")</f>
        <v>39</v>
      </c>
      <c r="B42" s="5" t="str">
        <f>IF(A42&lt;&gt;"",INDEX(Map!$W$2:$W$67, MATCH('Raw data'!A42, Map!$V$2:$V$67,0)),"")</f>
        <v>T4</v>
      </c>
      <c r="C42" s="5" t="str">
        <f>IF(A42&lt;&gt;"",INDEX(Map!$X$2:$X$67, MATCH('Raw data'!A42, Map!$V$2:$V$67,0)),"")</f>
        <v>R6</v>
      </c>
      <c r="D42" s="7">
        <f>IF(A42&lt;&gt;"",'1 day'!B43,"")</f>
        <v>40</v>
      </c>
      <c r="E42" s="11">
        <f>IF(A42&lt;&gt;"",'1 day'!C43,"")</f>
        <v>1.82</v>
      </c>
      <c r="F42" s="12">
        <f>IF(A42&lt;&gt;"",'1 day'!C43/'1 day'!B43,"")</f>
        <v>4.5499999999999999E-2</v>
      </c>
      <c r="G42" s="18">
        <f>IF(A42&lt;&gt;"",'1 day'!E43*'1 day'!D43+'1 day'!F43,"")</f>
        <v>26.664999999999999</v>
      </c>
      <c r="H42" s="3">
        <f>IF(A42&lt;&gt;"",'1 day'!H43*'1 day'!G43+'1 day'!I43,"")</f>
        <v>96</v>
      </c>
      <c r="I42" s="19">
        <f>IF(A42&lt;&gt;"",'1 day'!K43*'1 day'!J43+'1 day'!L43,"")</f>
        <v>63</v>
      </c>
      <c r="K42" s="164" t="s">
        <v>87</v>
      </c>
      <c r="L42" s="162">
        <f>'14 days'!A43</f>
        <v>39</v>
      </c>
      <c r="M42" s="163">
        <f t="shared" si="9"/>
        <v>38</v>
      </c>
      <c r="N42" s="163" t="str">
        <f>INDEX(Map!$W$2:$W$67, MATCH('Raw data'!L42, Map!$V$2:$V$67,0))</f>
        <v>T4</v>
      </c>
      <c r="O42" s="165" t="str">
        <f>INDEX(Map!$X$2:$X$67, MATCH('Raw data'!L42, Map!$V$2:$V$67,0))</f>
        <v>R6</v>
      </c>
      <c r="P42" s="158">
        <f>'14 days'!C43-'14 days'!$C$3</f>
        <v>13.54</v>
      </c>
      <c r="Q42" s="154">
        <f t="shared" si="0"/>
        <v>0.3563157894736842</v>
      </c>
      <c r="R42" s="155">
        <f t="shared" si="1"/>
        <v>11.811</v>
      </c>
      <c r="S42" s="328">
        <f t="shared" si="20"/>
        <v>0.31081578947368421</v>
      </c>
      <c r="T42" s="336">
        <f>IF((IF(('14 days'!D43-'14 days'!$D$3)&lt;0, 0, ('14 days'!D43-'14 days'!$D$3)))+(IF(('14 days'!E43-'14 days'!$E$3)&lt;0, 0, ('14 days'!E43-'14 days'!$E$3)))+('14 days'!G43*'14 days'!F43)+('14 days'!H43)&lt;0, 0, (IF(('14 days'!D43-'14 days'!$D$3)&lt;0, 0, ('14 days'!D43-'14 days'!$D$3)))+(IF(('14 days'!E43-'14 days'!$E$3)&lt;0, 0, ('14 days'!E43-'14 days'!$E$3)))+('14 days'!G43*'14 days'!F43)+('14 days'!H43))</f>
        <v>10.965</v>
      </c>
      <c r="U42" s="158">
        <f t="shared" si="21"/>
        <v>15.7</v>
      </c>
      <c r="V42" s="154">
        <f t="shared" si="3"/>
        <v>0.41315789473684211</v>
      </c>
      <c r="W42" s="155">
        <f t="shared" si="22"/>
        <v>1.1345570169099581</v>
      </c>
      <c r="X42" s="196">
        <f t="shared" si="23"/>
        <v>40</v>
      </c>
      <c r="Y42" s="213">
        <f t="shared" si="19"/>
        <v>38</v>
      </c>
      <c r="Z42" s="163">
        <f>'14 days'!I43</f>
        <v>1</v>
      </c>
      <c r="AA42" s="154">
        <f>'14 days'!J43</f>
        <v>4.8000000000000001E-2</v>
      </c>
      <c r="AB42" s="163">
        <f>'14 days'!K43</f>
        <v>1</v>
      </c>
      <c r="AC42" s="154">
        <f>'14 days'!L43</f>
        <v>0.25</v>
      </c>
      <c r="AD42" s="213">
        <f>'14 days'!M43</f>
        <v>0</v>
      </c>
      <c r="AE42" s="154">
        <f>'14 days'!N43</f>
        <v>0</v>
      </c>
      <c r="AF42" s="163">
        <f t="shared" si="11"/>
        <v>2</v>
      </c>
      <c r="AG42" s="160">
        <f t="shared" si="12"/>
        <v>0.29799999999999999</v>
      </c>
      <c r="AI42" s="319" t="s">
        <v>116</v>
      </c>
      <c r="AJ42" s="162">
        <f t="shared" si="13"/>
        <v>39</v>
      </c>
      <c r="AK42" s="163" t="str">
        <f>INDEX(Map!$W$2:$W$67, MATCH('Raw data'!AJ42, Map!$V$2:$V$67,0))</f>
        <v>T4</v>
      </c>
      <c r="AL42" s="165" t="str">
        <f>INDEX(Map!$X$2:$X$67, MATCH('Raw data'!AJ42, Map!$V$2:$V$67,0))</f>
        <v>R6</v>
      </c>
      <c r="AM42" s="319">
        <f t="shared" si="24"/>
        <v>13.54</v>
      </c>
      <c r="AN42" s="150">
        <f t="shared" si="14"/>
        <v>0.3563157894736842</v>
      </c>
      <c r="AO42" s="151">
        <f t="shared" si="15"/>
        <v>11.811</v>
      </c>
      <c r="AP42" s="150">
        <f t="shared" si="16"/>
        <v>0.31081578947368421</v>
      </c>
      <c r="AQ42" s="151">
        <f t="shared" si="17"/>
        <v>15.7</v>
      </c>
      <c r="AR42" s="149">
        <f t="shared" si="18"/>
        <v>0.41315789473684211</v>
      </c>
      <c r="AS42" s="150">
        <f t="shared" si="25"/>
        <v>1.1345570169099581</v>
      </c>
    </row>
    <row r="43" spans="1:45" x14ac:dyDescent="0.25">
      <c r="A43" s="5">
        <f>IF('1 day'!A44&lt;&gt;"",'1 day'!A44,"")</f>
        <v>40</v>
      </c>
      <c r="B43" s="5" t="str">
        <f>IF(A43&lt;&gt;"",INDEX(Map!$W$2:$W$67, MATCH('Raw data'!A43, Map!$V$2:$V$67,0)),"")</f>
        <v>T3</v>
      </c>
      <c r="C43" s="5" t="str">
        <f>IF(A43&lt;&gt;"",INDEX(Map!$X$2:$X$67, MATCH('Raw data'!A43, Map!$V$2:$V$67,0)),"")</f>
        <v>R6</v>
      </c>
      <c r="D43" s="7">
        <f>IF(A43&lt;&gt;"",'1 day'!B44,"")</f>
        <v>40</v>
      </c>
      <c r="E43" s="11">
        <f>IF(A43&lt;&gt;"",'1 day'!C44,"")</f>
        <v>1.825</v>
      </c>
      <c r="F43" s="12">
        <f>IF(A43&lt;&gt;"",'1 day'!C44/'1 day'!B44,"")</f>
        <v>4.5624999999999999E-2</v>
      </c>
      <c r="G43" s="18">
        <f>IF(A43&lt;&gt;"",'1 day'!E44*'1 day'!D44+'1 day'!F44,"")</f>
        <v>26.565000000000001</v>
      </c>
      <c r="H43" s="3">
        <f>IF(A43&lt;&gt;"",'1 day'!H44*'1 day'!G44+'1 day'!I44,"")</f>
        <v>96</v>
      </c>
      <c r="I43" s="19">
        <f>IF(A43&lt;&gt;"",'1 day'!K44*'1 day'!J44+'1 day'!L44,"")</f>
        <v>63</v>
      </c>
      <c r="K43" s="164" t="s">
        <v>87</v>
      </c>
      <c r="L43" s="162">
        <f>'14 days'!A44</f>
        <v>40</v>
      </c>
      <c r="M43" s="163">
        <f t="shared" si="9"/>
        <v>40</v>
      </c>
      <c r="N43" s="163" t="str">
        <f>INDEX(Map!$W$2:$W$67, MATCH('Raw data'!L43, Map!$V$2:$V$67,0))</f>
        <v>T3</v>
      </c>
      <c r="O43" s="165" t="str">
        <f>INDEX(Map!$X$2:$X$67, MATCH('Raw data'!L43, Map!$V$2:$V$67,0))</f>
        <v>R6</v>
      </c>
      <c r="P43" s="158">
        <f>'14 days'!C44-'14 days'!$C$3</f>
        <v>13.79</v>
      </c>
      <c r="Q43" s="154">
        <f t="shared" si="0"/>
        <v>0.34475</v>
      </c>
      <c r="R43" s="155">
        <f t="shared" si="1"/>
        <v>11.965</v>
      </c>
      <c r="S43" s="328">
        <f t="shared" si="20"/>
        <v>0.29912499999999997</v>
      </c>
      <c r="T43" s="336">
        <f>IF((IF(('14 days'!D44-'14 days'!$D$3)&lt;0, 0, ('14 days'!D44-'14 days'!$D$3)))+(IF(('14 days'!E44-'14 days'!$E$3)&lt;0, 0, ('14 days'!E44-'14 days'!$E$3)))+('14 days'!G44*'14 days'!F44)+('14 days'!H44)&lt;0, 0, (IF(('14 days'!D44-'14 days'!$D$3)&lt;0, 0, ('14 days'!D44-'14 days'!$D$3)))+(IF(('14 days'!E44-'14 days'!$E$3)&lt;0, 0, ('14 days'!E44-'14 days'!$E$3)))+('14 days'!G44*'14 days'!F44)+('14 days'!H44))</f>
        <v>10.965</v>
      </c>
      <c r="U43" s="158">
        <f t="shared" si="21"/>
        <v>15.600000000000001</v>
      </c>
      <c r="V43" s="154">
        <f t="shared" si="3"/>
        <v>0.39</v>
      </c>
      <c r="W43" s="155">
        <f t="shared" si="22"/>
        <v>1.1312545322697609</v>
      </c>
      <c r="X43" s="196">
        <f t="shared" si="23"/>
        <v>40</v>
      </c>
      <c r="Y43" s="213">
        <f t="shared" si="19"/>
        <v>40</v>
      </c>
      <c r="Z43" s="163">
        <f>'14 days'!I44</f>
        <v>0</v>
      </c>
      <c r="AA43" s="154">
        <f>'14 days'!J44</f>
        <v>0</v>
      </c>
      <c r="AB43" s="163">
        <f>'14 days'!K44</f>
        <v>0</v>
      </c>
      <c r="AC43" s="154">
        <f>'14 days'!L44</f>
        <v>0</v>
      </c>
      <c r="AD43" s="213">
        <f>'14 days'!M44</f>
        <v>0</v>
      </c>
      <c r="AE43" s="154">
        <f>'14 days'!N44</f>
        <v>0</v>
      </c>
      <c r="AF43" s="163">
        <f t="shared" si="11"/>
        <v>0</v>
      </c>
      <c r="AG43" s="160">
        <f t="shared" si="12"/>
        <v>0</v>
      </c>
      <c r="AI43" s="319" t="s">
        <v>116</v>
      </c>
      <c r="AJ43" s="162">
        <f t="shared" si="13"/>
        <v>40</v>
      </c>
      <c r="AK43" s="163" t="str">
        <f>INDEX(Map!$W$2:$W$67, MATCH('Raw data'!AJ43, Map!$V$2:$V$67,0))</f>
        <v>T3</v>
      </c>
      <c r="AL43" s="165" t="str">
        <f>INDEX(Map!$X$2:$X$67, MATCH('Raw data'!AJ43, Map!$V$2:$V$67,0))</f>
        <v>R6</v>
      </c>
      <c r="AM43" s="319">
        <f t="shared" si="24"/>
        <v>13.79</v>
      </c>
      <c r="AN43" s="150">
        <f t="shared" si="14"/>
        <v>0.34475</v>
      </c>
      <c r="AO43" s="151">
        <f t="shared" si="15"/>
        <v>11.965</v>
      </c>
      <c r="AP43" s="150">
        <f t="shared" si="16"/>
        <v>0.29912499999999997</v>
      </c>
      <c r="AQ43" s="151">
        <f t="shared" si="17"/>
        <v>15.600000000000001</v>
      </c>
      <c r="AR43" s="149">
        <f t="shared" si="18"/>
        <v>0.39</v>
      </c>
      <c r="AS43" s="150">
        <f t="shared" si="25"/>
        <v>1.1312545322697609</v>
      </c>
    </row>
    <row r="44" spans="1:45" x14ac:dyDescent="0.25">
      <c r="A44" s="5">
        <f>IF('1 day'!A45&lt;&gt;"",'1 day'!A45,"")</f>
        <v>41</v>
      </c>
      <c r="B44" s="5" t="str">
        <f>IF(A44&lt;&gt;"",INDEX(Map!$W$2:$W$67, MATCH('Raw data'!A44, Map!$V$2:$V$67,0)),"")</f>
        <v>T1</v>
      </c>
      <c r="C44" s="5" t="str">
        <f>IF(A44&lt;&gt;"",INDEX(Map!$X$2:$X$67, MATCH('Raw data'!A44, Map!$V$2:$V$67,0)),"")</f>
        <v>R6</v>
      </c>
      <c r="D44" s="7">
        <f>IF(A44&lt;&gt;"",'1 day'!B45,"")</f>
        <v>40</v>
      </c>
      <c r="E44" s="11">
        <f>IF(A44&lt;&gt;"",'1 day'!C45,"")</f>
        <v>1.82</v>
      </c>
      <c r="F44" s="12">
        <f>IF(A44&lt;&gt;"",'1 day'!C45/'1 day'!B45,"")</f>
        <v>4.5499999999999999E-2</v>
      </c>
      <c r="G44" s="18">
        <f>IF(A44&lt;&gt;"",'1 day'!E45*'1 day'!D45+'1 day'!F45,"")</f>
        <v>26.414999999999999</v>
      </c>
      <c r="H44" s="3">
        <f>IF(A44&lt;&gt;"",'1 day'!H45*'1 day'!G45+'1 day'!I45,"")</f>
        <v>96</v>
      </c>
      <c r="I44" s="19">
        <f>IF(A44&lt;&gt;"",'1 day'!K45*'1 day'!J45+'1 day'!L45,"")</f>
        <v>63</v>
      </c>
      <c r="K44" s="164" t="s">
        <v>87</v>
      </c>
      <c r="L44" s="162">
        <f>'14 days'!A45</f>
        <v>41</v>
      </c>
      <c r="M44" s="163">
        <f t="shared" si="9"/>
        <v>40</v>
      </c>
      <c r="N44" s="163" t="str">
        <f>INDEX(Map!$W$2:$W$67, MATCH('Raw data'!L44, Map!$V$2:$V$67,0))</f>
        <v>T1</v>
      </c>
      <c r="O44" s="165" t="str">
        <f>INDEX(Map!$X$2:$X$67, MATCH('Raw data'!L44, Map!$V$2:$V$67,0))</f>
        <v>R6</v>
      </c>
      <c r="P44" s="158">
        <f>'14 days'!C45-'14 days'!$C$3</f>
        <v>14.49</v>
      </c>
      <c r="Q44" s="154">
        <f t="shared" si="0"/>
        <v>0.36225000000000002</v>
      </c>
      <c r="R44" s="155">
        <f t="shared" si="1"/>
        <v>12.670000000000002</v>
      </c>
      <c r="S44" s="328">
        <f t="shared" si="20"/>
        <v>0.31675000000000003</v>
      </c>
      <c r="T44" s="336">
        <f>IF((IF(('14 days'!D45-'14 days'!$D$3)&lt;0, 0, ('14 days'!D45-'14 days'!$D$3)))+(IF(('14 days'!E45-'14 days'!$E$3)&lt;0, 0, ('14 days'!E45-'14 days'!$E$3)))+('14 days'!G45*'14 days'!F45)+('14 days'!H45)&lt;0, 0, (IF(('14 days'!D45-'14 days'!$D$3)&lt;0, 0, ('14 days'!D45-'14 days'!$D$3)))+(IF(('14 days'!E45-'14 days'!$E$3)&lt;0, 0, ('14 days'!E45-'14 days'!$E$3)))+('14 days'!G45*'14 days'!F45)+('14 days'!H45))</f>
        <v>9.9649999999999999</v>
      </c>
      <c r="U44" s="158">
        <f t="shared" si="21"/>
        <v>16.45</v>
      </c>
      <c r="V44" s="154">
        <f t="shared" si="3"/>
        <v>0.41125</v>
      </c>
      <c r="W44" s="155">
        <f t="shared" si="22"/>
        <v>1.1352657004830917</v>
      </c>
      <c r="X44" s="196">
        <f t="shared" si="23"/>
        <v>40</v>
      </c>
      <c r="Y44" s="213">
        <f t="shared" si="19"/>
        <v>40</v>
      </c>
      <c r="Z44" s="163">
        <f>'14 days'!I45</f>
        <v>0</v>
      </c>
      <c r="AA44" s="154">
        <f>'14 days'!J45</f>
        <v>0</v>
      </c>
      <c r="AB44" s="163">
        <f>'14 days'!K45</f>
        <v>0</v>
      </c>
      <c r="AC44" s="154">
        <f>'14 days'!L45</f>
        <v>0</v>
      </c>
      <c r="AD44" s="213">
        <f>'14 days'!M45</f>
        <v>0</v>
      </c>
      <c r="AE44" s="154">
        <f>'14 days'!N45</f>
        <v>0</v>
      </c>
      <c r="AF44" s="163">
        <f t="shared" si="11"/>
        <v>0</v>
      </c>
      <c r="AG44" s="160">
        <f t="shared" si="12"/>
        <v>0</v>
      </c>
      <c r="AI44" s="319" t="s">
        <v>116</v>
      </c>
      <c r="AJ44" s="162">
        <f t="shared" si="13"/>
        <v>41</v>
      </c>
      <c r="AK44" s="163" t="str">
        <f>INDEX(Map!$W$2:$W$67, MATCH('Raw data'!AJ44, Map!$V$2:$V$67,0))</f>
        <v>T1</v>
      </c>
      <c r="AL44" s="165" t="str">
        <f>INDEX(Map!$X$2:$X$67, MATCH('Raw data'!AJ44, Map!$V$2:$V$67,0))</f>
        <v>R6</v>
      </c>
      <c r="AM44" s="319">
        <f t="shared" si="24"/>
        <v>14.49</v>
      </c>
      <c r="AN44" s="150">
        <f t="shared" si="14"/>
        <v>0.36225000000000002</v>
      </c>
      <c r="AO44" s="151">
        <f t="shared" si="15"/>
        <v>12.670000000000002</v>
      </c>
      <c r="AP44" s="150">
        <f t="shared" si="16"/>
        <v>0.31675000000000003</v>
      </c>
      <c r="AQ44" s="151">
        <f t="shared" si="17"/>
        <v>16.45</v>
      </c>
      <c r="AR44" s="149">
        <f t="shared" si="18"/>
        <v>0.41125</v>
      </c>
      <c r="AS44" s="150">
        <f t="shared" si="25"/>
        <v>1.1352657004830917</v>
      </c>
    </row>
    <row r="45" spans="1:45" x14ac:dyDescent="0.25">
      <c r="A45" s="5">
        <f>IF('1 day'!A46&lt;&gt;"",'1 day'!A46,"")</f>
        <v>42</v>
      </c>
      <c r="B45" s="5" t="str">
        <f>IF(A45&lt;&gt;"",INDEX(Map!$W$2:$W$67, MATCH('Raw data'!A45, Map!$V$2:$V$67,0)),"")</f>
        <v>T5</v>
      </c>
      <c r="C45" s="5" t="str">
        <f>IF(A45&lt;&gt;"",INDEX(Map!$X$2:$X$67, MATCH('Raw data'!A45, Map!$V$2:$V$67,0)),"")</f>
        <v>R6</v>
      </c>
      <c r="D45" s="7">
        <f>IF(A45&lt;&gt;"",'1 day'!B46,"")</f>
        <v>40</v>
      </c>
      <c r="E45" s="11">
        <f>IF(A45&lt;&gt;"",'1 day'!C46,"")</f>
        <v>1.8160000000000001</v>
      </c>
      <c r="F45" s="12">
        <f>IF(A45&lt;&gt;"",'1 day'!C46/'1 day'!B46,"")</f>
        <v>4.5400000000000003E-2</v>
      </c>
      <c r="G45" s="18">
        <f>IF(A45&lt;&gt;"",'1 day'!E46*'1 day'!D46+'1 day'!F46,"")</f>
        <v>26.015000000000001</v>
      </c>
      <c r="H45" s="3">
        <f>IF(A45&lt;&gt;"",'1 day'!H46*'1 day'!G46+'1 day'!I46,"")</f>
        <v>96</v>
      </c>
      <c r="I45" s="19">
        <f>IF(A45&lt;&gt;"",'1 day'!K46*'1 day'!J46+'1 day'!L46,"")</f>
        <v>63</v>
      </c>
      <c r="K45" s="164" t="s">
        <v>87</v>
      </c>
      <c r="L45" s="162">
        <f>'14 days'!A46</f>
        <v>42</v>
      </c>
      <c r="M45" s="163">
        <f t="shared" si="9"/>
        <v>39</v>
      </c>
      <c r="N45" s="163" t="str">
        <f>INDEX(Map!$W$2:$W$67, MATCH('Raw data'!L45, Map!$V$2:$V$67,0))</f>
        <v>T5</v>
      </c>
      <c r="O45" s="165" t="str">
        <f>INDEX(Map!$X$2:$X$67, MATCH('Raw data'!L45, Map!$V$2:$V$67,0))</f>
        <v>R6</v>
      </c>
      <c r="P45" s="158">
        <f>'14 days'!C46-'14 days'!$C$3</f>
        <v>14.139999999999999</v>
      </c>
      <c r="Q45" s="154">
        <f t="shared" si="0"/>
        <v>0.36256410256410254</v>
      </c>
      <c r="R45" s="155">
        <f t="shared" si="1"/>
        <v>12.369399999999999</v>
      </c>
      <c r="S45" s="328">
        <f t="shared" si="20"/>
        <v>0.31716410256410255</v>
      </c>
      <c r="T45" s="336">
        <f>IF((IF(('14 days'!D46-'14 days'!$D$3)&lt;0, 0, ('14 days'!D46-'14 days'!$D$3)))+(IF(('14 days'!E46-'14 days'!$E$3)&lt;0, 0, ('14 days'!E46-'14 days'!$E$3)))+('14 days'!G46*'14 days'!F46)+('14 days'!H46)&lt;0, 0, (IF(('14 days'!D46-'14 days'!$D$3)&lt;0, 0, ('14 days'!D46-'14 days'!$D$3)))+(IF(('14 days'!E46-'14 days'!$E$3)&lt;0, 0, ('14 days'!E46-'14 days'!$E$3)))+('14 days'!G46*'14 days'!F46)+('14 days'!H46))</f>
        <v>10.965</v>
      </c>
      <c r="U45" s="158">
        <f t="shared" si="21"/>
        <v>15.05</v>
      </c>
      <c r="V45" s="154">
        <f t="shared" si="3"/>
        <v>0.38589743589743591</v>
      </c>
      <c r="W45" s="155">
        <f t="shared" si="22"/>
        <v>1.0592623873873876</v>
      </c>
      <c r="X45" s="196">
        <f t="shared" si="23"/>
        <v>40</v>
      </c>
      <c r="Y45" s="213">
        <f t="shared" si="19"/>
        <v>39</v>
      </c>
      <c r="Z45" s="163">
        <f>'14 days'!I46</f>
        <v>1</v>
      </c>
      <c r="AA45" s="154">
        <f>'14 days'!J46</f>
        <v>6.8000000000000005E-2</v>
      </c>
      <c r="AB45" s="163">
        <f>'14 days'!K46</f>
        <v>0</v>
      </c>
      <c r="AC45" s="154">
        <f>'14 days'!L46</f>
        <v>0</v>
      </c>
      <c r="AD45" s="213">
        <f>'14 days'!M46</f>
        <v>0</v>
      </c>
      <c r="AE45" s="154">
        <f>'14 days'!N46</f>
        <v>0</v>
      </c>
      <c r="AF45" s="163">
        <f t="shared" si="11"/>
        <v>1</v>
      </c>
      <c r="AG45" s="160">
        <f t="shared" si="12"/>
        <v>6.8000000000000005E-2</v>
      </c>
      <c r="AI45" s="319" t="s">
        <v>116</v>
      </c>
      <c r="AJ45" s="162">
        <f t="shared" si="13"/>
        <v>42</v>
      </c>
      <c r="AK45" s="163" t="str">
        <f>INDEX(Map!$W$2:$W$67, MATCH('Raw data'!AJ45, Map!$V$2:$V$67,0))</f>
        <v>T5</v>
      </c>
      <c r="AL45" s="165" t="str">
        <f>INDEX(Map!$X$2:$X$67, MATCH('Raw data'!AJ45, Map!$V$2:$V$67,0))</f>
        <v>R6</v>
      </c>
      <c r="AM45" s="319">
        <f t="shared" si="24"/>
        <v>14.139999999999999</v>
      </c>
      <c r="AN45" s="150">
        <f t="shared" si="14"/>
        <v>0.36256410256410254</v>
      </c>
      <c r="AO45" s="151">
        <f t="shared" si="15"/>
        <v>12.369399999999999</v>
      </c>
      <c r="AP45" s="150">
        <f t="shared" si="16"/>
        <v>0.31716410256410255</v>
      </c>
      <c r="AQ45" s="151">
        <f t="shared" si="17"/>
        <v>15.05</v>
      </c>
      <c r="AR45" s="149">
        <f t="shared" si="18"/>
        <v>0.38589743589743591</v>
      </c>
      <c r="AS45" s="150">
        <f t="shared" si="25"/>
        <v>1.0592623873873876</v>
      </c>
    </row>
    <row r="46" spans="1:45" x14ac:dyDescent="0.25">
      <c r="A46" s="5">
        <f>IF('1 day'!A47&lt;&gt;"",'1 day'!A47,"")</f>
        <v>43</v>
      </c>
      <c r="B46" s="5" t="str">
        <f>IF(A46&lt;&gt;"",INDEX(Map!$W$2:$W$67, MATCH('Raw data'!A46, Map!$V$2:$V$67,0)),"")</f>
        <v>T6</v>
      </c>
      <c r="C46" s="5" t="str">
        <f>IF(A46&lt;&gt;"",INDEX(Map!$X$2:$X$67, MATCH('Raw data'!A46, Map!$V$2:$V$67,0)),"")</f>
        <v>R11</v>
      </c>
      <c r="D46" s="7">
        <f>IF(A46&lt;&gt;"",'1 day'!B47,"")</f>
        <v>40</v>
      </c>
      <c r="E46" s="11">
        <f>IF(A46&lt;&gt;"",'1 day'!C47,"")</f>
        <v>1.8360000000000001</v>
      </c>
      <c r="F46" s="12">
        <f>IF(A46&lt;&gt;"",'1 day'!C47/'1 day'!B47,"")</f>
        <v>4.5900000000000003E-2</v>
      </c>
      <c r="G46" s="18">
        <f>IF(A46&lt;&gt;"",'1 day'!E47*'1 day'!D47+'1 day'!F47,"")</f>
        <v>24.914999999999999</v>
      </c>
      <c r="H46" s="3">
        <f>IF(A46&lt;&gt;"",'1 day'!H47*'1 day'!G47+'1 day'!I47,"")</f>
        <v>94.3</v>
      </c>
      <c r="I46" s="19">
        <f>IF(A46&lt;&gt;"",'1 day'!K47*'1 day'!J47+'1 day'!L47,"")</f>
        <v>61.9</v>
      </c>
      <c r="K46" s="164" t="s">
        <v>87</v>
      </c>
      <c r="L46" s="162">
        <f>'14 days'!A47</f>
        <v>43</v>
      </c>
      <c r="M46" s="163">
        <f t="shared" si="9"/>
        <v>38</v>
      </c>
      <c r="N46" s="163" t="str">
        <f>INDEX(Map!$W$2:$W$67, MATCH('Raw data'!L46, Map!$V$2:$V$67,0))</f>
        <v>T6</v>
      </c>
      <c r="O46" s="165" t="str">
        <f>INDEX(Map!$X$2:$X$67, MATCH('Raw data'!L46, Map!$V$2:$V$67,0))</f>
        <v>R11</v>
      </c>
      <c r="P46" s="158">
        <f>'14 days'!C47-'14 days'!$C$3</f>
        <v>13.69</v>
      </c>
      <c r="Q46" s="154">
        <f t="shared" si="0"/>
        <v>0.36026315789473684</v>
      </c>
      <c r="R46" s="155">
        <f t="shared" si="1"/>
        <v>11.9458</v>
      </c>
      <c r="S46" s="328">
        <f t="shared" si="20"/>
        <v>0.31436315789473684</v>
      </c>
      <c r="T46" s="336">
        <f>IF((IF(('14 days'!D47-'14 days'!$D$3)&lt;0, 0, ('14 days'!D47-'14 days'!$D$3)))+(IF(('14 days'!E47-'14 days'!$E$3)&lt;0, 0, ('14 days'!E47-'14 days'!$E$3)))+('14 days'!G47*'14 days'!F47)+('14 days'!H47)&lt;0, 0, (IF(('14 days'!D47-'14 days'!$D$3)&lt;0, 0, ('14 days'!D47-'14 days'!$D$3)))+(IF(('14 days'!E47-'14 days'!$E$3)&lt;0, 0, ('14 days'!E47-'14 days'!$E$3)))+('14 days'!G47*'14 days'!F47)+('14 days'!H47))</f>
        <v>9.1650000000000009</v>
      </c>
      <c r="U46" s="158">
        <f t="shared" si="21"/>
        <v>15.749999999999998</v>
      </c>
      <c r="V46" s="154">
        <f t="shared" si="3"/>
        <v>0.41447368421052627</v>
      </c>
      <c r="W46" s="155">
        <f t="shared" si="22"/>
        <v>1.1364456309979074</v>
      </c>
      <c r="X46" s="196">
        <f t="shared" si="23"/>
        <v>40</v>
      </c>
      <c r="Y46" s="213">
        <f t="shared" si="19"/>
        <v>38</v>
      </c>
      <c r="Z46" s="163">
        <f>'14 days'!I47</f>
        <v>2</v>
      </c>
      <c r="AA46" s="154">
        <f>'14 days'!J47</f>
        <v>0.16900000000000001</v>
      </c>
      <c r="AB46" s="163">
        <f>'14 days'!K47</f>
        <v>0</v>
      </c>
      <c r="AC46" s="154">
        <f>'14 days'!L47</f>
        <v>0</v>
      </c>
      <c r="AD46" s="213">
        <f>'14 days'!M47</f>
        <v>0</v>
      </c>
      <c r="AE46" s="154">
        <f>'14 days'!N47</f>
        <v>0</v>
      </c>
      <c r="AF46" s="163">
        <f t="shared" si="11"/>
        <v>2</v>
      </c>
      <c r="AG46" s="160">
        <f t="shared" si="12"/>
        <v>0.16900000000000001</v>
      </c>
      <c r="AI46" s="319" t="s">
        <v>116</v>
      </c>
      <c r="AJ46" s="162">
        <f t="shared" si="13"/>
        <v>43</v>
      </c>
      <c r="AK46" s="163" t="str">
        <f>INDEX(Map!$W$2:$W$67, MATCH('Raw data'!AJ46, Map!$V$2:$V$67,0))</f>
        <v>T6</v>
      </c>
      <c r="AL46" s="165" t="str">
        <f>INDEX(Map!$X$2:$X$67, MATCH('Raw data'!AJ46, Map!$V$2:$V$67,0))</f>
        <v>R11</v>
      </c>
      <c r="AM46" s="319">
        <f t="shared" si="24"/>
        <v>13.69</v>
      </c>
      <c r="AN46" s="150">
        <f t="shared" si="14"/>
        <v>0.36026315789473684</v>
      </c>
      <c r="AO46" s="151">
        <f t="shared" si="15"/>
        <v>11.9458</v>
      </c>
      <c r="AP46" s="150">
        <f t="shared" si="16"/>
        <v>0.31436315789473684</v>
      </c>
      <c r="AQ46" s="151">
        <f t="shared" si="17"/>
        <v>15.749999999999998</v>
      </c>
      <c r="AR46" s="149">
        <f t="shared" si="18"/>
        <v>0.41447368421052627</v>
      </c>
      <c r="AS46" s="150">
        <f t="shared" si="25"/>
        <v>1.1364456309979074</v>
      </c>
    </row>
    <row r="47" spans="1:45" x14ac:dyDescent="0.25">
      <c r="A47" s="5">
        <f>IF('1 day'!A48&lt;&gt;"",'1 day'!A48,"")</f>
        <v>44</v>
      </c>
      <c r="B47" s="5" t="str">
        <f>IF(A47&lt;&gt;"",INDEX(Map!$W$2:$W$67, MATCH('Raw data'!A47, Map!$V$2:$V$67,0)),"")</f>
        <v>T4</v>
      </c>
      <c r="C47" s="5" t="str">
        <f>IF(A47&lt;&gt;"",INDEX(Map!$X$2:$X$67, MATCH('Raw data'!A47, Map!$V$2:$V$67,0)),"")</f>
        <v>R11</v>
      </c>
      <c r="D47" s="7">
        <f>IF(A47&lt;&gt;"",'1 day'!B48,"")</f>
        <v>40</v>
      </c>
      <c r="E47" s="11">
        <f>IF(A47&lt;&gt;"",'1 day'!C48,"")</f>
        <v>1.84</v>
      </c>
      <c r="F47" s="12">
        <f>IF(A47&lt;&gt;"",'1 day'!C48/'1 day'!B48,"")</f>
        <v>4.5999999999999999E-2</v>
      </c>
      <c r="G47" s="18">
        <f>IF(A47&lt;&gt;"",'1 day'!E48*'1 day'!D48+'1 day'!F48,"")</f>
        <v>24.765000000000001</v>
      </c>
      <c r="H47" s="3">
        <f>IF(A47&lt;&gt;"",'1 day'!H48*'1 day'!G48+'1 day'!I48,"")</f>
        <v>94.45</v>
      </c>
      <c r="I47" s="19">
        <f>IF(A47&lt;&gt;"",'1 day'!K48*'1 day'!J48+'1 day'!L48,"")</f>
        <v>61.9</v>
      </c>
      <c r="K47" s="164" t="s">
        <v>87</v>
      </c>
      <c r="L47" s="162">
        <f>'14 days'!A48</f>
        <v>44</v>
      </c>
      <c r="M47" s="163">
        <f t="shared" si="9"/>
        <v>39</v>
      </c>
      <c r="N47" s="163" t="str">
        <f>INDEX(Map!$W$2:$W$67, MATCH('Raw data'!L47, Map!$V$2:$V$67,0))</f>
        <v>T4</v>
      </c>
      <c r="O47" s="165" t="str">
        <f>INDEX(Map!$X$2:$X$67, MATCH('Raw data'!L47, Map!$V$2:$V$67,0))</f>
        <v>R11</v>
      </c>
      <c r="P47" s="158">
        <f>'14 days'!C48-'14 days'!$C$3</f>
        <v>14.889999999999999</v>
      </c>
      <c r="Q47" s="154">
        <f t="shared" si="0"/>
        <v>0.38179487179487176</v>
      </c>
      <c r="R47" s="155">
        <f t="shared" si="1"/>
        <v>13.096</v>
      </c>
      <c r="S47" s="328">
        <f t="shared" si="20"/>
        <v>0.33579487179487177</v>
      </c>
      <c r="T47" s="336">
        <f>IF((IF(('14 days'!D48-'14 days'!$D$3)&lt;0, 0, ('14 days'!D48-'14 days'!$D$3)))+(IF(('14 days'!E48-'14 days'!$E$3)&lt;0, 0, ('14 days'!E48-'14 days'!$E$3)))+('14 days'!G48*'14 days'!F48)+('14 days'!H48)&lt;0, 0, (IF(('14 days'!D48-'14 days'!$D$3)&lt;0, 0, ('14 days'!D48-'14 days'!$D$3)))+(IF(('14 days'!E48-'14 days'!$E$3)&lt;0, 0, ('14 days'!E48-'14 days'!$E$3)))+('14 days'!G48*'14 days'!F48)+('14 days'!H48))</f>
        <v>7.8650000000000002</v>
      </c>
      <c r="U47" s="158">
        <f t="shared" si="21"/>
        <v>16.899999999999999</v>
      </c>
      <c r="V47" s="154">
        <f t="shared" si="3"/>
        <v>0.43333333333333329</v>
      </c>
      <c r="W47" s="155">
        <f t="shared" si="22"/>
        <v>1.1236702127659575</v>
      </c>
      <c r="X47" s="196">
        <f t="shared" si="23"/>
        <v>40</v>
      </c>
      <c r="Y47" s="213">
        <f t="shared" si="19"/>
        <v>39</v>
      </c>
      <c r="Z47" s="163">
        <f>'14 days'!I48</f>
        <v>0</v>
      </c>
      <c r="AA47" s="154">
        <f>'14 days'!J48</f>
        <v>0</v>
      </c>
      <c r="AB47" s="163">
        <f>'14 days'!K48</f>
        <v>1</v>
      </c>
      <c r="AC47" s="154">
        <f>'14 days'!L48</f>
        <v>0.15</v>
      </c>
      <c r="AD47" s="213">
        <f>'14 days'!M48</f>
        <v>0</v>
      </c>
      <c r="AE47" s="154">
        <f>'14 days'!N48</f>
        <v>0</v>
      </c>
      <c r="AF47" s="163">
        <f t="shared" si="11"/>
        <v>1</v>
      </c>
      <c r="AG47" s="160">
        <f t="shared" si="12"/>
        <v>0.15</v>
      </c>
      <c r="AI47" s="319" t="s">
        <v>116</v>
      </c>
      <c r="AJ47" s="162">
        <f t="shared" si="13"/>
        <v>44</v>
      </c>
      <c r="AK47" s="163" t="str">
        <f>INDEX(Map!$W$2:$W$67, MATCH('Raw data'!AJ47, Map!$V$2:$V$67,0))</f>
        <v>T4</v>
      </c>
      <c r="AL47" s="165" t="str">
        <f>INDEX(Map!$X$2:$X$67, MATCH('Raw data'!AJ47, Map!$V$2:$V$67,0))</f>
        <v>R11</v>
      </c>
      <c r="AM47" s="319">
        <f t="shared" si="24"/>
        <v>14.889999999999999</v>
      </c>
      <c r="AN47" s="150">
        <f t="shared" si="14"/>
        <v>0.38179487179487176</v>
      </c>
      <c r="AO47" s="151">
        <f t="shared" si="15"/>
        <v>13.096</v>
      </c>
      <c r="AP47" s="150">
        <f t="shared" si="16"/>
        <v>0.33579487179487177</v>
      </c>
      <c r="AQ47" s="151">
        <f t="shared" si="17"/>
        <v>16.899999999999999</v>
      </c>
      <c r="AR47" s="149">
        <f t="shared" si="18"/>
        <v>0.43333333333333329</v>
      </c>
      <c r="AS47" s="150">
        <f t="shared" si="25"/>
        <v>1.1236702127659575</v>
      </c>
    </row>
    <row r="48" spans="1:45" x14ac:dyDescent="0.25">
      <c r="A48" s="5">
        <f>IF('1 day'!A49&lt;&gt;"",'1 day'!A49,"")</f>
        <v>45</v>
      </c>
      <c r="B48" s="5" t="str">
        <f>IF(A48&lt;&gt;"",INDEX(Map!$W$2:$W$67, MATCH('Raw data'!A48, Map!$V$2:$V$67,0)),"")</f>
        <v>T3</v>
      </c>
      <c r="C48" s="5" t="str">
        <f>IF(A48&lt;&gt;"",INDEX(Map!$X$2:$X$67, MATCH('Raw data'!A48, Map!$V$2:$V$67,0)),"")</f>
        <v>R10</v>
      </c>
      <c r="D48" s="7">
        <f>IF(A48&lt;&gt;"",'1 day'!B49,"")</f>
        <v>40</v>
      </c>
      <c r="E48" s="11">
        <f>IF(A48&lt;&gt;"",'1 day'!C49,"")</f>
        <v>1.82</v>
      </c>
      <c r="F48" s="12">
        <f>IF(A48&lt;&gt;"",'1 day'!C49/'1 day'!B49,"")</f>
        <v>4.5499999999999999E-2</v>
      </c>
      <c r="G48" s="18">
        <f>IF(A48&lt;&gt;"",'1 day'!E49*'1 day'!D49+'1 day'!F49,"")</f>
        <v>26.815000000000001</v>
      </c>
      <c r="H48" s="3">
        <f>IF(A48&lt;&gt;"",'1 day'!H49*'1 day'!G49+'1 day'!I49,"")</f>
        <v>96</v>
      </c>
      <c r="I48" s="19">
        <f>IF(A48&lt;&gt;"",'1 day'!K49*'1 day'!J49+'1 day'!L49,"")</f>
        <v>63</v>
      </c>
      <c r="K48" s="164" t="s">
        <v>87</v>
      </c>
      <c r="L48" s="162">
        <f>'14 days'!A49</f>
        <v>45</v>
      </c>
      <c r="M48" s="163">
        <f t="shared" si="9"/>
        <v>40</v>
      </c>
      <c r="N48" s="163" t="str">
        <f>INDEX(Map!$W$2:$W$67, MATCH('Raw data'!L48, Map!$V$2:$V$67,0))</f>
        <v>T3</v>
      </c>
      <c r="O48" s="165" t="str">
        <f>INDEX(Map!$X$2:$X$67, MATCH('Raw data'!L48, Map!$V$2:$V$67,0))</f>
        <v>R10</v>
      </c>
      <c r="P48" s="158">
        <f>'14 days'!C49-'14 days'!$C$3</f>
        <v>13.389999999999999</v>
      </c>
      <c r="Q48" s="154">
        <f t="shared" si="0"/>
        <v>0.33474999999999999</v>
      </c>
      <c r="R48" s="155">
        <f t="shared" si="1"/>
        <v>11.57</v>
      </c>
      <c r="S48" s="328">
        <f t="shared" si="20"/>
        <v>0.28925000000000001</v>
      </c>
      <c r="T48" s="336">
        <f>IF((IF(('14 days'!D49-'14 days'!$D$3)&lt;0, 0, ('14 days'!D49-'14 days'!$D$3)))+(IF(('14 days'!E49-'14 days'!$E$3)&lt;0, 0, ('14 days'!E49-'14 days'!$E$3)))+('14 days'!G49*'14 days'!F49)+('14 days'!H49)&lt;0, 0, (IF(('14 days'!D49-'14 days'!$D$3)&lt;0, 0, ('14 days'!D49-'14 days'!$D$3)))+(IF(('14 days'!E49-'14 days'!$E$3)&lt;0, 0, ('14 days'!E49-'14 days'!$E$3)))+('14 days'!G49*'14 days'!F49)+('14 days'!H49))</f>
        <v>11.414999999999999</v>
      </c>
      <c r="U48" s="158">
        <f t="shared" si="21"/>
        <v>15.400000000000002</v>
      </c>
      <c r="V48" s="154">
        <f t="shared" si="3"/>
        <v>0.38500000000000006</v>
      </c>
      <c r="W48" s="155">
        <f t="shared" si="22"/>
        <v>1.1501120238984319</v>
      </c>
      <c r="X48" s="196">
        <f t="shared" si="23"/>
        <v>40</v>
      </c>
      <c r="Y48" s="213">
        <f t="shared" si="19"/>
        <v>40</v>
      </c>
      <c r="Z48" s="163">
        <f>'14 days'!I49</f>
        <v>0</v>
      </c>
      <c r="AA48" s="154">
        <f>'14 days'!J49</f>
        <v>0</v>
      </c>
      <c r="AB48" s="163">
        <f>'14 days'!K49</f>
        <v>0</v>
      </c>
      <c r="AC48" s="154">
        <f>'14 days'!L49</f>
        <v>0</v>
      </c>
      <c r="AD48" s="213">
        <f>'14 days'!M49</f>
        <v>0</v>
      </c>
      <c r="AE48" s="154">
        <f>'14 days'!N49</f>
        <v>0</v>
      </c>
      <c r="AF48" s="163">
        <f t="shared" si="11"/>
        <v>0</v>
      </c>
      <c r="AG48" s="160">
        <f t="shared" si="12"/>
        <v>0</v>
      </c>
      <c r="AI48" s="319" t="s">
        <v>116</v>
      </c>
      <c r="AJ48" s="162">
        <f t="shared" si="13"/>
        <v>45</v>
      </c>
      <c r="AK48" s="163" t="str">
        <f>INDEX(Map!$W$2:$W$67, MATCH('Raw data'!AJ48, Map!$V$2:$V$67,0))</f>
        <v>T3</v>
      </c>
      <c r="AL48" s="165" t="str">
        <f>INDEX(Map!$X$2:$X$67, MATCH('Raw data'!AJ48, Map!$V$2:$V$67,0))</f>
        <v>R10</v>
      </c>
      <c r="AM48" s="319">
        <f t="shared" si="24"/>
        <v>13.389999999999999</v>
      </c>
      <c r="AN48" s="150">
        <f t="shared" si="14"/>
        <v>0.33474999999999999</v>
      </c>
      <c r="AO48" s="151">
        <f t="shared" si="15"/>
        <v>11.57</v>
      </c>
      <c r="AP48" s="150">
        <f t="shared" si="16"/>
        <v>0.28925000000000001</v>
      </c>
      <c r="AQ48" s="151">
        <f t="shared" si="17"/>
        <v>15.400000000000002</v>
      </c>
      <c r="AR48" s="149">
        <f t="shared" si="18"/>
        <v>0.38500000000000006</v>
      </c>
      <c r="AS48" s="150">
        <f t="shared" si="25"/>
        <v>1.1501120238984319</v>
      </c>
    </row>
    <row r="49" spans="1:45" x14ac:dyDescent="0.25">
      <c r="A49" s="5">
        <f>IF('1 day'!A50&lt;&gt;"",'1 day'!A50,"")</f>
        <v>46</v>
      </c>
      <c r="B49" s="5" t="str">
        <f>IF(A49&lt;&gt;"",INDEX(Map!$W$2:$W$67, MATCH('Raw data'!A49, Map!$V$2:$V$67,0)),"")</f>
        <v>T1</v>
      </c>
      <c r="C49" s="5" t="str">
        <f>IF(A49&lt;&gt;"",INDEX(Map!$X$2:$X$67, MATCH('Raw data'!A49, Map!$V$2:$V$67,0)),"")</f>
        <v>R10</v>
      </c>
      <c r="D49" s="7">
        <f>IF(A49&lt;&gt;"",'1 day'!B50,"")</f>
        <v>40</v>
      </c>
      <c r="E49" s="11">
        <f>IF(A49&lt;&gt;"",'1 day'!C50,"")</f>
        <v>1.82</v>
      </c>
      <c r="F49" s="12">
        <f>IF(A49&lt;&gt;"",'1 day'!C50/'1 day'!B50,"")</f>
        <v>4.5499999999999999E-2</v>
      </c>
      <c r="G49" s="18">
        <f>IF(A49&lt;&gt;"",'1 day'!E50*'1 day'!D50+'1 day'!F50,"")</f>
        <v>26.815000000000001</v>
      </c>
      <c r="H49" s="3">
        <f>IF(A49&lt;&gt;"",'1 day'!H50*'1 day'!G50+'1 day'!I50,"")</f>
        <v>96</v>
      </c>
      <c r="I49" s="19">
        <f>IF(A49&lt;&gt;"",'1 day'!K50*'1 day'!J50+'1 day'!L50,"")</f>
        <v>63</v>
      </c>
      <c r="K49" s="164" t="s">
        <v>87</v>
      </c>
      <c r="L49" s="162">
        <f>'14 days'!A50</f>
        <v>46</v>
      </c>
      <c r="M49" s="163">
        <f t="shared" si="9"/>
        <v>39</v>
      </c>
      <c r="N49" s="163" t="str">
        <f>INDEX(Map!$W$2:$W$67, MATCH('Raw data'!L49, Map!$V$2:$V$67,0))</f>
        <v>T1</v>
      </c>
      <c r="O49" s="165" t="str">
        <f>INDEX(Map!$X$2:$X$67, MATCH('Raw data'!L49, Map!$V$2:$V$67,0))</f>
        <v>R10</v>
      </c>
      <c r="P49" s="158">
        <f>'14 days'!C50-'14 days'!$C$3</f>
        <v>14.339999999999998</v>
      </c>
      <c r="Q49" s="154">
        <f t="shared" si="0"/>
        <v>0.36769230769230765</v>
      </c>
      <c r="R49" s="155">
        <f t="shared" si="1"/>
        <v>12.565499999999998</v>
      </c>
      <c r="S49" s="328">
        <f t="shared" si="20"/>
        <v>0.32219230769230767</v>
      </c>
      <c r="T49" s="336">
        <f>IF((IF(('14 days'!D50-'14 days'!$D$3)&lt;0, 0, ('14 days'!D50-'14 days'!$D$3)))+(IF(('14 days'!E50-'14 days'!$E$3)&lt;0, 0, ('14 days'!E50-'14 days'!$E$3)))+('14 days'!G50*'14 days'!F50)+('14 days'!H50)&lt;0, 0, (IF(('14 days'!D50-'14 days'!$D$3)&lt;0, 0, ('14 days'!D50-'14 days'!$D$3)))+(IF(('14 days'!E50-'14 days'!$E$3)&lt;0, 0, ('14 days'!E50-'14 days'!$E$3)))+('14 days'!G50*'14 days'!F50)+('14 days'!H50))</f>
        <v>9.9149999999999991</v>
      </c>
      <c r="U49" s="158">
        <f t="shared" si="21"/>
        <v>16.900000000000002</v>
      </c>
      <c r="V49" s="154">
        <f t="shared" si="3"/>
        <v>0.4333333333333334</v>
      </c>
      <c r="W49" s="155">
        <f t="shared" si="22"/>
        <v>1.1599176389842143</v>
      </c>
      <c r="X49" s="196">
        <f t="shared" si="23"/>
        <v>40</v>
      </c>
      <c r="Y49" s="213">
        <f t="shared" si="19"/>
        <v>39</v>
      </c>
      <c r="Z49" s="163">
        <f>'14 days'!I50</f>
        <v>1</v>
      </c>
      <c r="AA49" s="154">
        <f>'14 days'!J50</f>
        <v>0.23</v>
      </c>
      <c r="AB49" s="163">
        <f>'14 days'!K50</f>
        <v>0</v>
      </c>
      <c r="AC49" s="154">
        <f>'14 days'!L50</f>
        <v>0</v>
      </c>
      <c r="AD49" s="213">
        <f>'14 days'!M50</f>
        <v>0</v>
      </c>
      <c r="AE49" s="154">
        <f>'14 days'!N50</f>
        <v>0</v>
      </c>
      <c r="AF49" s="163">
        <f t="shared" si="11"/>
        <v>1</v>
      </c>
      <c r="AG49" s="160">
        <f t="shared" si="12"/>
        <v>0.23</v>
      </c>
      <c r="AI49" s="319" t="s">
        <v>116</v>
      </c>
      <c r="AJ49" s="162">
        <f t="shared" si="13"/>
        <v>46</v>
      </c>
      <c r="AK49" s="163" t="str">
        <f>INDEX(Map!$W$2:$W$67, MATCH('Raw data'!AJ49, Map!$V$2:$V$67,0))</f>
        <v>T1</v>
      </c>
      <c r="AL49" s="165" t="str">
        <f>INDEX(Map!$X$2:$X$67, MATCH('Raw data'!AJ49, Map!$V$2:$V$67,0))</f>
        <v>R10</v>
      </c>
      <c r="AM49" s="319">
        <f t="shared" si="24"/>
        <v>14.339999999999998</v>
      </c>
      <c r="AN49" s="150">
        <f t="shared" si="14"/>
        <v>0.36769230769230765</v>
      </c>
      <c r="AO49" s="151">
        <f t="shared" si="15"/>
        <v>12.565499999999998</v>
      </c>
      <c r="AP49" s="150">
        <f t="shared" si="16"/>
        <v>0.32219230769230767</v>
      </c>
      <c r="AQ49" s="151">
        <f t="shared" si="17"/>
        <v>16.900000000000002</v>
      </c>
      <c r="AR49" s="149">
        <f t="shared" si="18"/>
        <v>0.4333333333333334</v>
      </c>
      <c r="AS49" s="150">
        <f t="shared" si="25"/>
        <v>1.1599176389842143</v>
      </c>
    </row>
    <row r="50" spans="1:45" x14ac:dyDescent="0.25">
      <c r="A50" s="5">
        <f>IF('1 day'!A51&lt;&gt;"",'1 day'!A51,"")</f>
        <v>47</v>
      </c>
      <c r="B50" s="5" t="str">
        <f>IF(A50&lt;&gt;"",INDEX(Map!$W$2:$W$67, MATCH('Raw data'!A50, Map!$V$2:$V$67,0)),"")</f>
        <v>T6</v>
      </c>
      <c r="C50" s="5" t="str">
        <f>IF(A50&lt;&gt;"",INDEX(Map!$X$2:$X$67, MATCH('Raw data'!A50, Map!$V$2:$V$67,0)),"")</f>
        <v>R7</v>
      </c>
      <c r="D50" s="7">
        <f>IF(A50&lt;&gt;"",'1 day'!B51,"")</f>
        <v>40</v>
      </c>
      <c r="E50" s="11">
        <f>IF(A50&lt;&gt;"",'1 day'!C51,"")</f>
        <v>1.8140000000000001</v>
      </c>
      <c r="F50" s="12">
        <f>IF(A50&lt;&gt;"",'1 day'!C51/'1 day'!B51,"")</f>
        <v>4.5350000000000001E-2</v>
      </c>
      <c r="G50" s="18">
        <f>IF(A50&lt;&gt;"",'1 day'!E51*'1 day'!D51+'1 day'!F51,"")</f>
        <v>26.315000000000001</v>
      </c>
      <c r="H50" s="3">
        <f>IF(A50&lt;&gt;"",'1 day'!H51*'1 day'!G51+'1 day'!I51,"")</f>
        <v>96</v>
      </c>
      <c r="I50" s="19">
        <f>IF(A50&lt;&gt;"",'1 day'!K51*'1 day'!J51+'1 day'!L51,"")</f>
        <v>63</v>
      </c>
      <c r="K50" s="164" t="s">
        <v>87</v>
      </c>
      <c r="L50" s="162">
        <f>'14 days'!A51</f>
        <v>47</v>
      </c>
      <c r="M50" s="163">
        <f t="shared" si="9"/>
        <v>40</v>
      </c>
      <c r="N50" s="163" t="str">
        <f>INDEX(Map!$W$2:$W$67, MATCH('Raw data'!L50, Map!$V$2:$V$67,0))</f>
        <v>T6</v>
      </c>
      <c r="O50" s="165" t="str">
        <f>INDEX(Map!$X$2:$X$67, MATCH('Raw data'!L50, Map!$V$2:$V$67,0))</f>
        <v>R7</v>
      </c>
      <c r="P50" s="158">
        <f>'14 days'!C51-'14 days'!$C$3</f>
        <v>13.49</v>
      </c>
      <c r="Q50" s="154">
        <f t="shared" si="0"/>
        <v>0.33724999999999999</v>
      </c>
      <c r="R50" s="155">
        <f t="shared" si="1"/>
        <v>11.676</v>
      </c>
      <c r="S50" s="328">
        <f t="shared" si="20"/>
        <v>0.29189999999999999</v>
      </c>
      <c r="T50" s="336">
        <f>IF((IF(('14 days'!D51-'14 days'!$D$3)&lt;0, 0, ('14 days'!D51-'14 days'!$D$3)))+(IF(('14 days'!E51-'14 days'!$E$3)&lt;0, 0, ('14 days'!E51-'14 days'!$E$3)))+('14 days'!G51*'14 days'!F51)+('14 days'!H51)&lt;0, 0, (IF(('14 days'!D51-'14 days'!$D$3)&lt;0, 0, ('14 days'!D51-'14 days'!$D$3)))+(IF(('14 days'!E51-'14 days'!$E$3)&lt;0, 0, ('14 days'!E51-'14 days'!$E$3)))+('14 days'!G51*'14 days'!F51)+('14 days'!H51))</f>
        <v>10.815000000000001</v>
      </c>
      <c r="U50" s="158">
        <f t="shared" si="21"/>
        <v>15.5</v>
      </c>
      <c r="V50" s="154">
        <f t="shared" si="3"/>
        <v>0.38750000000000001</v>
      </c>
      <c r="W50" s="155">
        <f t="shared" si="22"/>
        <v>1.1489992587101556</v>
      </c>
      <c r="X50" s="196">
        <f t="shared" si="23"/>
        <v>40</v>
      </c>
      <c r="Y50" s="213">
        <f t="shared" si="19"/>
        <v>40</v>
      </c>
      <c r="Z50" s="163">
        <f>'14 days'!I51</f>
        <v>0</v>
      </c>
      <c r="AA50" s="154">
        <f>'14 days'!J51</f>
        <v>0</v>
      </c>
      <c r="AB50" s="163">
        <f>'14 days'!K51</f>
        <v>0</v>
      </c>
      <c r="AC50" s="154">
        <f>'14 days'!L51</f>
        <v>0</v>
      </c>
      <c r="AD50" s="213">
        <f>'14 days'!M51</f>
        <v>0</v>
      </c>
      <c r="AE50" s="154">
        <f>'14 days'!N51</f>
        <v>0</v>
      </c>
      <c r="AF50" s="163">
        <f t="shared" si="11"/>
        <v>0</v>
      </c>
      <c r="AG50" s="160">
        <f t="shared" si="12"/>
        <v>0</v>
      </c>
      <c r="AI50" s="319" t="s">
        <v>116</v>
      </c>
      <c r="AJ50" s="162">
        <f t="shared" si="13"/>
        <v>47</v>
      </c>
      <c r="AK50" s="163" t="str">
        <f>INDEX(Map!$W$2:$W$67, MATCH('Raw data'!AJ50, Map!$V$2:$V$67,0))</f>
        <v>T6</v>
      </c>
      <c r="AL50" s="165" t="str">
        <f>INDEX(Map!$X$2:$X$67, MATCH('Raw data'!AJ50, Map!$V$2:$V$67,0))</f>
        <v>R7</v>
      </c>
      <c r="AM50" s="319">
        <f t="shared" si="24"/>
        <v>13.49</v>
      </c>
      <c r="AN50" s="150">
        <f t="shared" si="14"/>
        <v>0.33724999999999999</v>
      </c>
      <c r="AO50" s="151">
        <f t="shared" si="15"/>
        <v>11.676</v>
      </c>
      <c r="AP50" s="150">
        <f t="shared" si="16"/>
        <v>0.29189999999999999</v>
      </c>
      <c r="AQ50" s="151">
        <f t="shared" si="17"/>
        <v>15.5</v>
      </c>
      <c r="AR50" s="149">
        <f t="shared" si="18"/>
        <v>0.38750000000000001</v>
      </c>
      <c r="AS50" s="150">
        <f t="shared" si="25"/>
        <v>1.1489992587101556</v>
      </c>
    </row>
    <row r="51" spans="1:45" x14ac:dyDescent="0.25">
      <c r="A51" s="5">
        <f>IF('1 day'!A52&lt;&gt;"",'1 day'!A52,"")</f>
        <v>48</v>
      </c>
      <c r="B51" s="5" t="str">
        <f>IF(A51&lt;&gt;"",INDEX(Map!$W$2:$W$67, MATCH('Raw data'!A51, Map!$V$2:$V$67,0)),"")</f>
        <v>T4</v>
      </c>
      <c r="C51" s="5" t="str">
        <f>IF(A51&lt;&gt;"",INDEX(Map!$X$2:$X$67, MATCH('Raw data'!A51, Map!$V$2:$V$67,0)),"")</f>
        <v>R7</v>
      </c>
      <c r="D51" s="7">
        <f>IF(A51&lt;&gt;"",'1 day'!B52,"")</f>
        <v>40</v>
      </c>
      <c r="E51" s="11">
        <f>IF(A51&lt;&gt;"",'1 day'!C52,"")</f>
        <v>1.8169999999999999</v>
      </c>
      <c r="F51" s="12">
        <f>IF(A51&lt;&gt;"",'1 day'!C52/'1 day'!B52,"")</f>
        <v>4.5425E-2</v>
      </c>
      <c r="G51" s="18">
        <f>IF(A51&lt;&gt;"",'1 day'!E52*'1 day'!D52+'1 day'!F52,"")</f>
        <v>26.765000000000001</v>
      </c>
      <c r="H51" s="3">
        <f>IF(A51&lt;&gt;"",'1 day'!H52*'1 day'!G52+'1 day'!I52,"")</f>
        <v>96</v>
      </c>
      <c r="I51" s="19">
        <f>IF(A51&lt;&gt;"",'1 day'!K52*'1 day'!J52+'1 day'!L52,"")</f>
        <v>63</v>
      </c>
      <c r="K51" s="164" t="s">
        <v>87</v>
      </c>
      <c r="L51" s="162">
        <f>'14 days'!A52</f>
        <v>48</v>
      </c>
      <c r="M51" s="163">
        <f t="shared" si="9"/>
        <v>38</v>
      </c>
      <c r="N51" s="163" t="str">
        <f>INDEX(Map!$W$2:$W$67, MATCH('Raw data'!L51, Map!$V$2:$V$67,0))</f>
        <v>T4</v>
      </c>
      <c r="O51" s="165" t="str">
        <f>INDEX(Map!$X$2:$X$67, MATCH('Raw data'!L51, Map!$V$2:$V$67,0))</f>
        <v>R7</v>
      </c>
      <c r="P51" s="158">
        <f>'14 days'!C52-'14 days'!$C$3</f>
        <v>13.09</v>
      </c>
      <c r="Q51" s="154">
        <f t="shared" si="0"/>
        <v>0.34447368421052632</v>
      </c>
      <c r="R51" s="155">
        <f t="shared" si="1"/>
        <v>11.363850000000001</v>
      </c>
      <c r="S51" s="328">
        <f t="shared" si="20"/>
        <v>0.29904868421052633</v>
      </c>
      <c r="T51" s="336">
        <f>IF((IF(('14 days'!D52-'14 days'!$D$3)&lt;0, 0, ('14 days'!D52-'14 days'!$D$3)))+(IF(('14 days'!E52-'14 days'!$E$3)&lt;0, 0, ('14 days'!E52-'14 days'!$E$3)))+('14 days'!G52*'14 days'!F52)+('14 days'!H52)&lt;0, 0, (IF(('14 days'!D52-'14 days'!$D$3)&lt;0, 0, ('14 days'!D52-'14 days'!$D$3)))+(IF(('14 days'!E52-'14 days'!$E$3)&lt;0, 0, ('14 days'!E52-'14 days'!$E$3)))+('14 days'!G52*'14 days'!F52)+('14 days'!H52))</f>
        <v>10.864999999999998</v>
      </c>
      <c r="U51" s="158">
        <f t="shared" si="21"/>
        <v>15.900000000000002</v>
      </c>
      <c r="V51" s="154">
        <f t="shared" si="3"/>
        <v>0.41842105263157903</v>
      </c>
      <c r="W51" s="155">
        <f t="shared" si="22"/>
        <v>1.1656891495601174</v>
      </c>
      <c r="X51" s="196">
        <f t="shared" si="23"/>
        <v>40</v>
      </c>
      <c r="Y51" s="213">
        <f t="shared" si="19"/>
        <v>38</v>
      </c>
      <c r="Z51" s="163">
        <f>'14 days'!I52</f>
        <v>0</v>
      </c>
      <c r="AA51" s="154">
        <f>'14 days'!J52</f>
        <v>0</v>
      </c>
      <c r="AB51" s="163">
        <f>'14 days'!K52</f>
        <v>2</v>
      </c>
      <c r="AC51" s="154">
        <f>'14 days'!L52</f>
        <v>0.55000000000000004</v>
      </c>
      <c r="AD51" s="213">
        <f>'14 days'!M52</f>
        <v>0</v>
      </c>
      <c r="AE51" s="154">
        <f>'14 days'!N52</f>
        <v>0</v>
      </c>
      <c r="AF51" s="163">
        <f t="shared" si="11"/>
        <v>2</v>
      </c>
      <c r="AG51" s="160">
        <f t="shared" si="12"/>
        <v>0.55000000000000004</v>
      </c>
      <c r="AI51" s="319" t="s">
        <v>116</v>
      </c>
      <c r="AJ51" s="162">
        <f t="shared" si="13"/>
        <v>48</v>
      </c>
      <c r="AK51" s="163" t="str">
        <f>INDEX(Map!$W$2:$W$67, MATCH('Raw data'!AJ51, Map!$V$2:$V$67,0))</f>
        <v>T4</v>
      </c>
      <c r="AL51" s="165" t="str">
        <f>INDEX(Map!$X$2:$X$67, MATCH('Raw data'!AJ51, Map!$V$2:$V$67,0))</f>
        <v>R7</v>
      </c>
      <c r="AM51" s="319">
        <f t="shared" si="24"/>
        <v>13.09</v>
      </c>
      <c r="AN51" s="150">
        <f t="shared" si="14"/>
        <v>0.34447368421052632</v>
      </c>
      <c r="AO51" s="151">
        <f t="shared" si="15"/>
        <v>11.363850000000001</v>
      </c>
      <c r="AP51" s="150">
        <f t="shared" si="16"/>
        <v>0.29904868421052633</v>
      </c>
      <c r="AQ51" s="151">
        <f t="shared" si="17"/>
        <v>15.900000000000002</v>
      </c>
      <c r="AR51" s="149">
        <f t="shared" si="18"/>
        <v>0.41842105263157903</v>
      </c>
      <c r="AS51" s="150">
        <f t="shared" si="25"/>
        <v>1.1656891495601174</v>
      </c>
    </row>
    <row r="52" spans="1:45" x14ac:dyDescent="0.25">
      <c r="A52" s="5">
        <f>IF('1 day'!A53&lt;&gt;"",'1 day'!A53,"")</f>
        <v>49</v>
      </c>
      <c r="B52" s="5" t="str">
        <f>IF(A52&lt;&gt;"",INDEX(Map!$W$2:$W$67, MATCH('Raw data'!A52, Map!$V$2:$V$67,0)),"")</f>
        <v>T5</v>
      </c>
      <c r="C52" s="5" t="str">
        <f>IF(A52&lt;&gt;"",INDEX(Map!$X$2:$X$67, MATCH('Raw data'!A52, Map!$V$2:$V$67,0)),"")</f>
        <v>R7</v>
      </c>
      <c r="D52" s="7">
        <f>IF(A52&lt;&gt;"",'1 day'!B53,"")</f>
        <v>40</v>
      </c>
      <c r="E52" s="11">
        <f>IF(A52&lt;&gt;"",'1 day'!C53,"")</f>
        <v>1.821</v>
      </c>
      <c r="F52" s="12">
        <f>IF(A52&lt;&gt;"",'1 day'!C53/'1 day'!B53,"")</f>
        <v>4.5524999999999996E-2</v>
      </c>
      <c r="G52" s="18">
        <f>IF(A52&lt;&gt;"",'1 day'!E53*'1 day'!D53+'1 day'!F53,"")</f>
        <v>26.215</v>
      </c>
      <c r="H52" s="3">
        <f>IF(A52&lt;&gt;"",'1 day'!H53*'1 day'!G53+'1 day'!I53,"")</f>
        <v>96</v>
      </c>
      <c r="I52" s="19">
        <f>IF(A52&lt;&gt;"",'1 day'!K53*'1 day'!J53+'1 day'!L53,"")</f>
        <v>63</v>
      </c>
      <c r="K52" s="164" t="s">
        <v>87</v>
      </c>
      <c r="L52" s="162">
        <f>'14 days'!A53</f>
        <v>49</v>
      </c>
      <c r="M52" s="163">
        <f t="shared" si="9"/>
        <v>39</v>
      </c>
      <c r="N52" s="163" t="str">
        <f>INDEX(Map!$W$2:$W$67, MATCH('Raw data'!L52, Map!$V$2:$V$67,0))</f>
        <v>T5</v>
      </c>
      <c r="O52" s="165" t="str">
        <f>INDEX(Map!$X$2:$X$67, MATCH('Raw data'!L52, Map!$V$2:$V$67,0))</f>
        <v>R7</v>
      </c>
      <c r="P52" s="158">
        <f>'14 days'!C53-'14 days'!$C$3</f>
        <v>13.639999999999999</v>
      </c>
      <c r="Q52" s="154">
        <f t="shared" si="0"/>
        <v>0.34974358974358971</v>
      </c>
      <c r="R52" s="155">
        <f t="shared" si="1"/>
        <v>11.864524999999999</v>
      </c>
      <c r="S52" s="328">
        <f t="shared" si="20"/>
        <v>0.30421858974358973</v>
      </c>
      <c r="T52" s="336">
        <f>IF((IF(('14 days'!D53-'14 days'!$D$3)&lt;0, 0, ('14 days'!D53-'14 days'!$D$3)))+(IF(('14 days'!E53-'14 days'!$E$3)&lt;0, 0, ('14 days'!E53-'14 days'!$E$3)))+('14 days'!G53*'14 days'!F53)+('14 days'!H53)&lt;0, 0, (IF(('14 days'!D53-'14 days'!$D$3)&lt;0, 0, ('14 days'!D53-'14 days'!$D$3)))+(IF(('14 days'!E53-'14 days'!$E$3)&lt;0, 0, ('14 days'!E53-'14 days'!$E$3)))+('14 days'!G53*'14 days'!F53)+('14 days'!H53))</f>
        <v>10.315000000000001</v>
      </c>
      <c r="U52" s="158">
        <f t="shared" si="21"/>
        <v>15.899999999999999</v>
      </c>
      <c r="V52" s="154">
        <f t="shared" si="3"/>
        <v>0.40769230769230763</v>
      </c>
      <c r="W52" s="155">
        <f t="shared" si="22"/>
        <v>1.1600758791770027</v>
      </c>
      <c r="X52" s="196">
        <f t="shared" si="23"/>
        <v>40</v>
      </c>
      <c r="Y52" s="213">
        <f t="shared" si="19"/>
        <v>39</v>
      </c>
      <c r="Z52" s="163">
        <f>'14 days'!I53</f>
        <v>1</v>
      </c>
      <c r="AA52" s="154">
        <f>'14 days'!J53</f>
        <v>6.6000000000000003E-2</v>
      </c>
      <c r="AB52" s="163">
        <f>'14 days'!K53</f>
        <v>0</v>
      </c>
      <c r="AC52" s="154">
        <f>'14 days'!L53</f>
        <v>0</v>
      </c>
      <c r="AD52" s="213">
        <f>'14 days'!M53</f>
        <v>0</v>
      </c>
      <c r="AE52" s="154">
        <f>'14 days'!N53</f>
        <v>0</v>
      </c>
      <c r="AF52" s="163">
        <f t="shared" si="11"/>
        <v>1</v>
      </c>
      <c r="AG52" s="160">
        <f t="shared" si="12"/>
        <v>6.6000000000000003E-2</v>
      </c>
      <c r="AI52" s="319" t="s">
        <v>116</v>
      </c>
      <c r="AJ52" s="162">
        <f t="shared" si="13"/>
        <v>49</v>
      </c>
      <c r="AK52" s="163" t="str">
        <f>INDEX(Map!$W$2:$W$67, MATCH('Raw data'!AJ52, Map!$V$2:$V$67,0))</f>
        <v>T5</v>
      </c>
      <c r="AL52" s="165" t="str">
        <f>INDEX(Map!$X$2:$X$67, MATCH('Raw data'!AJ52, Map!$V$2:$V$67,0))</f>
        <v>R7</v>
      </c>
      <c r="AM52" s="319">
        <f t="shared" si="24"/>
        <v>13.639999999999999</v>
      </c>
      <c r="AN52" s="150">
        <f t="shared" si="14"/>
        <v>0.34974358974358971</v>
      </c>
      <c r="AO52" s="151">
        <f t="shared" si="15"/>
        <v>11.864524999999999</v>
      </c>
      <c r="AP52" s="150">
        <f t="shared" si="16"/>
        <v>0.30421858974358973</v>
      </c>
      <c r="AQ52" s="151">
        <f t="shared" si="17"/>
        <v>15.899999999999999</v>
      </c>
      <c r="AR52" s="149">
        <f t="shared" si="18"/>
        <v>0.40769230769230763</v>
      </c>
      <c r="AS52" s="150">
        <f t="shared" si="25"/>
        <v>1.1600758791770027</v>
      </c>
    </row>
    <row r="53" spans="1:45" x14ac:dyDescent="0.25">
      <c r="A53" s="5">
        <f>IF('1 day'!A54&lt;&gt;"",'1 day'!A54,"")</f>
        <v>50</v>
      </c>
      <c r="B53" s="5" t="str">
        <f>IF(A53&lt;&gt;"",INDEX(Map!$W$2:$W$67, MATCH('Raw data'!A53, Map!$V$2:$V$67,0)),"")</f>
        <v>T1</v>
      </c>
      <c r="C53" s="5" t="str">
        <f>IF(A53&lt;&gt;"",INDEX(Map!$X$2:$X$67, MATCH('Raw data'!A53, Map!$V$2:$V$67,0)),"")</f>
        <v>R7</v>
      </c>
      <c r="D53" s="7">
        <f>IF(A53&lt;&gt;"",'1 day'!B54,"")</f>
        <v>40</v>
      </c>
      <c r="E53" s="11">
        <f>IF(A53&lt;&gt;"",'1 day'!C54,"")</f>
        <v>1.839</v>
      </c>
      <c r="F53" s="12">
        <f>IF(A53&lt;&gt;"",'1 day'!C54/'1 day'!B54,"")</f>
        <v>4.5975000000000002E-2</v>
      </c>
      <c r="G53" s="18">
        <f>IF(A53&lt;&gt;"",'1 day'!E54*'1 day'!D54+'1 day'!F54,"")</f>
        <v>26.965</v>
      </c>
      <c r="H53" s="3">
        <f>IF(A53&lt;&gt;"",'1 day'!H54*'1 day'!G54+'1 day'!I54,"")</f>
        <v>96</v>
      </c>
      <c r="I53" s="19">
        <f>IF(A53&lt;&gt;"",'1 day'!K54*'1 day'!J54+'1 day'!L54,"")</f>
        <v>63</v>
      </c>
      <c r="K53" s="164" t="s">
        <v>87</v>
      </c>
      <c r="L53" s="162">
        <f>'14 days'!A54</f>
        <v>50</v>
      </c>
      <c r="M53" s="163">
        <f t="shared" si="9"/>
        <v>38</v>
      </c>
      <c r="N53" s="163" t="str">
        <f>INDEX(Map!$W$2:$W$67, MATCH('Raw data'!L53, Map!$V$2:$V$67,0))</f>
        <v>T1</v>
      </c>
      <c r="O53" s="165" t="str">
        <f>INDEX(Map!$X$2:$X$67, MATCH('Raw data'!L53, Map!$V$2:$V$67,0))</f>
        <v>R7</v>
      </c>
      <c r="P53" s="158">
        <f>'14 days'!C54-'14 days'!$C$3</f>
        <v>14.089999999999998</v>
      </c>
      <c r="Q53" s="154">
        <f t="shared" si="0"/>
        <v>0.3707894736842105</v>
      </c>
      <c r="R53" s="155">
        <f t="shared" si="1"/>
        <v>12.34295</v>
      </c>
      <c r="S53" s="328">
        <f t="shared" si="20"/>
        <v>0.32481447368421051</v>
      </c>
      <c r="T53" s="336">
        <f>IF((IF(('14 days'!D54-'14 days'!$D$3)&lt;0, 0, ('14 days'!D54-'14 days'!$D$3)))+(IF(('14 days'!E54-'14 days'!$E$3)&lt;0, 0, ('14 days'!E54-'14 days'!$E$3)))+('14 days'!G54*'14 days'!F54)+('14 days'!H54)&lt;0, 0, (IF(('14 days'!D54-'14 days'!$D$3)&lt;0, 0, ('14 days'!D54-'14 days'!$D$3)))+(IF(('14 days'!E54-'14 days'!$E$3)&lt;0, 0, ('14 days'!E54-'14 days'!$E$3)))+('14 days'!G54*'14 days'!F54)+('14 days'!H54))</f>
        <v>10.565</v>
      </c>
      <c r="U53" s="158">
        <f t="shared" si="21"/>
        <v>16.399999999999999</v>
      </c>
      <c r="V53" s="154">
        <f t="shared" si="3"/>
        <v>0.43157894736842101</v>
      </c>
      <c r="W53" s="155">
        <f t="shared" si="22"/>
        <v>1.127302722023646</v>
      </c>
      <c r="X53" s="196">
        <f t="shared" si="23"/>
        <v>40</v>
      </c>
      <c r="Y53" s="213">
        <f t="shared" si="19"/>
        <v>38</v>
      </c>
      <c r="Z53" s="163">
        <f>'14 days'!I54</f>
        <v>1</v>
      </c>
      <c r="AA53" s="154">
        <f>'14 days'!J54</f>
        <v>0.20799999999999999</v>
      </c>
      <c r="AB53" s="163">
        <f>'14 days'!K54</f>
        <v>1</v>
      </c>
      <c r="AC53" s="154">
        <f>'14 days'!L54</f>
        <v>0.25</v>
      </c>
      <c r="AD53" s="213">
        <f>'14 days'!M54</f>
        <v>0</v>
      </c>
      <c r="AE53" s="154">
        <f>'14 days'!N54</f>
        <v>0</v>
      </c>
      <c r="AF53" s="163">
        <f t="shared" si="11"/>
        <v>2</v>
      </c>
      <c r="AG53" s="160">
        <f t="shared" si="12"/>
        <v>0.45799999999999996</v>
      </c>
      <c r="AI53" s="319" t="s">
        <v>116</v>
      </c>
      <c r="AJ53" s="162">
        <f t="shared" si="13"/>
        <v>50</v>
      </c>
      <c r="AK53" s="163" t="str">
        <f>INDEX(Map!$W$2:$W$67, MATCH('Raw data'!AJ53, Map!$V$2:$V$67,0))</f>
        <v>T1</v>
      </c>
      <c r="AL53" s="165" t="str">
        <f>INDEX(Map!$X$2:$X$67, MATCH('Raw data'!AJ53, Map!$V$2:$V$67,0))</f>
        <v>R7</v>
      </c>
      <c r="AM53" s="319">
        <f t="shared" si="24"/>
        <v>14.089999999999998</v>
      </c>
      <c r="AN53" s="150">
        <f t="shared" si="14"/>
        <v>0.3707894736842105</v>
      </c>
      <c r="AO53" s="151">
        <f t="shared" si="15"/>
        <v>12.34295</v>
      </c>
      <c r="AP53" s="150">
        <f t="shared" si="16"/>
        <v>0.32481447368421051</v>
      </c>
      <c r="AQ53" s="151">
        <f t="shared" si="17"/>
        <v>16.399999999999999</v>
      </c>
      <c r="AR53" s="149">
        <f t="shared" si="18"/>
        <v>0.43157894736842101</v>
      </c>
      <c r="AS53" s="150">
        <f t="shared" si="25"/>
        <v>1.127302722023646</v>
      </c>
    </row>
    <row r="54" spans="1:45" x14ac:dyDescent="0.25">
      <c r="A54" s="5">
        <f>IF('1 day'!A55&lt;&gt;"",'1 day'!A55,"")</f>
        <v>51</v>
      </c>
      <c r="B54" s="5" t="str">
        <f>IF(A54&lt;&gt;"",INDEX(Map!$W$2:$W$67, MATCH('Raw data'!A54, Map!$V$2:$V$67,0)),"")</f>
        <v>T3</v>
      </c>
      <c r="C54" s="5" t="str">
        <f>IF(A54&lt;&gt;"",INDEX(Map!$X$2:$X$67, MATCH('Raw data'!A54, Map!$V$2:$V$67,0)),"")</f>
        <v>R7</v>
      </c>
      <c r="D54" s="7">
        <f>IF(A54&lt;&gt;"",'1 day'!B55,"")</f>
        <v>40</v>
      </c>
      <c r="E54" s="11">
        <f>IF(A54&lt;&gt;"",'1 day'!C55,"")</f>
        <v>1.827</v>
      </c>
      <c r="F54" s="12">
        <f>IF(A54&lt;&gt;"",'1 day'!C55/'1 day'!B55,"")</f>
        <v>4.5675E-2</v>
      </c>
      <c r="G54" s="18">
        <f>IF(A54&lt;&gt;"",'1 day'!E55*'1 day'!D55+'1 day'!F55,"")</f>
        <v>26.315000000000001</v>
      </c>
      <c r="H54" s="3">
        <f>IF(A54&lt;&gt;"",'1 day'!H55*'1 day'!G55+'1 day'!I55,"")</f>
        <v>96</v>
      </c>
      <c r="I54" s="19">
        <f>IF(A54&lt;&gt;"",'1 day'!K55*'1 day'!J55+'1 day'!L55,"")</f>
        <v>63</v>
      </c>
      <c r="K54" s="164" t="s">
        <v>87</v>
      </c>
      <c r="L54" s="162">
        <f>'14 days'!A55</f>
        <v>51</v>
      </c>
      <c r="M54" s="163">
        <f t="shared" si="9"/>
        <v>40</v>
      </c>
      <c r="N54" s="163" t="str">
        <f>INDEX(Map!$W$2:$W$67, MATCH('Raw data'!L54, Map!$V$2:$V$67,0))</f>
        <v>T3</v>
      </c>
      <c r="O54" s="165" t="str">
        <f>INDEX(Map!$X$2:$X$67, MATCH('Raw data'!L54, Map!$V$2:$V$67,0))</f>
        <v>R7</v>
      </c>
      <c r="P54" s="158">
        <f>'14 days'!C55-'14 days'!$C$3</f>
        <v>14.44</v>
      </c>
      <c r="Q54" s="154">
        <f t="shared" si="0"/>
        <v>0.36099999999999999</v>
      </c>
      <c r="R54" s="155">
        <f t="shared" si="1"/>
        <v>12.613</v>
      </c>
      <c r="S54" s="328">
        <f t="shared" si="20"/>
        <v>0.31532499999999997</v>
      </c>
      <c r="T54" s="336">
        <f>IF((IF(('14 days'!D55-'14 days'!$D$3)&lt;0, 0, ('14 days'!D55-'14 days'!$D$3)))+(IF(('14 days'!E55-'14 days'!$E$3)&lt;0, 0, ('14 days'!E55-'14 days'!$E$3)))+('14 days'!G55*'14 days'!F55)+('14 days'!H55)&lt;0, 0, (IF(('14 days'!D55-'14 days'!$D$3)&lt;0, 0, ('14 days'!D55-'14 days'!$D$3)))+(IF(('14 days'!E55-'14 days'!$E$3)&lt;0, 0, ('14 days'!E55-'14 days'!$E$3)))+('14 days'!G55*'14 days'!F55)+('14 days'!H55))</f>
        <v>10.065000000000001</v>
      </c>
      <c r="U54" s="158">
        <f t="shared" si="21"/>
        <v>16.25</v>
      </c>
      <c r="V54" s="154">
        <f t="shared" si="3"/>
        <v>0.40625</v>
      </c>
      <c r="W54" s="155">
        <f t="shared" si="22"/>
        <v>1.1253462603878117</v>
      </c>
      <c r="X54" s="196">
        <f t="shared" si="23"/>
        <v>40</v>
      </c>
      <c r="Y54" s="213">
        <f t="shared" si="19"/>
        <v>40</v>
      </c>
      <c r="Z54" s="163">
        <f>'14 days'!I55</f>
        <v>0</v>
      </c>
      <c r="AA54" s="154">
        <f>'14 days'!J55</f>
        <v>0</v>
      </c>
      <c r="AB54" s="163">
        <f>'14 days'!K55</f>
        <v>0</v>
      </c>
      <c r="AC54" s="154">
        <f>'14 days'!L55</f>
        <v>0</v>
      </c>
      <c r="AD54" s="213">
        <f>'14 days'!M55</f>
        <v>0</v>
      </c>
      <c r="AE54" s="154">
        <f>'14 days'!N55</f>
        <v>0</v>
      </c>
      <c r="AF54" s="163">
        <f t="shared" si="11"/>
        <v>0</v>
      </c>
      <c r="AG54" s="160">
        <f t="shared" si="12"/>
        <v>0</v>
      </c>
      <c r="AI54" s="319" t="s">
        <v>116</v>
      </c>
      <c r="AJ54" s="162">
        <f t="shared" si="13"/>
        <v>51</v>
      </c>
      <c r="AK54" s="163" t="str">
        <f>INDEX(Map!$W$2:$W$67, MATCH('Raw data'!AJ54, Map!$V$2:$V$67,0))</f>
        <v>T3</v>
      </c>
      <c r="AL54" s="165" t="str">
        <f>INDEX(Map!$X$2:$X$67, MATCH('Raw data'!AJ54, Map!$V$2:$V$67,0))</f>
        <v>R7</v>
      </c>
      <c r="AM54" s="319">
        <f t="shared" si="24"/>
        <v>14.44</v>
      </c>
      <c r="AN54" s="150">
        <f t="shared" si="14"/>
        <v>0.36099999999999999</v>
      </c>
      <c r="AO54" s="151">
        <f t="shared" si="15"/>
        <v>12.613</v>
      </c>
      <c r="AP54" s="150">
        <f t="shared" si="16"/>
        <v>0.31532499999999997</v>
      </c>
      <c r="AQ54" s="151">
        <f t="shared" si="17"/>
        <v>16.25</v>
      </c>
      <c r="AR54" s="149">
        <f t="shared" si="18"/>
        <v>0.40625</v>
      </c>
      <c r="AS54" s="150">
        <f t="shared" si="25"/>
        <v>1.1253462603878117</v>
      </c>
    </row>
    <row r="55" spans="1:45" x14ac:dyDescent="0.25">
      <c r="A55" s="5">
        <f>IF('1 day'!A56&lt;&gt;"",'1 day'!A56,"")</f>
        <v>52</v>
      </c>
      <c r="B55" s="5" t="str">
        <f>IF(A55&lt;&gt;"",INDEX(Map!$W$2:$W$67, MATCH('Raw data'!A55, Map!$V$2:$V$67,0)),"")</f>
        <v>T2</v>
      </c>
      <c r="C55" s="5" t="str">
        <f>IF(A55&lt;&gt;"",INDEX(Map!$X$2:$X$67, MATCH('Raw data'!A55, Map!$V$2:$V$67,0)),"")</f>
        <v>R7</v>
      </c>
      <c r="D55" s="7">
        <f>IF(A55&lt;&gt;"",'1 day'!B56,"")</f>
        <v>40</v>
      </c>
      <c r="E55" s="11">
        <f>IF(A55&lt;&gt;"",'1 day'!C56,"")</f>
        <v>1.821</v>
      </c>
      <c r="F55" s="12">
        <f>IF(A55&lt;&gt;"",'1 day'!C56/'1 day'!B56,"")</f>
        <v>4.5524999999999996E-2</v>
      </c>
      <c r="G55" s="18">
        <f>IF(A55&lt;&gt;"",'1 day'!E56*'1 day'!D56+'1 day'!F56,"")</f>
        <v>26.914999999999999</v>
      </c>
      <c r="H55" s="3">
        <f>IF(A55&lt;&gt;"",'1 day'!H56*'1 day'!G56+'1 day'!I56,"")</f>
        <v>96</v>
      </c>
      <c r="I55" s="19">
        <f>IF(A55&lt;&gt;"",'1 day'!K56*'1 day'!J56+'1 day'!L56,"")</f>
        <v>63</v>
      </c>
      <c r="K55" s="164" t="s">
        <v>87</v>
      </c>
      <c r="L55" s="162">
        <f>'14 days'!A56</f>
        <v>52</v>
      </c>
      <c r="M55" s="163">
        <f t="shared" si="9"/>
        <v>39</v>
      </c>
      <c r="N55" s="163" t="str">
        <f>INDEX(Map!$W$2:$W$67, MATCH('Raw data'!L55, Map!$V$2:$V$67,0))</f>
        <v>T2</v>
      </c>
      <c r="O55" s="165" t="str">
        <f>INDEX(Map!$X$2:$X$67, MATCH('Raw data'!L55, Map!$V$2:$V$67,0))</f>
        <v>R7</v>
      </c>
      <c r="P55" s="158">
        <f>'14 days'!C56-'14 days'!$C$3</f>
        <v>14.889999999999999</v>
      </c>
      <c r="Q55" s="154">
        <f t="shared" si="0"/>
        <v>0.38179487179487176</v>
      </c>
      <c r="R55" s="155">
        <f t="shared" si="1"/>
        <v>13.114524999999999</v>
      </c>
      <c r="S55" s="328">
        <f t="shared" si="20"/>
        <v>0.33626987179487178</v>
      </c>
      <c r="T55" s="336">
        <f>IF((IF(('14 days'!D56-'14 days'!$D$3)&lt;0, 0, ('14 days'!D56-'14 days'!$D$3)))+(IF(('14 days'!E56-'14 days'!$E$3)&lt;0, 0, ('14 days'!E56-'14 days'!$E$3)))+('14 days'!G56*'14 days'!F56)+('14 days'!H56)&lt;0, 0, (IF(('14 days'!D56-'14 days'!$D$3)&lt;0, 0, ('14 days'!D56-'14 days'!$D$3)))+(IF(('14 days'!E56-'14 days'!$E$3)&lt;0, 0, ('14 days'!E56-'14 days'!$E$3)))+('14 days'!G56*'14 days'!F56)+('14 days'!H56))</f>
        <v>9.9649999999999999</v>
      </c>
      <c r="U55" s="158">
        <f t="shared" si="21"/>
        <v>16.95</v>
      </c>
      <c r="V55" s="154">
        <f t="shared" si="3"/>
        <v>0.43461538461538457</v>
      </c>
      <c r="W55" s="155">
        <f t="shared" si="22"/>
        <v>1.119550858652576</v>
      </c>
      <c r="X55" s="196">
        <f t="shared" si="23"/>
        <v>40</v>
      </c>
      <c r="Y55" s="213">
        <f t="shared" si="19"/>
        <v>39</v>
      </c>
      <c r="Z55" s="163">
        <f>'14 days'!I56</f>
        <v>0</v>
      </c>
      <c r="AA55" s="154">
        <f>'14 days'!J56</f>
        <v>0</v>
      </c>
      <c r="AB55" s="163">
        <f>'14 days'!K56</f>
        <v>1</v>
      </c>
      <c r="AC55" s="154">
        <f>'14 days'!L56</f>
        <v>0.25</v>
      </c>
      <c r="AD55" s="213">
        <f>'14 days'!M56</f>
        <v>0</v>
      </c>
      <c r="AE55" s="154">
        <f>'14 days'!N56</f>
        <v>0</v>
      </c>
      <c r="AF55" s="163">
        <f t="shared" si="11"/>
        <v>1</v>
      </c>
      <c r="AG55" s="160">
        <f t="shared" si="12"/>
        <v>0.25</v>
      </c>
      <c r="AI55" s="319" t="s">
        <v>116</v>
      </c>
      <c r="AJ55" s="162">
        <f t="shared" si="13"/>
        <v>52</v>
      </c>
      <c r="AK55" s="163" t="str">
        <f>INDEX(Map!$W$2:$W$67, MATCH('Raw data'!AJ55, Map!$V$2:$V$67,0))</f>
        <v>T2</v>
      </c>
      <c r="AL55" s="165" t="str">
        <f>INDEX(Map!$X$2:$X$67, MATCH('Raw data'!AJ55, Map!$V$2:$V$67,0))</f>
        <v>R7</v>
      </c>
      <c r="AM55" s="319">
        <f t="shared" si="24"/>
        <v>14.889999999999999</v>
      </c>
      <c r="AN55" s="150">
        <f t="shared" si="14"/>
        <v>0.38179487179487176</v>
      </c>
      <c r="AO55" s="151">
        <f t="shared" si="15"/>
        <v>13.114524999999999</v>
      </c>
      <c r="AP55" s="150">
        <f t="shared" si="16"/>
        <v>0.33626987179487178</v>
      </c>
      <c r="AQ55" s="151">
        <f t="shared" si="17"/>
        <v>16.95</v>
      </c>
      <c r="AR55" s="149">
        <f t="shared" si="18"/>
        <v>0.43461538461538457</v>
      </c>
      <c r="AS55" s="150">
        <f t="shared" si="25"/>
        <v>1.119550858652576</v>
      </c>
    </row>
    <row r="56" spans="1:45" x14ac:dyDescent="0.25">
      <c r="A56" s="5">
        <f>IF('1 day'!A57&lt;&gt;"",'1 day'!A57,"")</f>
        <v>53</v>
      </c>
      <c r="B56" s="5" t="str">
        <f>IF(A56&lt;&gt;"",INDEX(Map!$W$2:$W$67, MATCH('Raw data'!A56, Map!$V$2:$V$67,0)),"")</f>
        <v>T5</v>
      </c>
      <c r="C56" s="5" t="str">
        <f>IF(A56&lt;&gt;"",INDEX(Map!$X$2:$X$67, MATCH('Raw data'!A56, Map!$V$2:$V$67,0)),"")</f>
        <v>R8</v>
      </c>
      <c r="D56" s="7">
        <f>IF(A56&lt;&gt;"",'1 day'!B57,"")</f>
        <v>40</v>
      </c>
      <c r="E56" s="11">
        <f>IF(A56&lt;&gt;"",'1 day'!C57,"")</f>
        <v>1.825</v>
      </c>
      <c r="F56" s="12">
        <f>IF(A56&lt;&gt;"",'1 day'!C57/'1 day'!B57,"")</f>
        <v>4.5624999999999999E-2</v>
      </c>
      <c r="G56" s="18">
        <f>IF(A56&lt;&gt;"",'1 day'!E57*'1 day'!D57+'1 day'!F57,"")</f>
        <v>26.715</v>
      </c>
      <c r="H56" s="3">
        <f>IF(A56&lt;&gt;"",'1 day'!H57*'1 day'!G57+'1 day'!I57,"")</f>
        <v>96</v>
      </c>
      <c r="I56" s="19">
        <f>IF(A56&lt;&gt;"",'1 day'!K57*'1 day'!J57+'1 day'!L57,"")</f>
        <v>63</v>
      </c>
      <c r="K56" s="164" t="s">
        <v>87</v>
      </c>
      <c r="L56" s="162">
        <f>'14 days'!A57</f>
        <v>53</v>
      </c>
      <c r="M56" s="163">
        <f t="shared" si="9"/>
        <v>39</v>
      </c>
      <c r="N56" s="163" t="str">
        <f>INDEX(Map!$W$2:$W$67, MATCH('Raw data'!L56, Map!$V$2:$V$67,0))</f>
        <v>T5</v>
      </c>
      <c r="O56" s="165" t="str">
        <f>INDEX(Map!$X$2:$X$67, MATCH('Raw data'!L56, Map!$V$2:$V$67,0))</f>
        <v>R8</v>
      </c>
      <c r="P56" s="158">
        <f>'14 days'!C57-'14 days'!$C$3</f>
        <v>13.54</v>
      </c>
      <c r="Q56" s="154">
        <f t="shared" si="0"/>
        <v>0.34717948717948716</v>
      </c>
      <c r="R56" s="155">
        <f t="shared" si="1"/>
        <v>11.760625000000001</v>
      </c>
      <c r="S56" s="328">
        <f t="shared" si="20"/>
        <v>0.30155448717948719</v>
      </c>
      <c r="T56" s="336">
        <f>IF((IF(('14 days'!D57-'14 days'!$D$3)&lt;0, 0, ('14 days'!D57-'14 days'!$D$3)))+(IF(('14 days'!E57-'14 days'!$E$3)&lt;0, 0, ('14 days'!E57-'14 days'!$E$3)))+('14 days'!G57*'14 days'!F57)+('14 days'!H57)&lt;0, 0, (IF(('14 days'!D57-'14 days'!$D$3)&lt;0, 0, ('14 days'!D57-'14 days'!$D$3)))+(IF(('14 days'!E57-'14 days'!$E$3)&lt;0, 0, ('14 days'!E57-'14 days'!$E$3)))+('14 days'!G57*'14 days'!F57)+('14 days'!H57))</f>
        <v>11.065000000000001</v>
      </c>
      <c r="U56" s="158">
        <f t="shared" si="21"/>
        <v>15.649999999999999</v>
      </c>
      <c r="V56" s="154">
        <f t="shared" si="3"/>
        <v>0.40128205128205124</v>
      </c>
      <c r="W56" s="155">
        <f t="shared" si="22"/>
        <v>1.1348803480783176</v>
      </c>
      <c r="X56" s="196">
        <f t="shared" si="23"/>
        <v>40</v>
      </c>
      <c r="Y56" s="213">
        <f t="shared" si="19"/>
        <v>39</v>
      </c>
      <c r="Z56" s="163">
        <f>'14 days'!I57</f>
        <v>0</v>
      </c>
      <c r="AA56" s="154">
        <f>'14 days'!J57</f>
        <v>0</v>
      </c>
      <c r="AB56" s="163">
        <f>'14 days'!K57</f>
        <v>1</v>
      </c>
      <c r="AC56" s="154">
        <f>'14 days'!L57</f>
        <v>0.25</v>
      </c>
      <c r="AD56" s="213">
        <f>'14 days'!M57</f>
        <v>0</v>
      </c>
      <c r="AE56" s="154">
        <f>'14 days'!N57</f>
        <v>0</v>
      </c>
      <c r="AF56" s="163">
        <f t="shared" si="11"/>
        <v>1</v>
      </c>
      <c r="AG56" s="160">
        <f t="shared" si="12"/>
        <v>0.25</v>
      </c>
      <c r="AI56" s="319" t="s">
        <v>116</v>
      </c>
      <c r="AJ56" s="162">
        <f t="shared" si="13"/>
        <v>53</v>
      </c>
      <c r="AK56" s="163" t="str">
        <f>INDEX(Map!$W$2:$W$67, MATCH('Raw data'!AJ56, Map!$V$2:$V$67,0))</f>
        <v>T5</v>
      </c>
      <c r="AL56" s="165" t="str">
        <f>INDEX(Map!$X$2:$X$67, MATCH('Raw data'!AJ56, Map!$V$2:$V$67,0))</f>
        <v>R8</v>
      </c>
      <c r="AM56" s="319">
        <f t="shared" si="24"/>
        <v>13.54</v>
      </c>
      <c r="AN56" s="150">
        <f t="shared" si="14"/>
        <v>0.34717948717948716</v>
      </c>
      <c r="AO56" s="151">
        <f t="shared" si="15"/>
        <v>11.760625000000001</v>
      </c>
      <c r="AP56" s="150">
        <f t="shared" si="16"/>
        <v>0.30155448717948719</v>
      </c>
      <c r="AQ56" s="151">
        <f t="shared" si="17"/>
        <v>15.649999999999999</v>
      </c>
      <c r="AR56" s="149">
        <f t="shared" si="18"/>
        <v>0.40128205128205124</v>
      </c>
      <c r="AS56" s="150">
        <f t="shared" si="25"/>
        <v>1.1348803480783176</v>
      </c>
    </row>
    <row r="57" spans="1:45" x14ac:dyDescent="0.25">
      <c r="A57" s="5">
        <f>IF('1 day'!A58&lt;&gt;"",'1 day'!A58,"")</f>
        <v>54</v>
      </c>
      <c r="B57" s="5" t="str">
        <f>IF(A57&lt;&gt;"",INDEX(Map!$W$2:$W$67, MATCH('Raw data'!A57, Map!$V$2:$V$67,0)),"")</f>
        <v>T4</v>
      </c>
      <c r="C57" s="5" t="str">
        <f>IF(A57&lt;&gt;"",INDEX(Map!$X$2:$X$67, MATCH('Raw data'!A57, Map!$V$2:$V$67,0)),"")</f>
        <v>R8</v>
      </c>
      <c r="D57" s="7">
        <f>IF(A57&lt;&gt;"",'1 day'!B58,"")</f>
        <v>40</v>
      </c>
      <c r="E57" s="11">
        <f>IF(A57&lt;&gt;"",'1 day'!C58,"")</f>
        <v>1.819</v>
      </c>
      <c r="F57" s="12">
        <f>IF(A57&lt;&gt;"",'1 day'!C58/'1 day'!B58,"")</f>
        <v>4.5475000000000002E-2</v>
      </c>
      <c r="G57" s="18">
        <f>IF(A57&lt;&gt;"",'1 day'!E58*'1 day'!D58+'1 day'!F58,"")</f>
        <v>26.615000000000002</v>
      </c>
      <c r="H57" s="3">
        <f>IF(A57&lt;&gt;"",'1 day'!H58*'1 day'!G58+'1 day'!I58,"")</f>
        <v>96</v>
      </c>
      <c r="I57" s="19">
        <f>IF(A57&lt;&gt;"",'1 day'!K58*'1 day'!J58+'1 day'!L58,"")</f>
        <v>63</v>
      </c>
      <c r="K57" s="164" t="s">
        <v>87</v>
      </c>
      <c r="L57" s="162">
        <f>'14 days'!A58</f>
        <v>54</v>
      </c>
      <c r="M57" s="163">
        <f t="shared" si="9"/>
        <v>38</v>
      </c>
      <c r="N57" s="163" t="str">
        <f>INDEX(Map!$W$2:$W$67, MATCH('Raw data'!L57, Map!$V$2:$V$67,0))</f>
        <v>T4</v>
      </c>
      <c r="O57" s="165" t="str">
        <f>INDEX(Map!$X$2:$X$67, MATCH('Raw data'!L57, Map!$V$2:$V$67,0))</f>
        <v>R8</v>
      </c>
      <c r="P57" s="158">
        <f>'14 days'!C58-'14 days'!$C$3</f>
        <v>13.889999999999999</v>
      </c>
      <c r="Q57" s="154">
        <f t="shared" si="0"/>
        <v>0.36552631578947364</v>
      </c>
      <c r="R57" s="155">
        <f t="shared" si="1"/>
        <v>12.161949999999999</v>
      </c>
      <c r="S57" s="328">
        <f t="shared" si="20"/>
        <v>0.32005131578947366</v>
      </c>
      <c r="T57" s="336">
        <f>IF((IF(('14 days'!D58-'14 days'!$D$3)&lt;0, 0, ('14 days'!D58-'14 days'!$D$3)))+(IF(('14 days'!E58-'14 days'!$E$3)&lt;0, 0, ('14 days'!E58-'14 days'!$E$3)))+('14 days'!G58*'14 days'!F58)+('14 days'!H58)&lt;0, 0, (IF(('14 days'!D58-'14 days'!$D$3)&lt;0, 0, ('14 days'!D58-'14 days'!$D$3)))+(IF(('14 days'!E58-'14 days'!$E$3)&lt;0, 0, ('14 days'!E58-'14 days'!$E$3)))+('14 days'!G58*'14 days'!F58)+('14 days'!H58))</f>
        <v>10.715</v>
      </c>
      <c r="U57" s="158">
        <f t="shared" si="21"/>
        <v>15.900000000000002</v>
      </c>
      <c r="V57" s="154">
        <f t="shared" si="3"/>
        <v>0.41842105263157903</v>
      </c>
      <c r="W57" s="155">
        <f t="shared" si="22"/>
        <v>1.1126662001399583</v>
      </c>
      <c r="X57" s="196">
        <f t="shared" si="23"/>
        <v>40</v>
      </c>
      <c r="Y57" s="213">
        <f t="shared" si="19"/>
        <v>38</v>
      </c>
      <c r="Z57" s="163">
        <f>'14 days'!I58</f>
        <v>0</v>
      </c>
      <c r="AA57" s="154">
        <f>'14 days'!J58</f>
        <v>0</v>
      </c>
      <c r="AB57" s="163">
        <f>'14 days'!K58</f>
        <v>2</v>
      </c>
      <c r="AC57" s="154">
        <f>'14 days'!L58</f>
        <v>0.4</v>
      </c>
      <c r="AD57" s="213">
        <f>'14 days'!M58</f>
        <v>0</v>
      </c>
      <c r="AE57" s="154">
        <f>'14 days'!N58</f>
        <v>0</v>
      </c>
      <c r="AF57" s="163">
        <f t="shared" si="11"/>
        <v>2</v>
      </c>
      <c r="AG57" s="160">
        <f t="shared" si="12"/>
        <v>0.4</v>
      </c>
      <c r="AI57" s="319" t="s">
        <v>116</v>
      </c>
      <c r="AJ57" s="162">
        <f t="shared" si="13"/>
        <v>54</v>
      </c>
      <c r="AK57" s="163" t="str">
        <f>INDEX(Map!$W$2:$W$67, MATCH('Raw data'!AJ57, Map!$V$2:$V$67,0))</f>
        <v>T4</v>
      </c>
      <c r="AL57" s="165" t="str">
        <f>INDEX(Map!$X$2:$X$67, MATCH('Raw data'!AJ57, Map!$V$2:$V$67,0))</f>
        <v>R8</v>
      </c>
      <c r="AM57" s="319">
        <f t="shared" si="24"/>
        <v>13.889999999999999</v>
      </c>
      <c r="AN57" s="150">
        <f t="shared" si="14"/>
        <v>0.36552631578947364</v>
      </c>
      <c r="AO57" s="151">
        <f t="shared" si="15"/>
        <v>12.161949999999999</v>
      </c>
      <c r="AP57" s="150">
        <f t="shared" si="16"/>
        <v>0.32005131578947366</v>
      </c>
      <c r="AQ57" s="151">
        <f t="shared" si="17"/>
        <v>15.900000000000002</v>
      </c>
      <c r="AR57" s="149">
        <f t="shared" si="18"/>
        <v>0.41842105263157903</v>
      </c>
      <c r="AS57" s="150">
        <f t="shared" si="25"/>
        <v>1.1126662001399583</v>
      </c>
    </row>
    <row r="58" spans="1:45" x14ac:dyDescent="0.25">
      <c r="A58" s="5">
        <f>IF('1 day'!A59&lt;&gt;"",'1 day'!A59,"")</f>
        <v>55</v>
      </c>
      <c r="B58" s="5" t="str">
        <f>IF(A58&lt;&gt;"",INDEX(Map!$W$2:$W$67, MATCH('Raw data'!A58, Map!$V$2:$V$67,0)),"")</f>
        <v>T6</v>
      </c>
      <c r="C58" s="5" t="str">
        <f>IF(A58&lt;&gt;"",INDEX(Map!$X$2:$X$67, MATCH('Raw data'!A58, Map!$V$2:$V$67,0)),"")</f>
        <v>R8</v>
      </c>
      <c r="D58" s="7">
        <f>IF(A58&lt;&gt;"",'1 day'!B59,"")</f>
        <v>40</v>
      </c>
      <c r="E58" s="11">
        <f>IF(A58&lt;&gt;"",'1 day'!C59,"")</f>
        <v>1.82</v>
      </c>
      <c r="F58" s="12">
        <f>IF(A58&lt;&gt;"",'1 day'!C59/'1 day'!B59,"")</f>
        <v>4.5499999999999999E-2</v>
      </c>
      <c r="G58" s="18">
        <f>IF(A58&lt;&gt;"",'1 day'!E59*'1 day'!D59+'1 day'!F59,"")</f>
        <v>26.365000000000002</v>
      </c>
      <c r="H58" s="3">
        <f>IF(A58&lt;&gt;"",'1 day'!H59*'1 day'!G59+'1 day'!I59,"")</f>
        <v>96</v>
      </c>
      <c r="I58" s="19">
        <f>IF(A58&lt;&gt;"",'1 day'!K59*'1 day'!J59+'1 day'!L59,"")</f>
        <v>63</v>
      </c>
      <c r="K58" s="164" t="s">
        <v>87</v>
      </c>
      <c r="L58" s="162">
        <f>'14 days'!A59</f>
        <v>55</v>
      </c>
      <c r="M58" s="163">
        <f t="shared" si="9"/>
        <v>40</v>
      </c>
      <c r="N58" s="163" t="str">
        <f>INDEX(Map!$W$2:$W$67, MATCH('Raw data'!L58, Map!$V$2:$V$67,0))</f>
        <v>T6</v>
      </c>
      <c r="O58" s="165" t="str">
        <f>INDEX(Map!$X$2:$X$67, MATCH('Raw data'!L58, Map!$V$2:$V$67,0))</f>
        <v>R8</v>
      </c>
      <c r="P58" s="158">
        <f>'14 days'!C59-'14 days'!$C$3</f>
        <v>14.139999999999999</v>
      </c>
      <c r="Q58" s="154">
        <f t="shared" si="0"/>
        <v>0.35349999999999998</v>
      </c>
      <c r="R58" s="155">
        <f t="shared" si="1"/>
        <v>12.32</v>
      </c>
      <c r="S58" s="328">
        <f t="shared" si="20"/>
        <v>0.308</v>
      </c>
      <c r="T58" s="336">
        <f>IF((IF(('14 days'!D59-'14 days'!$D$3)&lt;0, 0, ('14 days'!D59-'14 days'!$D$3)))+(IF(('14 days'!E59-'14 days'!$E$3)&lt;0, 0, ('14 days'!E59-'14 days'!$E$3)))+('14 days'!G59*'14 days'!F59)+('14 days'!H59)&lt;0, 0, (IF(('14 days'!D59-'14 days'!$D$3)&lt;0, 0, ('14 days'!D59-'14 days'!$D$3)))+(IF(('14 days'!E59-'14 days'!$E$3)&lt;0, 0, ('14 days'!E59-'14 days'!$E$3)))+('14 days'!G59*'14 days'!F59)+('14 days'!H59))</f>
        <v>9.9649999999999999</v>
      </c>
      <c r="U58" s="158">
        <f t="shared" si="21"/>
        <v>16.400000000000002</v>
      </c>
      <c r="V58" s="154">
        <f t="shared" si="3"/>
        <v>0.41000000000000003</v>
      </c>
      <c r="W58" s="155">
        <f t="shared" si="22"/>
        <v>1.1598302687411601</v>
      </c>
      <c r="X58" s="196">
        <f t="shared" si="23"/>
        <v>40</v>
      </c>
      <c r="Y58" s="213">
        <f t="shared" si="19"/>
        <v>40</v>
      </c>
      <c r="Z58" s="163">
        <f>'14 days'!I59</f>
        <v>0</v>
      </c>
      <c r="AA58" s="154">
        <f>'14 days'!J59</f>
        <v>0</v>
      </c>
      <c r="AB58" s="163">
        <f>'14 days'!K59</f>
        <v>0</v>
      </c>
      <c r="AC58" s="154">
        <f>'14 days'!L59</f>
        <v>0</v>
      </c>
      <c r="AD58" s="213">
        <f>'14 days'!M59</f>
        <v>0</v>
      </c>
      <c r="AE58" s="154">
        <f>'14 days'!N59</f>
        <v>0</v>
      </c>
      <c r="AF58" s="163">
        <f t="shared" si="11"/>
        <v>0</v>
      </c>
      <c r="AG58" s="160">
        <f t="shared" si="12"/>
        <v>0</v>
      </c>
      <c r="AI58" s="319" t="s">
        <v>116</v>
      </c>
      <c r="AJ58" s="162">
        <f t="shared" si="13"/>
        <v>55</v>
      </c>
      <c r="AK58" s="163" t="str">
        <f>INDEX(Map!$W$2:$W$67, MATCH('Raw data'!AJ58, Map!$V$2:$V$67,0))</f>
        <v>T6</v>
      </c>
      <c r="AL58" s="165" t="str">
        <f>INDEX(Map!$X$2:$X$67, MATCH('Raw data'!AJ58, Map!$V$2:$V$67,0))</f>
        <v>R8</v>
      </c>
      <c r="AM58" s="319">
        <f t="shared" si="24"/>
        <v>14.139999999999999</v>
      </c>
      <c r="AN58" s="150">
        <f t="shared" si="14"/>
        <v>0.35349999999999998</v>
      </c>
      <c r="AO58" s="151">
        <f t="shared" si="15"/>
        <v>12.32</v>
      </c>
      <c r="AP58" s="150">
        <f t="shared" si="16"/>
        <v>0.308</v>
      </c>
      <c r="AQ58" s="151">
        <f t="shared" si="17"/>
        <v>16.400000000000002</v>
      </c>
      <c r="AR58" s="149">
        <f t="shared" si="18"/>
        <v>0.41000000000000003</v>
      </c>
      <c r="AS58" s="150">
        <f t="shared" si="25"/>
        <v>1.1598302687411601</v>
      </c>
    </row>
    <row r="59" spans="1:45" x14ac:dyDescent="0.25">
      <c r="A59" s="5">
        <f>IF('1 day'!A60&lt;&gt;"",'1 day'!A60,"")</f>
        <v>56</v>
      </c>
      <c r="B59" s="5" t="str">
        <f>IF(A59&lt;&gt;"",INDEX(Map!$W$2:$W$67, MATCH('Raw data'!A59, Map!$V$2:$V$67,0)),"")</f>
        <v>T3</v>
      </c>
      <c r="C59" s="5" t="str">
        <f>IF(A59&lt;&gt;"",INDEX(Map!$X$2:$X$67, MATCH('Raw data'!A59, Map!$V$2:$V$67,0)),"")</f>
        <v>R8</v>
      </c>
      <c r="D59" s="7">
        <f>IF(A59&lt;&gt;"",'1 day'!B60,"")</f>
        <v>40</v>
      </c>
      <c r="E59" s="11">
        <f>IF(A59&lt;&gt;"",'1 day'!C60,"")</f>
        <v>1.819</v>
      </c>
      <c r="F59" s="12">
        <f>IF(A59&lt;&gt;"",'1 day'!C60/'1 day'!B60,"")</f>
        <v>4.5475000000000002E-2</v>
      </c>
      <c r="G59" s="18">
        <f>IF(A59&lt;&gt;"",'1 day'!E60*'1 day'!D60+'1 day'!F60,"")</f>
        <v>26.315000000000001</v>
      </c>
      <c r="H59" s="3">
        <f>IF(A59&lt;&gt;"",'1 day'!H60*'1 day'!G60+'1 day'!I60,"")</f>
        <v>96</v>
      </c>
      <c r="I59" s="19">
        <f>IF(A59&lt;&gt;"",'1 day'!K60*'1 day'!J60+'1 day'!L60,"")</f>
        <v>63</v>
      </c>
      <c r="K59" s="164" t="s">
        <v>87</v>
      </c>
      <c r="L59" s="162">
        <f>'14 days'!A60</f>
        <v>56</v>
      </c>
      <c r="M59" s="163">
        <f t="shared" si="9"/>
        <v>39</v>
      </c>
      <c r="N59" s="163" t="str">
        <f>INDEX(Map!$W$2:$W$67, MATCH('Raw data'!L59, Map!$V$2:$V$67,0))</f>
        <v>T3</v>
      </c>
      <c r="O59" s="165" t="str">
        <f>INDEX(Map!$X$2:$X$67, MATCH('Raw data'!L59, Map!$V$2:$V$67,0))</f>
        <v>R8</v>
      </c>
      <c r="P59" s="158">
        <f>'14 days'!C60-'14 days'!$C$3</f>
        <v>13.74</v>
      </c>
      <c r="Q59" s="154">
        <f t="shared" si="0"/>
        <v>0.35230769230769232</v>
      </c>
      <c r="R59" s="155">
        <f t="shared" si="1"/>
        <v>11.966475000000001</v>
      </c>
      <c r="S59" s="328">
        <f t="shared" si="20"/>
        <v>0.30683269230769233</v>
      </c>
      <c r="T59" s="336">
        <f>IF((IF(('14 days'!D60-'14 days'!$D$3)&lt;0, 0, ('14 days'!D60-'14 days'!$D$3)))+(IF(('14 days'!E60-'14 days'!$E$3)&lt;0, 0, ('14 days'!E60-'14 days'!$E$3)))+('14 days'!G60*'14 days'!F60)+('14 days'!H60)&lt;0, 0, (IF(('14 days'!D60-'14 days'!$D$3)&lt;0, 0, ('14 days'!D60-'14 days'!$D$3)))+(IF(('14 days'!E60-'14 days'!$E$3)&lt;0, 0, ('14 days'!E60-'14 days'!$E$3)))+('14 days'!G60*'14 days'!F60)+('14 days'!H60))</f>
        <v>11.114999999999998</v>
      </c>
      <c r="U59" s="158">
        <f t="shared" si="21"/>
        <v>15.200000000000003</v>
      </c>
      <c r="V59" s="154">
        <f t="shared" si="3"/>
        <v>0.3897435897435898</v>
      </c>
      <c r="W59" s="155">
        <f t="shared" si="22"/>
        <v>1.0864903502501788</v>
      </c>
      <c r="X59" s="196">
        <f t="shared" si="23"/>
        <v>40</v>
      </c>
      <c r="Y59" s="213">
        <f t="shared" si="19"/>
        <v>39</v>
      </c>
      <c r="Z59" s="163">
        <f>'14 days'!I60</f>
        <v>0</v>
      </c>
      <c r="AA59" s="154">
        <f>'14 days'!J60</f>
        <v>0</v>
      </c>
      <c r="AB59" s="163">
        <f>'14 days'!K60</f>
        <v>1</v>
      </c>
      <c r="AC59" s="154">
        <f>'14 days'!L60</f>
        <v>0.25</v>
      </c>
      <c r="AD59" s="213">
        <f>'14 days'!M60</f>
        <v>0</v>
      </c>
      <c r="AE59" s="154">
        <f>'14 days'!N60</f>
        <v>0</v>
      </c>
      <c r="AF59" s="163">
        <f t="shared" si="11"/>
        <v>1</v>
      </c>
      <c r="AG59" s="160">
        <f t="shared" si="12"/>
        <v>0.25</v>
      </c>
      <c r="AI59" s="319" t="s">
        <v>116</v>
      </c>
      <c r="AJ59" s="162">
        <f t="shared" si="13"/>
        <v>56</v>
      </c>
      <c r="AK59" s="163" t="str">
        <f>INDEX(Map!$W$2:$W$67, MATCH('Raw data'!AJ59, Map!$V$2:$V$67,0))</f>
        <v>T3</v>
      </c>
      <c r="AL59" s="165" t="str">
        <f>INDEX(Map!$X$2:$X$67, MATCH('Raw data'!AJ59, Map!$V$2:$V$67,0))</f>
        <v>R8</v>
      </c>
      <c r="AM59" s="319">
        <f t="shared" si="24"/>
        <v>13.74</v>
      </c>
      <c r="AN59" s="150">
        <f t="shared" si="14"/>
        <v>0.35230769230769232</v>
      </c>
      <c r="AO59" s="151">
        <f t="shared" si="15"/>
        <v>11.966475000000001</v>
      </c>
      <c r="AP59" s="150">
        <f t="shared" si="16"/>
        <v>0.30683269230769233</v>
      </c>
      <c r="AQ59" s="151">
        <f t="shared" si="17"/>
        <v>15.200000000000003</v>
      </c>
      <c r="AR59" s="149">
        <f t="shared" si="18"/>
        <v>0.3897435897435898</v>
      </c>
      <c r="AS59" s="150">
        <f t="shared" si="25"/>
        <v>1.0864903502501788</v>
      </c>
    </row>
    <row r="60" spans="1:45" x14ac:dyDescent="0.25">
      <c r="A60" s="5">
        <f>IF('1 day'!A61&lt;&gt;"",'1 day'!A61,"")</f>
        <v>57</v>
      </c>
      <c r="B60" s="5" t="str">
        <f>IF(A60&lt;&gt;"",INDEX(Map!$W$2:$W$67, MATCH('Raw data'!A60, Map!$V$2:$V$67,0)),"")</f>
        <v>T2</v>
      </c>
      <c r="C60" s="5" t="str">
        <f>IF(A60&lt;&gt;"",INDEX(Map!$X$2:$X$67, MATCH('Raw data'!A60, Map!$V$2:$V$67,0)),"")</f>
        <v>R8</v>
      </c>
      <c r="D60" s="7">
        <f>IF(A60&lt;&gt;"",'1 day'!B61,"")</f>
        <v>40</v>
      </c>
      <c r="E60" s="11">
        <f>IF(A60&lt;&gt;"",'1 day'!C61,"")</f>
        <v>1.833</v>
      </c>
      <c r="F60" s="12">
        <f>IF(A60&lt;&gt;"",'1 day'!C61/'1 day'!B61,"")</f>
        <v>4.5824999999999998E-2</v>
      </c>
      <c r="G60" s="18">
        <f>IF(A60&lt;&gt;"",'1 day'!E61*'1 day'!D61+'1 day'!F61,"")</f>
        <v>26.565000000000001</v>
      </c>
      <c r="H60" s="3">
        <f>IF(A60&lt;&gt;"",'1 day'!H61*'1 day'!G61+'1 day'!I61,"")</f>
        <v>96</v>
      </c>
      <c r="I60" s="19">
        <f>IF(A60&lt;&gt;"",'1 day'!K61*'1 day'!J61+'1 day'!L61,"")</f>
        <v>63</v>
      </c>
      <c r="K60" s="164" t="s">
        <v>87</v>
      </c>
      <c r="L60" s="162">
        <f>'14 days'!A61</f>
        <v>57</v>
      </c>
      <c r="M60" s="163">
        <f t="shared" si="9"/>
        <v>37</v>
      </c>
      <c r="N60" s="163" t="str">
        <f>INDEX(Map!$W$2:$W$67, MATCH('Raw data'!L60, Map!$V$2:$V$67,0))</f>
        <v>T2</v>
      </c>
      <c r="O60" s="165" t="str">
        <f>INDEX(Map!$X$2:$X$67, MATCH('Raw data'!L60, Map!$V$2:$V$67,0))</f>
        <v>R8</v>
      </c>
      <c r="P60" s="158">
        <f>'14 days'!C61-'14 days'!$C$3</f>
        <v>13.389999999999999</v>
      </c>
      <c r="Q60" s="154">
        <f t="shared" si="0"/>
        <v>0.36189189189189186</v>
      </c>
      <c r="R60" s="155">
        <f t="shared" si="1"/>
        <v>11.694474999999999</v>
      </c>
      <c r="S60" s="328">
        <f t="shared" si="20"/>
        <v>0.31606689189189185</v>
      </c>
      <c r="T60" s="336">
        <f>IF((IF(('14 days'!D61-'14 days'!$D$3)&lt;0, 0, ('14 days'!D61-'14 days'!$D$3)))+(IF(('14 days'!E61-'14 days'!$E$3)&lt;0, 0, ('14 days'!E61-'14 days'!$E$3)))+('14 days'!G61*'14 days'!F61)+('14 days'!H61)&lt;0, 0, (IF(('14 days'!D61-'14 days'!$D$3)&lt;0, 0, ('14 days'!D61-'14 days'!$D$3)))+(IF(('14 days'!E61-'14 days'!$E$3)&lt;0, 0, ('14 days'!E61-'14 days'!$E$3)))+('14 days'!G61*'14 days'!F61)+('14 days'!H61))</f>
        <v>10.265000000000001</v>
      </c>
      <c r="U60" s="158">
        <f t="shared" si="21"/>
        <v>16.3</v>
      </c>
      <c r="V60" s="154">
        <f t="shared" si="3"/>
        <v>0.44054054054054054</v>
      </c>
      <c r="W60" s="155">
        <f t="shared" si="22"/>
        <v>1.1707247001364651</v>
      </c>
      <c r="X60" s="196">
        <f t="shared" si="23"/>
        <v>40</v>
      </c>
      <c r="Y60" s="213">
        <f t="shared" si="19"/>
        <v>37</v>
      </c>
      <c r="Z60" s="163">
        <f>'14 days'!I61</f>
        <v>1</v>
      </c>
      <c r="AA60" s="154">
        <f>'14 days'!J61</f>
        <v>3.3000000000000002E-2</v>
      </c>
      <c r="AB60" s="163">
        <f>'14 days'!K61</f>
        <v>2</v>
      </c>
      <c r="AC60" s="154">
        <f>'14 days'!L61</f>
        <v>0.5</v>
      </c>
      <c r="AD60" s="213">
        <f>'14 days'!M61</f>
        <v>0</v>
      </c>
      <c r="AE60" s="154">
        <f>'14 days'!N61</f>
        <v>0</v>
      </c>
      <c r="AF60" s="163">
        <f t="shared" si="11"/>
        <v>3</v>
      </c>
      <c r="AG60" s="160">
        <f t="shared" si="12"/>
        <v>0.53300000000000003</v>
      </c>
      <c r="AI60" s="319" t="s">
        <v>116</v>
      </c>
      <c r="AJ60" s="162">
        <f t="shared" si="13"/>
        <v>57</v>
      </c>
      <c r="AK60" s="163" t="str">
        <f>INDEX(Map!$W$2:$W$67, MATCH('Raw data'!AJ60, Map!$V$2:$V$67,0))</f>
        <v>T2</v>
      </c>
      <c r="AL60" s="165" t="str">
        <f>INDEX(Map!$X$2:$X$67, MATCH('Raw data'!AJ60, Map!$V$2:$V$67,0))</f>
        <v>R8</v>
      </c>
      <c r="AM60" s="319">
        <f t="shared" si="24"/>
        <v>13.389999999999999</v>
      </c>
      <c r="AN60" s="150">
        <f t="shared" si="14"/>
        <v>0.36189189189189186</v>
      </c>
      <c r="AO60" s="151">
        <f t="shared" si="15"/>
        <v>11.694474999999999</v>
      </c>
      <c r="AP60" s="150">
        <f t="shared" si="16"/>
        <v>0.31606689189189185</v>
      </c>
      <c r="AQ60" s="151">
        <f t="shared" si="17"/>
        <v>16.3</v>
      </c>
      <c r="AR60" s="149">
        <f t="shared" si="18"/>
        <v>0.44054054054054054</v>
      </c>
      <c r="AS60" s="150">
        <f t="shared" si="25"/>
        <v>1.1707247001364651</v>
      </c>
    </row>
    <row r="61" spans="1:45" x14ac:dyDescent="0.25">
      <c r="A61" s="5">
        <f>IF('1 day'!A62&lt;&gt;"",'1 day'!A62,"")</f>
        <v>58</v>
      </c>
      <c r="B61" s="5" t="str">
        <f>IF(A61&lt;&gt;"",INDEX(Map!$W$2:$W$67, MATCH('Raw data'!A61, Map!$V$2:$V$67,0)),"")</f>
        <v>T1</v>
      </c>
      <c r="C61" s="5" t="str">
        <f>IF(A61&lt;&gt;"",INDEX(Map!$X$2:$X$67, MATCH('Raw data'!A61, Map!$V$2:$V$67,0)),"")</f>
        <v>R8</v>
      </c>
      <c r="D61" s="7">
        <f>IF(A61&lt;&gt;"",'1 day'!B62,"")</f>
        <v>40</v>
      </c>
      <c r="E61" s="11">
        <f>IF(A61&lt;&gt;"",'1 day'!C62,"")</f>
        <v>1.8240000000000001</v>
      </c>
      <c r="F61" s="12">
        <f>IF(A61&lt;&gt;"",'1 day'!C62/'1 day'!B62,"")</f>
        <v>4.5600000000000002E-2</v>
      </c>
      <c r="G61" s="18">
        <f>IF(A61&lt;&gt;"",'1 day'!E62*'1 day'!D62+'1 day'!F62,"")</f>
        <v>26.414999999999999</v>
      </c>
      <c r="H61" s="3">
        <f>IF(A61&lt;&gt;"",'1 day'!H62*'1 day'!G62+'1 day'!I62,"")</f>
        <v>96</v>
      </c>
      <c r="I61" s="19">
        <f>IF(A61&lt;&gt;"",'1 day'!K62*'1 day'!J62+'1 day'!L62,"")</f>
        <v>63</v>
      </c>
      <c r="K61" s="164" t="s">
        <v>87</v>
      </c>
      <c r="L61" s="162">
        <f>'14 days'!A62</f>
        <v>58</v>
      </c>
      <c r="M61" s="163">
        <f t="shared" si="9"/>
        <v>39</v>
      </c>
      <c r="N61" s="163" t="str">
        <f>INDEX(Map!$W$2:$W$67, MATCH('Raw data'!L61, Map!$V$2:$V$67,0))</f>
        <v>T1</v>
      </c>
      <c r="O61" s="165" t="str">
        <f>INDEX(Map!$X$2:$X$67, MATCH('Raw data'!L61, Map!$V$2:$V$67,0))</f>
        <v>R8</v>
      </c>
      <c r="P61" s="158">
        <f>'14 days'!C62-'14 days'!$C$3</f>
        <v>14.290000000000001</v>
      </c>
      <c r="Q61" s="154">
        <f t="shared" si="0"/>
        <v>0.36641025641025643</v>
      </c>
      <c r="R61" s="155">
        <f t="shared" si="1"/>
        <v>12.5116</v>
      </c>
      <c r="S61" s="328">
        <f t="shared" si="20"/>
        <v>0.3208102564102564</v>
      </c>
      <c r="T61" s="336">
        <f>IF((IF(('14 days'!D62-'14 days'!$D$3)&lt;0, 0, ('14 days'!D62-'14 days'!$D$3)))+(IF(('14 days'!E62-'14 days'!$E$3)&lt;0, 0, ('14 days'!E62-'14 days'!$E$3)))+('14 days'!G62*'14 days'!F62)+('14 days'!H62)&lt;0, 0, (IF(('14 days'!D62-'14 days'!$D$3)&lt;0, 0, ('14 days'!D62-'14 days'!$D$3)))+(IF(('14 days'!E62-'14 days'!$E$3)&lt;0, 0, ('14 days'!E62-'14 days'!$E$3)))+('14 days'!G62*'14 days'!F62)+('14 days'!H62))</f>
        <v>9.8650000000000002</v>
      </c>
      <c r="U61" s="158">
        <f t="shared" si="21"/>
        <v>16.549999999999997</v>
      </c>
      <c r="V61" s="154">
        <f t="shared" si="3"/>
        <v>0.42435897435897429</v>
      </c>
      <c r="W61" s="155">
        <f t="shared" si="22"/>
        <v>1.1382393397524069</v>
      </c>
      <c r="X61" s="196">
        <f t="shared" si="23"/>
        <v>40</v>
      </c>
      <c r="Y61" s="213">
        <f t="shared" si="19"/>
        <v>39</v>
      </c>
      <c r="Z61" s="163">
        <f>'14 days'!I62</f>
        <v>0</v>
      </c>
      <c r="AA61" s="154">
        <f>'14 days'!J62</f>
        <v>0</v>
      </c>
      <c r="AB61" s="163">
        <f>'14 days'!K62</f>
        <v>1</v>
      </c>
      <c r="AC61" s="154">
        <f>'14 days'!L62</f>
        <v>0.25</v>
      </c>
      <c r="AD61" s="213">
        <f>'14 days'!M62</f>
        <v>0</v>
      </c>
      <c r="AE61" s="154">
        <f>'14 days'!N62</f>
        <v>0</v>
      </c>
      <c r="AF61" s="163">
        <f t="shared" si="11"/>
        <v>1</v>
      </c>
      <c r="AG61" s="160">
        <f t="shared" si="12"/>
        <v>0.25</v>
      </c>
      <c r="AI61" s="319" t="s">
        <v>116</v>
      </c>
      <c r="AJ61" s="162">
        <f t="shared" si="13"/>
        <v>58</v>
      </c>
      <c r="AK61" s="163" t="str">
        <f>INDEX(Map!$W$2:$W$67, MATCH('Raw data'!AJ61, Map!$V$2:$V$67,0))</f>
        <v>T1</v>
      </c>
      <c r="AL61" s="165" t="str">
        <f>INDEX(Map!$X$2:$X$67, MATCH('Raw data'!AJ61, Map!$V$2:$V$67,0))</f>
        <v>R8</v>
      </c>
      <c r="AM61" s="319">
        <f t="shared" si="24"/>
        <v>14.290000000000001</v>
      </c>
      <c r="AN61" s="150">
        <f t="shared" si="14"/>
        <v>0.36641025641025643</v>
      </c>
      <c r="AO61" s="151">
        <f t="shared" si="15"/>
        <v>12.5116</v>
      </c>
      <c r="AP61" s="150">
        <f t="shared" si="16"/>
        <v>0.3208102564102564</v>
      </c>
      <c r="AQ61" s="151">
        <f t="shared" si="17"/>
        <v>16.549999999999997</v>
      </c>
      <c r="AR61" s="149">
        <f t="shared" si="18"/>
        <v>0.42435897435897429</v>
      </c>
      <c r="AS61" s="150">
        <f t="shared" si="25"/>
        <v>1.1382393397524069</v>
      </c>
    </row>
    <row r="62" spans="1:45" x14ac:dyDescent="0.25">
      <c r="A62" s="5">
        <f>IF('1 day'!A63&lt;&gt;"",'1 day'!A63,"")</f>
        <v>59</v>
      </c>
      <c r="B62" s="5" t="str">
        <f>IF(A62&lt;&gt;"",INDEX(Map!$W$2:$W$67, MATCH('Raw data'!A62, Map!$V$2:$V$67,0)),"")</f>
        <v>T3</v>
      </c>
      <c r="C62" s="5" t="str">
        <f>IF(A62&lt;&gt;"",INDEX(Map!$X$2:$X$67, MATCH('Raw data'!A62, Map!$V$2:$V$67,0)),"")</f>
        <v>R9</v>
      </c>
      <c r="D62" s="7">
        <f>IF(A62&lt;&gt;"",'1 day'!B63,"")</f>
        <v>40</v>
      </c>
      <c r="E62" s="11">
        <f>IF(A62&lt;&gt;"",'1 day'!C63,"")</f>
        <v>1.821</v>
      </c>
      <c r="F62" s="12">
        <f>IF(A62&lt;&gt;"",'1 day'!C63/'1 day'!B63,"")</f>
        <v>4.5524999999999996E-2</v>
      </c>
      <c r="G62" s="18">
        <f>IF(A62&lt;&gt;"",'1 day'!E63*'1 day'!D63+'1 day'!F63,"")</f>
        <v>26.914999999999999</v>
      </c>
      <c r="H62" s="3">
        <f>IF(A62&lt;&gt;"",'1 day'!H63*'1 day'!G63+'1 day'!I63,"")</f>
        <v>96</v>
      </c>
      <c r="I62" s="19">
        <f>IF(A62&lt;&gt;"",'1 day'!K63*'1 day'!J63+'1 day'!L63,"")</f>
        <v>63</v>
      </c>
      <c r="K62" s="164" t="s">
        <v>87</v>
      </c>
      <c r="L62" s="162">
        <f>'14 days'!A63</f>
        <v>59</v>
      </c>
      <c r="M62" s="163">
        <f t="shared" si="9"/>
        <v>40</v>
      </c>
      <c r="N62" s="163" t="str">
        <f>INDEX(Map!$W$2:$W$67, MATCH('Raw data'!L62, Map!$V$2:$V$67,0))</f>
        <v>T3</v>
      </c>
      <c r="O62" s="165" t="str">
        <f>INDEX(Map!$X$2:$X$67, MATCH('Raw data'!L62, Map!$V$2:$V$67,0))</f>
        <v>R9</v>
      </c>
      <c r="P62" s="158">
        <f>'14 days'!C63-'14 days'!$C$3</f>
        <v>13.99</v>
      </c>
      <c r="Q62" s="154">
        <f t="shared" si="0"/>
        <v>0.34975000000000001</v>
      </c>
      <c r="R62" s="155">
        <f t="shared" si="1"/>
        <v>12.169</v>
      </c>
      <c r="S62" s="328">
        <f t="shared" si="20"/>
        <v>0.30422500000000002</v>
      </c>
      <c r="T62" s="336">
        <f>IF((IF(('14 days'!D63-'14 days'!$D$3)&lt;0, 0, ('14 days'!D63-'14 days'!$D$3)))+(IF(('14 days'!E63-'14 days'!$E$3)&lt;0, 0, ('14 days'!E63-'14 days'!$E$3)))+('14 days'!G63*'14 days'!F63)+('14 days'!H63)&lt;0, 0, (IF(('14 days'!D63-'14 days'!$D$3)&lt;0, 0, ('14 days'!D63-'14 days'!$D$3)))+(IF(('14 days'!E63-'14 days'!$E$3)&lt;0, 0, ('14 days'!E63-'14 days'!$E$3)))+('14 days'!G63*'14 days'!F63)+('14 days'!H63))</f>
        <v>10.515000000000001</v>
      </c>
      <c r="U62" s="158">
        <f t="shared" si="21"/>
        <v>16.399999999999999</v>
      </c>
      <c r="V62" s="154">
        <f t="shared" si="3"/>
        <v>0.41</v>
      </c>
      <c r="W62" s="155">
        <f t="shared" si="22"/>
        <v>1.172265904217298</v>
      </c>
      <c r="X62" s="196">
        <f t="shared" si="23"/>
        <v>40</v>
      </c>
      <c r="Y62" s="213">
        <f t="shared" si="19"/>
        <v>40</v>
      </c>
      <c r="Z62" s="163">
        <f>'14 days'!I63</f>
        <v>0</v>
      </c>
      <c r="AA62" s="154">
        <f>'14 days'!J63</f>
        <v>0</v>
      </c>
      <c r="AB62" s="163">
        <f>'14 days'!K63</f>
        <v>0</v>
      </c>
      <c r="AC62" s="154">
        <f>'14 days'!L63</f>
        <v>0</v>
      </c>
      <c r="AD62" s="213">
        <f>'14 days'!M63</f>
        <v>0</v>
      </c>
      <c r="AE62" s="154">
        <f>'14 days'!N63</f>
        <v>0</v>
      </c>
      <c r="AF62" s="163">
        <f t="shared" si="11"/>
        <v>0</v>
      </c>
      <c r="AG62" s="160">
        <f t="shared" si="12"/>
        <v>0</v>
      </c>
      <c r="AI62" s="319" t="s">
        <v>116</v>
      </c>
      <c r="AJ62" s="162">
        <f t="shared" si="13"/>
        <v>59</v>
      </c>
      <c r="AK62" s="163" t="str">
        <f>INDEX(Map!$W$2:$W$67, MATCH('Raw data'!AJ62, Map!$V$2:$V$67,0))</f>
        <v>T3</v>
      </c>
      <c r="AL62" s="165" t="str">
        <f>INDEX(Map!$X$2:$X$67, MATCH('Raw data'!AJ62, Map!$V$2:$V$67,0))</f>
        <v>R9</v>
      </c>
      <c r="AM62" s="319">
        <f t="shared" si="24"/>
        <v>13.99</v>
      </c>
      <c r="AN62" s="150">
        <f t="shared" si="14"/>
        <v>0.34975000000000001</v>
      </c>
      <c r="AO62" s="151">
        <f t="shared" si="15"/>
        <v>12.169</v>
      </c>
      <c r="AP62" s="150">
        <f t="shared" si="16"/>
        <v>0.30422500000000002</v>
      </c>
      <c r="AQ62" s="151">
        <f t="shared" si="17"/>
        <v>16.399999999999999</v>
      </c>
      <c r="AR62" s="149">
        <f t="shared" si="18"/>
        <v>0.41</v>
      </c>
      <c r="AS62" s="150">
        <f t="shared" si="25"/>
        <v>1.172265904217298</v>
      </c>
    </row>
    <row r="63" spans="1:45" x14ac:dyDescent="0.25">
      <c r="A63" s="5">
        <f>IF('1 day'!A64&lt;&gt;"",'1 day'!A64,"")</f>
        <v>60</v>
      </c>
      <c r="B63" s="5" t="str">
        <f>IF(A63&lt;&gt;"",INDEX(Map!$W$2:$W$67, MATCH('Raw data'!A63, Map!$V$2:$V$67,0)),"")</f>
        <v>T5</v>
      </c>
      <c r="C63" s="5" t="str">
        <f>IF(A63&lt;&gt;"",INDEX(Map!$X$2:$X$67, MATCH('Raw data'!A63, Map!$V$2:$V$67,0)),"")</f>
        <v>R9</v>
      </c>
      <c r="D63" s="7">
        <f>IF(A63&lt;&gt;"",'1 day'!B64,"")</f>
        <v>40</v>
      </c>
      <c r="E63" s="11">
        <f>IF(A63&lt;&gt;"",'1 day'!C64,"")</f>
        <v>1.8120000000000001</v>
      </c>
      <c r="F63" s="12">
        <f>IF(A63&lt;&gt;"",'1 day'!C64/'1 day'!B64,"")</f>
        <v>4.53E-2</v>
      </c>
      <c r="G63" s="18">
        <f>IF(A63&lt;&gt;"",'1 day'!E64*'1 day'!D64+'1 day'!F64,"")</f>
        <v>26.664999999999999</v>
      </c>
      <c r="H63" s="3">
        <f>IF(A63&lt;&gt;"",'1 day'!H64*'1 day'!G64+'1 day'!I64,"")</f>
        <v>96</v>
      </c>
      <c r="I63" s="19">
        <f>IF(A63&lt;&gt;"",'1 day'!K64*'1 day'!J64+'1 day'!L64,"")</f>
        <v>63</v>
      </c>
      <c r="K63" s="164" t="s">
        <v>87</v>
      </c>
      <c r="L63" s="162">
        <f>'14 days'!A64</f>
        <v>60</v>
      </c>
      <c r="M63" s="163">
        <f t="shared" si="9"/>
        <v>40</v>
      </c>
      <c r="N63" s="163" t="str">
        <f>INDEX(Map!$W$2:$W$67, MATCH('Raw data'!L63, Map!$V$2:$V$67,0))</f>
        <v>T5</v>
      </c>
      <c r="O63" s="165" t="str">
        <f>INDEX(Map!$X$2:$X$67, MATCH('Raw data'!L63, Map!$V$2:$V$67,0))</f>
        <v>R9</v>
      </c>
      <c r="P63" s="158">
        <f>'14 days'!C64-'14 days'!$C$3</f>
        <v>14.69</v>
      </c>
      <c r="Q63" s="154">
        <f t="shared" si="0"/>
        <v>0.36724999999999997</v>
      </c>
      <c r="R63" s="155">
        <f t="shared" si="1"/>
        <v>12.877999999999998</v>
      </c>
      <c r="S63" s="328">
        <f t="shared" si="20"/>
        <v>0.32194999999999996</v>
      </c>
      <c r="T63" s="336">
        <f>IF((IF(('14 days'!D64-'14 days'!$D$3)&lt;0, 0, ('14 days'!D64-'14 days'!$D$3)))+(IF(('14 days'!E64-'14 days'!$E$3)&lt;0, 0, ('14 days'!E64-'14 days'!$E$3)))+('14 days'!G64*'14 days'!F64)+('14 days'!H64)&lt;0, 0, (IF(('14 days'!D64-'14 days'!$D$3)&lt;0, 0, ('14 days'!D64-'14 days'!$D$3)))+(IF(('14 days'!E64-'14 days'!$E$3)&lt;0, 0, ('14 days'!E64-'14 days'!$E$3)))+('14 days'!G64*'14 days'!F64)+('14 days'!H64))</f>
        <v>10.264999999999999</v>
      </c>
      <c r="U63" s="158">
        <f t="shared" si="21"/>
        <v>16.399999999999999</v>
      </c>
      <c r="V63" s="154">
        <f t="shared" si="3"/>
        <v>0.41</v>
      </c>
      <c r="W63" s="155">
        <f t="shared" si="22"/>
        <v>1.1164057181756297</v>
      </c>
      <c r="X63" s="196">
        <f t="shared" si="23"/>
        <v>40</v>
      </c>
      <c r="Y63" s="213">
        <f t="shared" si="19"/>
        <v>40</v>
      </c>
      <c r="Z63" s="163">
        <f>'14 days'!I64</f>
        <v>0</v>
      </c>
      <c r="AA63" s="154">
        <f>'14 days'!J64</f>
        <v>0</v>
      </c>
      <c r="AB63" s="163">
        <f>'14 days'!K64</f>
        <v>0</v>
      </c>
      <c r="AC63" s="154">
        <f>'14 days'!L64</f>
        <v>0</v>
      </c>
      <c r="AD63" s="213">
        <f>'14 days'!M64</f>
        <v>0</v>
      </c>
      <c r="AE63" s="154">
        <f>'14 days'!N64</f>
        <v>0</v>
      </c>
      <c r="AF63" s="163">
        <f t="shared" si="11"/>
        <v>0</v>
      </c>
      <c r="AG63" s="160">
        <f t="shared" si="12"/>
        <v>0</v>
      </c>
      <c r="AI63" s="319" t="s">
        <v>116</v>
      </c>
      <c r="AJ63" s="162">
        <f t="shared" si="13"/>
        <v>60</v>
      </c>
      <c r="AK63" s="163" t="str">
        <f>INDEX(Map!$W$2:$W$67, MATCH('Raw data'!AJ63, Map!$V$2:$V$67,0))</f>
        <v>T5</v>
      </c>
      <c r="AL63" s="165" t="str">
        <f>INDEX(Map!$X$2:$X$67, MATCH('Raw data'!AJ63, Map!$V$2:$V$67,0))</f>
        <v>R9</v>
      </c>
      <c r="AM63" s="319">
        <f t="shared" si="24"/>
        <v>14.69</v>
      </c>
      <c r="AN63" s="150">
        <f t="shared" si="14"/>
        <v>0.36724999999999997</v>
      </c>
      <c r="AO63" s="151">
        <f t="shared" si="15"/>
        <v>12.877999999999998</v>
      </c>
      <c r="AP63" s="150">
        <f t="shared" si="16"/>
        <v>0.32194999999999996</v>
      </c>
      <c r="AQ63" s="151">
        <f t="shared" si="17"/>
        <v>16.399999999999999</v>
      </c>
      <c r="AR63" s="149">
        <f t="shared" si="18"/>
        <v>0.41</v>
      </c>
      <c r="AS63" s="150">
        <f t="shared" si="25"/>
        <v>1.1164057181756297</v>
      </c>
    </row>
    <row r="64" spans="1:45" x14ac:dyDescent="0.25">
      <c r="A64" s="5">
        <f>IF('1 day'!A65&lt;&gt;"",'1 day'!A65,"")</f>
        <v>61</v>
      </c>
      <c r="B64" s="5" t="str">
        <f>IF(A64&lt;&gt;"",INDEX(Map!$W$2:$W$67, MATCH('Raw data'!A64, Map!$V$2:$V$67,0)),"")</f>
        <v>T2</v>
      </c>
      <c r="C64" s="5" t="str">
        <f>IF(A64&lt;&gt;"",INDEX(Map!$X$2:$X$67, MATCH('Raw data'!A64, Map!$V$2:$V$67,0)),"")</f>
        <v>R9</v>
      </c>
      <c r="D64" s="7">
        <f>IF(A64&lt;&gt;"",'1 day'!B65,"")</f>
        <v>40</v>
      </c>
      <c r="E64" s="11">
        <f>IF(A64&lt;&gt;"",'1 day'!C65,"")</f>
        <v>1.83</v>
      </c>
      <c r="F64" s="12">
        <f>IF(A64&lt;&gt;"",'1 day'!C65/'1 day'!B65,"")</f>
        <v>4.5749999999999999E-2</v>
      </c>
      <c r="G64" s="18">
        <f>IF(A64&lt;&gt;"",'1 day'!E65*'1 day'!D65+'1 day'!F65,"")</f>
        <v>26.664999999999999</v>
      </c>
      <c r="H64" s="3">
        <f>IF(A64&lt;&gt;"",'1 day'!H65*'1 day'!G65+'1 day'!I65,"")</f>
        <v>96</v>
      </c>
      <c r="I64" s="19">
        <f>IF(A64&lt;&gt;"",'1 day'!K65*'1 day'!J65+'1 day'!L65,"")</f>
        <v>63</v>
      </c>
      <c r="K64" s="164" t="s">
        <v>87</v>
      </c>
      <c r="L64" s="162">
        <f>'14 days'!A65</f>
        <v>61</v>
      </c>
      <c r="M64" s="163">
        <f t="shared" si="9"/>
        <v>37</v>
      </c>
      <c r="N64" s="163" t="str">
        <f>INDEX(Map!$W$2:$W$67, MATCH('Raw data'!L64, Map!$V$2:$V$67,0))</f>
        <v>T2</v>
      </c>
      <c r="O64" s="165" t="str">
        <f>INDEX(Map!$X$2:$X$67, MATCH('Raw data'!L64, Map!$V$2:$V$67,0))</f>
        <v>R9</v>
      </c>
      <c r="P64" s="158">
        <f>'14 days'!C65-'14 days'!$C$3</f>
        <v>13.54</v>
      </c>
      <c r="Q64" s="154">
        <f t="shared" si="0"/>
        <v>0.36594594594594593</v>
      </c>
      <c r="R64" s="155">
        <f t="shared" si="1"/>
        <v>11.847249999999999</v>
      </c>
      <c r="S64" s="328">
        <f t="shared" si="20"/>
        <v>0.32019594594594591</v>
      </c>
      <c r="T64" s="336">
        <f>IF((IF(('14 days'!D65-'14 days'!$D$3)&lt;0, 0, ('14 days'!D65-'14 days'!$D$3)))+(IF(('14 days'!E65-'14 days'!$E$3)&lt;0, 0, ('14 days'!E65-'14 days'!$E$3)))+('14 days'!G65*'14 days'!F65)+('14 days'!H65)&lt;0, 0, (IF(('14 days'!D65-'14 days'!$D$3)&lt;0, 0, ('14 days'!D65-'14 days'!$D$3)))+(IF(('14 days'!E65-'14 days'!$E$3)&lt;0, 0, ('14 days'!E65-'14 days'!$E$3)))+('14 days'!G65*'14 days'!F65)+('14 days'!H65))</f>
        <v>10.665000000000001</v>
      </c>
      <c r="U64" s="158">
        <f t="shared" si="21"/>
        <v>15.999999999999998</v>
      </c>
      <c r="V64" s="154">
        <f t="shared" si="3"/>
        <v>0.4324324324324324</v>
      </c>
      <c r="W64" s="155">
        <f t="shared" si="22"/>
        <v>1.1431020933057083</v>
      </c>
      <c r="X64" s="196">
        <f t="shared" si="23"/>
        <v>40</v>
      </c>
      <c r="Y64" s="213">
        <f t="shared" si="19"/>
        <v>37</v>
      </c>
      <c r="Z64" s="163">
        <f>'14 days'!I65</f>
        <v>1</v>
      </c>
      <c r="AA64" s="154">
        <f>'14 days'!J65</f>
        <v>5.7000000000000002E-2</v>
      </c>
      <c r="AB64" s="163">
        <f>'14 days'!K65</f>
        <v>2</v>
      </c>
      <c r="AC64" s="154">
        <f>'14 days'!L65</f>
        <v>0.4</v>
      </c>
      <c r="AD64" s="213">
        <f>'14 days'!M65</f>
        <v>0</v>
      </c>
      <c r="AE64" s="154">
        <f>'14 days'!N65</f>
        <v>0</v>
      </c>
      <c r="AF64" s="163">
        <f t="shared" si="11"/>
        <v>3</v>
      </c>
      <c r="AG64" s="160">
        <f t="shared" si="12"/>
        <v>0.45700000000000002</v>
      </c>
      <c r="AI64" s="319" t="s">
        <v>116</v>
      </c>
      <c r="AJ64" s="162">
        <f t="shared" si="13"/>
        <v>61</v>
      </c>
      <c r="AK64" s="163" t="str">
        <f>INDEX(Map!$W$2:$W$67, MATCH('Raw data'!AJ64, Map!$V$2:$V$67,0))</f>
        <v>T2</v>
      </c>
      <c r="AL64" s="165" t="str">
        <f>INDEX(Map!$X$2:$X$67, MATCH('Raw data'!AJ64, Map!$V$2:$V$67,0))</f>
        <v>R9</v>
      </c>
      <c r="AM64" s="319">
        <f t="shared" si="24"/>
        <v>13.54</v>
      </c>
      <c r="AN64" s="150">
        <f t="shared" si="14"/>
        <v>0.36594594594594593</v>
      </c>
      <c r="AO64" s="151">
        <f t="shared" si="15"/>
        <v>11.847249999999999</v>
      </c>
      <c r="AP64" s="150">
        <f t="shared" si="16"/>
        <v>0.32019594594594591</v>
      </c>
      <c r="AQ64" s="151">
        <f t="shared" si="17"/>
        <v>15.999999999999998</v>
      </c>
      <c r="AR64" s="149">
        <f t="shared" si="18"/>
        <v>0.4324324324324324</v>
      </c>
      <c r="AS64" s="150">
        <f t="shared" si="25"/>
        <v>1.1431020933057083</v>
      </c>
    </row>
    <row r="65" spans="1:45" x14ac:dyDescent="0.25">
      <c r="A65" s="5">
        <f>IF('1 day'!A66&lt;&gt;"",'1 day'!A66,"")</f>
        <v>62</v>
      </c>
      <c r="B65" s="5" t="str">
        <f>IF(A65&lt;&gt;"",INDEX(Map!$W$2:$W$67, MATCH('Raw data'!A65, Map!$V$2:$V$67,0)),"")</f>
        <v>T6</v>
      </c>
      <c r="C65" s="5" t="str">
        <f>IF(A65&lt;&gt;"",INDEX(Map!$X$2:$X$67, MATCH('Raw data'!A65, Map!$V$2:$V$67,0)),"")</f>
        <v>R9</v>
      </c>
      <c r="D65" s="7">
        <f>IF(A65&lt;&gt;"",'1 day'!B66,"")</f>
        <v>40</v>
      </c>
      <c r="E65" s="11">
        <f>IF(A65&lt;&gt;"",'1 day'!C66,"")</f>
        <v>1.821</v>
      </c>
      <c r="F65" s="12">
        <f>IF(A65&lt;&gt;"",'1 day'!C66/'1 day'!B66,"")</f>
        <v>4.5524999999999996E-2</v>
      </c>
      <c r="G65" s="18">
        <f>IF(A65&lt;&gt;"",'1 day'!E66*'1 day'!D66+'1 day'!F66,"")</f>
        <v>26.565000000000001</v>
      </c>
      <c r="H65" s="3">
        <f>IF(A65&lt;&gt;"",'1 day'!H66*'1 day'!G66+'1 day'!I66,"")</f>
        <v>96</v>
      </c>
      <c r="I65" s="19">
        <f>IF(A65&lt;&gt;"",'1 day'!K66*'1 day'!J66+'1 day'!L66,"")</f>
        <v>63</v>
      </c>
      <c r="K65" s="164" t="s">
        <v>87</v>
      </c>
      <c r="L65" s="162">
        <f>'14 days'!A66</f>
        <v>62</v>
      </c>
      <c r="M65" s="163">
        <f t="shared" si="9"/>
        <v>40</v>
      </c>
      <c r="N65" s="163" t="str">
        <f>INDEX(Map!$W$2:$W$67, MATCH('Raw data'!L65, Map!$V$2:$V$67,0))</f>
        <v>T6</v>
      </c>
      <c r="O65" s="165" t="str">
        <f>INDEX(Map!$X$2:$X$67, MATCH('Raw data'!L65, Map!$V$2:$V$67,0))</f>
        <v>R9</v>
      </c>
      <c r="P65" s="158">
        <f>'14 days'!C66-'14 days'!$C$3</f>
        <v>13.54</v>
      </c>
      <c r="Q65" s="154">
        <f t="shared" si="0"/>
        <v>0.33849999999999997</v>
      </c>
      <c r="R65" s="155">
        <f t="shared" si="1"/>
        <v>11.718999999999999</v>
      </c>
      <c r="S65" s="328">
        <f t="shared" si="20"/>
        <v>0.29297499999999999</v>
      </c>
      <c r="T65" s="336">
        <f>IF((IF(('14 days'!D66-'14 days'!$D$3)&lt;0, 0, ('14 days'!D66-'14 days'!$D$3)))+(IF(('14 days'!E66-'14 days'!$E$3)&lt;0, 0, ('14 days'!E66-'14 days'!$E$3)))+('14 days'!G66*'14 days'!F66)+('14 days'!H66)&lt;0, 0, (IF(('14 days'!D66-'14 days'!$D$3)&lt;0, 0, ('14 days'!D66-'14 days'!$D$3)))+(IF(('14 days'!E66-'14 days'!$E$3)&lt;0, 0, ('14 days'!E66-'14 days'!$E$3)))+('14 days'!G66*'14 days'!F66)+('14 days'!H66))</f>
        <v>11.365</v>
      </c>
      <c r="U65" s="158">
        <f t="shared" si="21"/>
        <v>15.200000000000001</v>
      </c>
      <c r="V65" s="154">
        <f t="shared" si="3"/>
        <v>0.38</v>
      </c>
      <c r="W65" s="155">
        <f t="shared" si="22"/>
        <v>1.1225997045790252</v>
      </c>
      <c r="X65" s="196">
        <f t="shared" si="23"/>
        <v>40</v>
      </c>
      <c r="Y65" s="213">
        <f t="shared" si="19"/>
        <v>40</v>
      </c>
      <c r="Z65" s="163">
        <f>'14 days'!I66</f>
        <v>0</v>
      </c>
      <c r="AA65" s="154">
        <f>'14 days'!J66</f>
        <v>0</v>
      </c>
      <c r="AB65" s="163">
        <f>'14 days'!K66</f>
        <v>0</v>
      </c>
      <c r="AC65" s="154">
        <f>'14 days'!L66</f>
        <v>0</v>
      </c>
      <c r="AD65" s="213">
        <f>'14 days'!M66</f>
        <v>0</v>
      </c>
      <c r="AE65" s="154">
        <f>'14 days'!N66</f>
        <v>0</v>
      </c>
      <c r="AF65" s="163">
        <f t="shared" si="11"/>
        <v>0</v>
      </c>
      <c r="AG65" s="160">
        <f t="shared" si="12"/>
        <v>0</v>
      </c>
      <c r="AI65" s="319" t="s">
        <v>116</v>
      </c>
      <c r="AJ65" s="162">
        <f t="shared" si="13"/>
        <v>62</v>
      </c>
      <c r="AK65" s="163" t="str">
        <f>INDEX(Map!$W$2:$W$67, MATCH('Raw data'!AJ65, Map!$V$2:$V$67,0))</f>
        <v>T6</v>
      </c>
      <c r="AL65" s="165" t="str">
        <f>INDEX(Map!$X$2:$X$67, MATCH('Raw data'!AJ65, Map!$V$2:$V$67,0))</f>
        <v>R9</v>
      </c>
      <c r="AM65" s="319">
        <f t="shared" si="24"/>
        <v>13.54</v>
      </c>
      <c r="AN65" s="150">
        <f t="shared" si="14"/>
        <v>0.33849999999999997</v>
      </c>
      <c r="AO65" s="151">
        <f t="shared" si="15"/>
        <v>11.718999999999999</v>
      </c>
      <c r="AP65" s="150">
        <f t="shared" si="16"/>
        <v>0.29297499999999999</v>
      </c>
      <c r="AQ65" s="151">
        <f t="shared" si="17"/>
        <v>15.200000000000001</v>
      </c>
      <c r="AR65" s="149">
        <f t="shared" si="18"/>
        <v>0.38</v>
      </c>
      <c r="AS65" s="150">
        <f t="shared" si="25"/>
        <v>1.1225997045790252</v>
      </c>
    </row>
    <row r="66" spans="1:45" x14ac:dyDescent="0.25">
      <c r="A66" s="5">
        <f>IF('1 day'!A67&lt;&gt;"",'1 day'!A67,"")</f>
        <v>63</v>
      </c>
      <c r="B66" s="5" t="str">
        <f>IF(A66&lt;&gt;"",INDEX(Map!$W$2:$W$67, MATCH('Raw data'!A66, Map!$V$2:$V$67,0)),"")</f>
        <v>T1</v>
      </c>
      <c r="C66" s="5" t="str">
        <f>IF(A66&lt;&gt;"",INDEX(Map!$X$2:$X$67, MATCH('Raw data'!A66, Map!$V$2:$V$67,0)),"")</f>
        <v>R9</v>
      </c>
      <c r="D66" s="7">
        <f>IF(A66&lt;&gt;"",'1 day'!B67,"")</f>
        <v>40</v>
      </c>
      <c r="E66" s="11">
        <f>IF(A66&lt;&gt;"",'1 day'!C67,"")</f>
        <v>1.8360000000000001</v>
      </c>
      <c r="F66" s="12">
        <f>IF(A66&lt;&gt;"",'1 day'!C67/'1 day'!B67,"")</f>
        <v>4.5900000000000003E-2</v>
      </c>
      <c r="G66" s="18">
        <f>IF(A66&lt;&gt;"",'1 day'!E67*'1 day'!D67+'1 day'!F67,"")</f>
        <v>26.265000000000001</v>
      </c>
      <c r="H66" s="3">
        <f>IF(A66&lt;&gt;"",'1 day'!H67*'1 day'!G67+'1 day'!I67,"")</f>
        <v>96</v>
      </c>
      <c r="I66" s="19">
        <f>IF(A66&lt;&gt;"",'1 day'!K67*'1 day'!J67+'1 day'!L67,"")</f>
        <v>63</v>
      </c>
      <c r="K66" s="164" t="s">
        <v>87</v>
      </c>
      <c r="L66" s="162">
        <f>'14 days'!A67</f>
        <v>63</v>
      </c>
      <c r="M66" s="163">
        <f t="shared" si="9"/>
        <v>39</v>
      </c>
      <c r="N66" s="163" t="str">
        <f>INDEX(Map!$W$2:$W$67, MATCH('Raw data'!L66, Map!$V$2:$V$67,0))</f>
        <v>T1</v>
      </c>
      <c r="O66" s="165" t="str">
        <f>INDEX(Map!$X$2:$X$67, MATCH('Raw data'!L66, Map!$V$2:$V$67,0))</f>
        <v>R9</v>
      </c>
      <c r="P66" s="158">
        <f>'14 days'!C67-'14 days'!$C$3</f>
        <v>14.24</v>
      </c>
      <c r="Q66" s="154">
        <f t="shared" si="0"/>
        <v>0.36512820512820515</v>
      </c>
      <c r="R66" s="155">
        <f t="shared" si="1"/>
        <v>12.449900000000001</v>
      </c>
      <c r="S66" s="328">
        <f t="shared" si="20"/>
        <v>0.31922820512820516</v>
      </c>
      <c r="T66" s="336">
        <f>IF((IF(('14 days'!D67-'14 days'!$D$3)&lt;0, 0, ('14 days'!D67-'14 days'!$D$3)))+(IF(('14 days'!E67-'14 days'!$E$3)&lt;0, 0, ('14 days'!E67-'14 days'!$E$3)))+('14 days'!G67*'14 days'!F67)+('14 days'!H67)&lt;0, 0, (IF(('14 days'!D67-'14 days'!$D$3)&lt;0, 0, ('14 days'!D67-'14 days'!$D$3)))+(IF(('14 days'!E67-'14 days'!$E$3)&lt;0, 0, ('14 days'!E67-'14 days'!$E$3)))+('14 days'!G67*'14 days'!F67)+('14 days'!H67))</f>
        <v>9.6649999999999991</v>
      </c>
      <c r="U66" s="158">
        <f t="shared" si="21"/>
        <v>16.600000000000001</v>
      </c>
      <c r="V66" s="154">
        <f t="shared" si="3"/>
        <v>0.42564102564102568</v>
      </c>
      <c r="W66" s="155">
        <f t="shared" si="22"/>
        <v>1.1456176673567979</v>
      </c>
      <c r="X66" s="196">
        <f t="shared" si="23"/>
        <v>40</v>
      </c>
      <c r="Y66" s="213">
        <f t="shared" si="19"/>
        <v>39</v>
      </c>
      <c r="Z66" s="163">
        <f>'14 days'!I67</f>
        <v>0</v>
      </c>
      <c r="AA66" s="154">
        <f>'14 days'!J67</f>
        <v>0</v>
      </c>
      <c r="AB66" s="163">
        <f>'14 days'!K67</f>
        <v>1</v>
      </c>
      <c r="AC66" s="154">
        <f>'14 days'!L67</f>
        <v>0.25</v>
      </c>
      <c r="AD66" s="213">
        <f>'14 days'!M67</f>
        <v>0</v>
      </c>
      <c r="AE66" s="154">
        <f>'14 days'!N67</f>
        <v>0</v>
      </c>
      <c r="AF66" s="163">
        <f t="shared" si="11"/>
        <v>1</v>
      </c>
      <c r="AG66" s="160">
        <f t="shared" si="12"/>
        <v>0.25</v>
      </c>
      <c r="AI66" s="319" t="s">
        <v>116</v>
      </c>
      <c r="AJ66" s="162">
        <f t="shared" si="13"/>
        <v>63</v>
      </c>
      <c r="AK66" s="163" t="str">
        <f>INDEX(Map!$W$2:$W$67, MATCH('Raw data'!AJ66, Map!$V$2:$V$67,0))</f>
        <v>T1</v>
      </c>
      <c r="AL66" s="165" t="str">
        <f>INDEX(Map!$X$2:$X$67, MATCH('Raw data'!AJ66, Map!$V$2:$V$67,0))</f>
        <v>R9</v>
      </c>
      <c r="AM66" s="319">
        <f t="shared" si="24"/>
        <v>14.24</v>
      </c>
      <c r="AN66" s="150">
        <f t="shared" si="14"/>
        <v>0.36512820512820515</v>
      </c>
      <c r="AO66" s="151">
        <f t="shared" si="15"/>
        <v>12.449900000000001</v>
      </c>
      <c r="AP66" s="150">
        <f t="shared" si="16"/>
        <v>0.31922820512820516</v>
      </c>
      <c r="AQ66" s="151">
        <f t="shared" si="17"/>
        <v>16.600000000000001</v>
      </c>
      <c r="AR66" s="149">
        <f t="shared" si="18"/>
        <v>0.42564102564102568</v>
      </c>
      <c r="AS66" s="150">
        <f t="shared" si="25"/>
        <v>1.1456176673567979</v>
      </c>
    </row>
    <row r="67" spans="1:45" x14ac:dyDescent="0.25">
      <c r="A67" s="5">
        <f>IF('1 day'!A68&lt;&gt;"",'1 day'!A68,"")</f>
        <v>64</v>
      </c>
      <c r="B67" s="5" t="str">
        <f>IF(A67&lt;&gt;"",INDEX(Map!$W$2:$W$67, MATCH('Raw data'!A67, Map!$V$2:$V$67,0)),"")</f>
        <v>T4</v>
      </c>
      <c r="C67" s="5" t="str">
        <f>IF(A67&lt;&gt;"",INDEX(Map!$X$2:$X$67, MATCH('Raw data'!A67, Map!$V$2:$V$67,0)),"")</f>
        <v>R9</v>
      </c>
      <c r="D67" s="7">
        <f>IF(A67&lt;&gt;"",'1 day'!B68,"")</f>
        <v>40</v>
      </c>
      <c r="E67" s="11">
        <f>IF(A67&lt;&gt;"",'1 day'!C68,"")</f>
        <v>1.82</v>
      </c>
      <c r="F67" s="12">
        <f>IF(A67&lt;&gt;"",'1 day'!C68/'1 day'!B68,"")</f>
        <v>4.5499999999999999E-2</v>
      </c>
      <c r="G67" s="18">
        <f>IF(A67&lt;&gt;"",'1 day'!E68*'1 day'!D68+'1 day'!F68,"")</f>
        <v>26.664999999999999</v>
      </c>
      <c r="H67" s="3">
        <f>IF(A67&lt;&gt;"",'1 day'!H68*'1 day'!G68+'1 day'!I68,"")</f>
        <v>96</v>
      </c>
      <c r="I67" s="19">
        <f>IF(A67&lt;&gt;"",'1 day'!K68*'1 day'!J68+'1 day'!L68,"")</f>
        <v>63</v>
      </c>
      <c r="K67" s="164" t="s">
        <v>87</v>
      </c>
      <c r="L67" s="162">
        <f>'14 days'!A68</f>
        <v>64</v>
      </c>
      <c r="M67" s="163">
        <f t="shared" si="9"/>
        <v>38</v>
      </c>
      <c r="N67" s="163" t="str">
        <f>INDEX(Map!$W$2:$W$67, MATCH('Raw data'!L67, Map!$V$2:$V$67,0))</f>
        <v>T4</v>
      </c>
      <c r="O67" s="165" t="str">
        <f>INDEX(Map!$X$2:$X$67, MATCH('Raw data'!L67, Map!$V$2:$V$67,0))</f>
        <v>R9</v>
      </c>
      <c r="P67" s="158">
        <f>'14 days'!C68-'14 days'!$C$3</f>
        <v>13.639999999999999</v>
      </c>
      <c r="Q67" s="154">
        <f t="shared" si="0"/>
        <v>0.35894736842105263</v>
      </c>
      <c r="R67" s="155">
        <f t="shared" si="1"/>
        <v>11.911</v>
      </c>
      <c r="S67" s="328">
        <f t="shared" si="20"/>
        <v>0.31344736842105264</v>
      </c>
      <c r="T67" s="336">
        <f>IF((IF(('14 days'!D68-'14 days'!$D$3)&lt;0, 0, ('14 days'!D68-'14 days'!$D$3)))+(IF(('14 days'!E68-'14 days'!$E$3)&lt;0, 0, ('14 days'!E68-'14 days'!$E$3)))+('14 days'!G68*'14 days'!F68)+('14 days'!H68)&lt;0, 0, (IF(('14 days'!D68-'14 days'!$D$3)&lt;0, 0, ('14 days'!D68-'14 days'!$D$3)))+(IF(('14 days'!E68-'14 days'!$E$3)&lt;0, 0, ('14 days'!E68-'14 days'!$E$3)))+('14 days'!G68*'14 days'!F68)+('14 days'!H68))</f>
        <v>11.015000000000001</v>
      </c>
      <c r="U67" s="158">
        <f t="shared" si="21"/>
        <v>15.649999999999999</v>
      </c>
      <c r="V67" s="154">
        <f t="shared" si="3"/>
        <v>0.41184210526315784</v>
      </c>
      <c r="W67" s="155">
        <f t="shared" si="22"/>
        <v>1.1226685796269726</v>
      </c>
      <c r="X67" s="196">
        <f t="shared" si="23"/>
        <v>40</v>
      </c>
      <c r="Y67" s="213">
        <f t="shared" si="19"/>
        <v>38</v>
      </c>
      <c r="Z67" s="163">
        <f>'14 days'!I68</f>
        <v>0</v>
      </c>
      <c r="AA67" s="154">
        <f>'14 days'!J68</f>
        <v>0</v>
      </c>
      <c r="AB67" s="163">
        <f>'14 days'!K68</f>
        <v>2</v>
      </c>
      <c r="AC67" s="154">
        <f>'14 days'!L68</f>
        <v>0.3</v>
      </c>
      <c r="AD67" s="213">
        <f>'14 days'!M68</f>
        <v>0</v>
      </c>
      <c r="AE67" s="154">
        <f>'14 days'!N68</f>
        <v>0</v>
      </c>
      <c r="AF67" s="163">
        <f t="shared" si="11"/>
        <v>2</v>
      </c>
      <c r="AG67" s="160">
        <f t="shared" si="12"/>
        <v>0.3</v>
      </c>
      <c r="AI67" s="319" t="s">
        <v>116</v>
      </c>
      <c r="AJ67" s="162">
        <f t="shared" si="13"/>
        <v>64</v>
      </c>
      <c r="AK67" s="163" t="str">
        <f>INDEX(Map!$W$2:$W$67, MATCH('Raw data'!AJ67, Map!$V$2:$V$67,0))</f>
        <v>T4</v>
      </c>
      <c r="AL67" s="165" t="str">
        <f>INDEX(Map!$X$2:$X$67, MATCH('Raw data'!AJ67, Map!$V$2:$V$67,0))</f>
        <v>R9</v>
      </c>
      <c r="AM67" s="319">
        <f t="shared" si="24"/>
        <v>13.639999999999999</v>
      </c>
      <c r="AN67" s="150">
        <f t="shared" si="14"/>
        <v>0.35894736842105263</v>
      </c>
      <c r="AO67" s="151">
        <f t="shared" si="15"/>
        <v>11.911</v>
      </c>
      <c r="AP67" s="150">
        <f t="shared" si="16"/>
        <v>0.31344736842105264</v>
      </c>
      <c r="AQ67" s="151">
        <f t="shared" si="17"/>
        <v>15.649999999999999</v>
      </c>
      <c r="AR67" s="149">
        <f t="shared" si="18"/>
        <v>0.41184210526315784</v>
      </c>
      <c r="AS67" s="150">
        <f t="shared" si="25"/>
        <v>1.1226685796269726</v>
      </c>
    </row>
    <row r="68" spans="1:45" x14ac:dyDescent="0.25">
      <c r="A68" s="5">
        <f>IF('1 day'!A69&lt;&gt;"",'1 day'!A69,"")</f>
        <v>65</v>
      </c>
      <c r="B68" s="5" t="str">
        <f>IF(A68&lt;&gt;"",INDEX(Map!$W$2:$W$67, MATCH('Raw data'!A68, Map!$V$2:$V$67,0)),"")</f>
        <v>T3</v>
      </c>
      <c r="C68" s="5" t="str">
        <f>IF(A68&lt;&gt;"",INDEX(Map!$X$2:$X$67, MATCH('Raw data'!A68, Map!$V$2:$V$67,0)),"")</f>
        <v>R11</v>
      </c>
      <c r="D68" s="7">
        <f>IF(A68&lt;&gt;"",'1 day'!B69,"")</f>
        <v>40</v>
      </c>
      <c r="E68" s="11">
        <f>IF(A68&lt;&gt;"",'1 day'!C69,"")</f>
        <v>1.8160000000000001</v>
      </c>
      <c r="F68" s="12">
        <f>IF(A68&lt;&gt;"",'1 day'!C69/'1 day'!B69,"")</f>
        <v>4.5400000000000003E-2</v>
      </c>
      <c r="G68" s="18">
        <f>IF(A68&lt;&gt;"",'1 day'!E69*'1 day'!D69+'1 day'!F69,"")</f>
        <v>24.914999999999999</v>
      </c>
      <c r="H68" s="3">
        <f>IF(A68&lt;&gt;"",'1 day'!H69*'1 day'!G69+'1 day'!I69,"")</f>
        <v>94.35</v>
      </c>
      <c r="I68" s="19">
        <f>IF(A68&lt;&gt;"",'1 day'!K69*'1 day'!J69+'1 day'!L69,"")</f>
        <v>61.85</v>
      </c>
      <c r="K68" s="164" t="s">
        <v>87</v>
      </c>
      <c r="L68" s="162">
        <f>'14 days'!A69</f>
        <v>65</v>
      </c>
      <c r="M68" s="163">
        <f t="shared" si="9"/>
        <v>38</v>
      </c>
      <c r="N68" s="163" t="str">
        <f>INDEX(Map!$W$2:$W$67, MATCH('Raw data'!L68, Map!$V$2:$V$67,0))</f>
        <v>T3</v>
      </c>
      <c r="O68" s="165" t="str">
        <f>INDEX(Map!$X$2:$X$67, MATCH('Raw data'!L68, Map!$V$2:$V$67,0))</f>
        <v>R11</v>
      </c>
      <c r="P68" s="158">
        <f>'14 days'!C69-'14 days'!$C$3</f>
        <v>14.24</v>
      </c>
      <c r="Q68" s="154">
        <f t="shared" ref="Q68:Q131" si="26">P68/M68</f>
        <v>0.37473684210526315</v>
      </c>
      <c r="R68" s="155">
        <f t="shared" ref="R68:R131" si="27">S68*M68</f>
        <v>12.514799999999999</v>
      </c>
      <c r="S68" s="328">
        <f t="shared" si="20"/>
        <v>0.32933684210526315</v>
      </c>
      <c r="T68" s="336">
        <f>IF((IF(('14 days'!D69-'14 days'!$D$3)&lt;0, 0, ('14 days'!D69-'14 days'!$D$3)))+(IF(('14 days'!E69-'14 days'!$E$3)&lt;0, 0, ('14 days'!E69-'14 days'!$E$3)))+('14 days'!G69*'14 days'!F69)+('14 days'!H69)&lt;0, 0, (IF(('14 days'!D69-'14 days'!$D$3)&lt;0, 0, ('14 days'!D69-'14 days'!$D$3)))+(IF(('14 days'!E69-'14 days'!$E$3)&lt;0, 0, ('14 days'!E69-'14 days'!$E$3)))+('14 days'!G69*'14 days'!F69)+('14 days'!H69))</f>
        <v>8.6150000000000002</v>
      </c>
      <c r="U68" s="158">
        <f t="shared" ref="U68:U69" si="28">G68-T68</f>
        <v>16.299999999999997</v>
      </c>
      <c r="V68" s="154">
        <f t="shared" ref="V68:V131" si="29">U68/M68</f>
        <v>0.42894736842105258</v>
      </c>
      <c r="W68" s="155">
        <f t="shared" si="22"/>
        <v>1.1133879781420764</v>
      </c>
      <c r="X68" s="196">
        <f t="shared" si="23"/>
        <v>40</v>
      </c>
      <c r="Y68" s="213">
        <f t="shared" si="19"/>
        <v>38</v>
      </c>
      <c r="Z68" s="163">
        <f>'14 days'!I69</f>
        <v>0</v>
      </c>
      <c r="AA68" s="154">
        <f>'14 days'!J69</f>
        <v>0</v>
      </c>
      <c r="AB68" s="163">
        <f>'14 days'!K69</f>
        <v>2</v>
      </c>
      <c r="AC68" s="154">
        <f>'14 days'!L69</f>
        <v>0.4</v>
      </c>
      <c r="AD68" s="213">
        <f>'14 days'!M69</f>
        <v>0</v>
      </c>
      <c r="AE68" s="154">
        <f>'14 days'!N69</f>
        <v>0</v>
      </c>
      <c r="AF68" s="163">
        <f t="shared" si="11"/>
        <v>2</v>
      </c>
      <c r="AG68" s="160">
        <f t="shared" si="12"/>
        <v>0.4</v>
      </c>
      <c r="AI68" s="319" t="s">
        <v>116</v>
      </c>
      <c r="AJ68" s="162">
        <f t="shared" si="13"/>
        <v>65</v>
      </c>
      <c r="AK68" s="163" t="str">
        <f>INDEX(Map!$W$2:$W$67, MATCH('Raw data'!AJ68, Map!$V$2:$V$67,0))</f>
        <v>T3</v>
      </c>
      <c r="AL68" s="165" t="str">
        <f>INDEX(Map!$X$2:$X$67, MATCH('Raw data'!AJ68, Map!$V$2:$V$67,0))</f>
        <v>R11</v>
      </c>
      <c r="AM68" s="319">
        <f t="shared" si="24"/>
        <v>14.24</v>
      </c>
      <c r="AN68" s="150">
        <f t="shared" si="14"/>
        <v>0.37473684210526315</v>
      </c>
      <c r="AO68" s="151">
        <f t="shared" si="15"/>
        <v>12.514799999999999</v>
      </c>
      <c r="AP68" s="150">
        <f t="shared" si="16"/>
        <v>0.32933684210526315</v>
      </c>
      <c r="AQ68" s="151">
        <f t="shared" si="17"/>
        <v>16.299999999999997</v>
      </c>
      <c r="AR68" s="149">
        <f t="shared" si="18"/>
        <v>0.42894736842105258</v>
      </c>
      <c r="AS68" s="150">
        <f t="shared" si="25"/>
        <v>1.1133879781420764</v>
      </c>
    </row>
    <row r="69" spans="1:45" ht="15.75" thickBot="1" x14ac:dyDescent="0.3">
      <c r="A69" s="2">
        <f>IF('1 day'!A70&lt;&gt;"",'1 day'!A70,"")</f>
        <v>66</v>
      </c>
      <c r="B69" s="2" t="str">
        <f>IF(A69&lt;&gt;"",INDEX(Map!$W$2:$W$67, MATCH('Raw data'!A69, Map!$V$2:$V$67,0)),"")</f>
        <v>T1</v>
      </c>
      <c r="C69" s="2" t="str">
        <f>IF(A69&lt;&gt;"",INDEX(Map!$X$2:$X$67, MATCH('Raw data'!A69, Map!$V$2:$V$67,0)),"")</f>
        <v>R11</v>
      </c>
      <c r="D69" s="8">
        <f>IF(A69&lt;&gt;"",'1 day'!B70,"")</f>
        <v>40</v>
      </c>
      <c r="E69" s="13">
        <f>IF(A69&lt;&gt;"",'1 day'!C70,"")</f>
        <v>1.8129999999999999</v>
      </c>
      <c r="F69" s="14">
        <f>IF(A69&lt;&gt;"",'1 day'!C70/'1 day'!B70,"")</f>
        <v>4.5324999999999997E-2</v>
      </c>
      <c r="G69" s="20">
        <f>IF(A69&lt;&gt;"",'1 day'!E70*'1 day'!D70+'1 day'!F70,"")</f>
        <v>25.015000000000001</v>
      </c>
      <c r="H69" s="21">
        <f>IF(A69&lt;&gt;"",'1 day'!H70*'1 day'!G70+'1 day'!I70,"")</f>
        <v>94.4</v>
      </c>
      <c r="I69" s="22">
        <f>IF(A69&lt;&gt;"",'1 day'!K70*'1 day'!J70+'1 day'!L70,"")</f>
        <v>61.9</v>
      </c>
      <c r="K69" s="166" t="s">
        <v>87</v>
      </c>
      <c r="L69" s="167">
        <f>'14 days'!A70</f>
        <v>66</v>
      </c>
      <c r="M69" s="168">
        <f t="shared" ref="M69:M132" si="30">Y69</f>
        <v>39</v>
      </c>
      <c r="N69" s="168" t="str">
        <f>INDEX(Map!$W$2:$W$67, MATCH('Raw data'!L69, Map!$V$2:$V$67,0))</f>
        <v>T1</v>
      </c>
      <c r="O69" s="169" t="str">
        <f>INDEX(Map!$X$2:$X$67, MATCH('Raw data'!L69, Map!$V$2:$V$67,0))</f>
        <v>R11</v>
      </c>
      <c r="P69" s="159">
        <f>'14 days'!C70-'14 days'!$C$3</f>
        <v>14.790000000000001</v>
      </c>
      <c r="Q69" s="157">
        <f t="shared" si="26"/>
        <v>0.37923076923076926</v>
      </c>
      <c r="R69" s="156">
        <f t="shared" si="27"/>
        <v>13.022325</v>
      </c>
      <c r="S69" s="329">
        <f t="shared" si="20"/>
        <v>0.33390576923076926</v>
      </c>
      <c r="T69" s="337">
        <f>IF((IF(('14 days'!D70-'14 days'!$D$3)&lt;0, 0, ('14 days'!D70-'14 days'!$D$3)))+(IF(('14 days'!E70-'14 days'!$E$3)&lt;0, 0, ('14 days'!E70-'14 days'!$E$3)))+('14 days'!G70*'14 days'!F70)+('14 days'!H70)&lt;0, 0, (IF(('14 days'!D70-'14 days'!$D$3)&lt;0, 0, ('14 days'!D70-'14 days'!$D$3)))+(IF(('14 days'!E70-'14 days'!$E$3)&lt;0, 0, ('14 days'!E70-'14 days'!$E$3)))+('14 days'!G70*'14 days'!F70)+('14 days'!H70))</f>
        <v>8.4649999999999999</v>
      </c>
      <c r="U69" s="159">
        <f t="shared" si="28"/>
        <v>16.55</v>
      </c>
      <c r="V69" s="157">
        <f t="shared" si="29"/>
        <v>0.42435897435897435</v>
      </c>
      <c r="W69" s="156">
        <f t="shared" si="22"/>
        <v>1.1003989361702127</v>
      </c>
      <c r="X69" s="197">
        <f t="shared" si="23"/>
        <v>40</v>
      </c>
      <c r="Y69" s="214">
        <f t="shared" ref="Y69:Y132" si="31">X69-AF69</f>
        <v>39</v>
      </c>
      <c r="Z69" s="168">
        <f>'14 days'!I70</f>
        <v>0</v>
      </c>
      <c r="AA69" s="157">
        <f>'14 days'!J70</f>
        <v>0</v>
      </c>
      <c r="AB69" s="168">
        <f>'14 days'!K70</f>
        <v>1</v>
      </c>
      <c r="AC69" s="157">
        <f>'14 days'!L70</f>
        <v>0.25</v>
      </c>
      <c r="AD69" s="214">
        <f>'14 days'!M70</f>
        <v>0</v>
      </c>
      <c r="AE69" s="157">
        <f>'14 days'!N70</f>
        <v>0</v>
      </c>
      <c r="AF69" s="168">
        <f t="shared" ref="AF69:AG69" si="32">SUM(Z69,AB69,AD69)</f>
        <v>1</v>
      </c>
      <c r="AG69" s="161">
        <f t="shared" si="32"/>
        <v>0.25</v>
      </c>
      <c r="AI69" s="321" t="s">
        <v>116</v>
      </c>
      <c r="AJ69" s="167">
        <f t="shared" ref="AJ69" si="33">L69</f>
        <v>66</v>
      </c>
      <c r="AK69" s="168" t="str">
        <f>INDEX(Map!$W$2:$W$67, MATCH('Raw data'!AJ69, Map!$V$2:$V$67,0))</f>
        <v>T1</v>
      </c>
      <c r="AL69" s="169" t="str">
        <f>INDEX(Map!$X$2:$X$67, MATCH('Raw data'!AJ69, Map!$V$2:$V$67,0))</f>
        <v>R11</v>
      </c>
      <c r="AM69" s="321">
        <f t="shared" si="24"/>
        <v>14.790000000000001</v>
      </c>
      <c r="AN69" s="313">
        <f t="shared" ref="AN69:AP69" si="34">Q69</f>
        <v>0.37923076923076926</v>
      </c>
      <c r="AO69" s="312">
        <f t="shared" si="34"/>
        <v>13.022325</v>
      </c>
      <c r="AP69" s="313">
        <f t="shared" si="34"/>
        <v>0.33390576923076926</v>
      </c>
      <c r="AQ69" s="312">
        <f t="shared" ref="AQ69:AR69" si="35">U69</f>
        <v>16.55</v>
      </c>
      <c r="AR69" s="314">
        <f t="shared" si="35"/>
        <v>0.42435897435897435</v>
      </c>
      <c r="AS69" s="313">
        <f t="shared" si="25"/>
        <v>1.1003989361702127</v>
      </c>
    </row>
    <row r="70" spans="1:45" x14ac:dyDescent="0.25">
      <c r="K70" s="179" t="s">
        <v>88</v>
      </c>
      <c r="L70" s="180">
        <f>'23 days'!$A5</f>
        <v>1</v>
      </c>
      <c r="M70" s="181">
        <f t="shared" si="30"/>
        <v>40</v>
      </c>
      <c r="N70" s="181" t="str">
        <f>INDEX(Map!$W$2:$W$67, MATCH('Raw data'!L70, Map!$V$2:$V$67,0))</f>
        <v>T6</v>
      </c>
      <c r="O70" s="182" t="str">
        <f>INDEX(Map!$X$2:$X$67, MATCH('Raw data'!L70, Map!$V$2:$V$67,0))</f>
        <v>R10</v>
      </c>
      <c r="P70" s="143">
        <f>'23 days'!$C5-'23 days'!$C$3</f>
        <v>37.400000000000006</v>
      </c>
      <c r="Q70" s="145">
        <f t="shared" si="26"/>
        <v>0.93500000000000016</v>
      </c>
      <c r="R70" s="9">
        <f t="shared" si="27"/>
        <v>23.310000000000009</v>
      </c>
      <c r="S70" s="327">
        <f t="shared" ref="S70:S101" si="36">Q70-Q4</f>
        <v>0.58275000000000021</v>
      </c>
      <c r="T70" s="335">
        <f>IF((IF(('23 days'!$D5-'23 days'!$D$3)&lt;0, 0, ('23 days'!$D5-'23 days'!$D$3)))+(IF(('23 days'!$E5-'23 days'!$E$3)&lt;0, 0, ('23 days'!$E5-'23 days'!$E$3)))+('23 days'!$G5*'23 days'!$F5)+('23 days'!$H5)&lt;0, 0, (IF(('23 days'!$D5-'23 days'!$D$3)&lt;0, 0, ('23 days'!$D5-'23 days'!$D$3)))+(IF(('23 days'!$E5-'23 days'!$E$3)&lt;0, 0, ('23 days'!$E5-'23 days'!$E$3)))+('23 days'!$G5*'23 days'!$F5)+('23 days'!$H5))</f>
        <v>63.115000000000002</v>
      </c>
      <c r="U70" s="143">
        <f>H4-T70</f>
        <v>32.884999999999998</v>
      </c>
      <c r="V70" s="145">
        <f t="shared" si="29"/>
        <v>0.82212499999999999</v>
      </c>
      <c r="W70" s="9">
        <f t="shared" ref="W70:W101" si="37">(U70+U4)/(P70+AG4+AG70)</f>
        <v>1.3044117647058822</v>
      </c>
      <c r="X70" s="198">
        <f>X4-AF4</f>
        <v>40</v>
      </c>
      <c r="Y70" s="212">
        <f t="shared" si="31"/>
        <v>40</v>
      </c>
      <c r="Z70" s="181">
        <f>'23 days'!I5</f>
        <v>0</v>
      </c>
      <c r="AA70" s="145">
        <f>'23 days'!J5</f>
        <v>0</v>
      </c>
      <c r="AB70" s="181">
        <f>'23 days'!K5</f>
        <v>0</v>
      </c>
      <c r="AC70" s="145">
        <f>'23 days'!L5</f>
        <v>0</v>
      </c>
      <c r="AD70" s="212">
        <f>'23 days'!M5</f>
        <v>0</v>
      </c>
      <c r="AE70" s="145">
        <f>'23 days'!N5</f>
        <v>0</v>
      </c>
      <c r="AF70" s="181">
        <f t="shared" ref="AF70:AF132" si="38">SUM(Z70,AB70,AD70)</f>
        <v>0</v>
      </c>
      <c r="AG70" s="10">
        <f t="shared" ref="AG70:AG132" si="39">SUM(AA70,AC70,AE70)</f>
        <v>0</v>
      </c>
      <c r="AI70" s="323"/>
      <c r="AJ70" s="180"/>
      <c r="AK70" s="181"/>
      <c r="AL70" s="182"/>
      <c r="AM70" s="323"/>
      <c r="AN70" s="310"/>
      <c r="AO70" s="315"/>
      <c r="AP70" s="310"/>
      <c r="AQ70" s="315"/>
      <c r="AR70" s="311"/>
      <c r="AS70" s="324"/>
    </row>
    <row r="71" spans="1:45" x14ac:dyDescent="0.25">
      <c r="K71" s="164" t="s">
        <v>88</v>
      </c>
      <c r="L71" s="162">
        <f>'23 days'!$A6</f>
        <v>2</v>
      </c>
      <c r="M71" s="163">
        <f t="shared" si="30"/>
        <v>40</v>
      </c>
      <c r="N71" s="163" t="str">
        <f>INDEX(Map!$W$2:$W$67, MATCH('Raw data'!L71, Map!$V$2:$V$67,0))</f>
        <v>T2</v>
      </c>
      <c r="O71" s="165" t="str">
        <f>INDEX(Map!$X$2:$X$67, MATCH('Raw data'!L71, Map!$V$2:$V$67,0))</f>
        <v>R10</v>
      </c>
      <c r="P71" s="158">
        <f>'23 days'!$C6-'23 days'!$C$3</f>
        <v>38.700000000000003</v>
      </c>
      <c r="Q71" s="154">
        <f t="shared" si="26"/>
        <v>0.96750000000000003</v>
      </c>
      <c r="R71" s="155">
        <f t="shared" si="27"/>
        <v>24.21</v>
      </c>
      <c r="S71" s="328">
        <f t="shared" si="36"/>
        <v>0.60525000000000007</v>
      </c>
      <c r="T71" s="336">
        <f>IF((IF(('23 days'!$D6-'23 days'!$D$3)&lt;0, 0, ('23 days'!$D6-'23 days'!$D$3)))+(IF(('23 days'!$E6-'23 days'!$E$3)&lt;0, 0, ('23 days'!$E6-'23 days'!$E$3)))+('23 days'!$G6*'23 days'!$F6)+('23 days'!$H6)&lt;0, 0, (IF(('23 days'!$D6-'23 days'!$D$3)&lt;0, 0, ('23 days'!$D6-'23 days'!$D$3)))+(IF(('23 days'!$E6-'23 days'!$E$3)&lt;0, 0, ('23 days'!$E6-'23 days'!$E$3)))+('23 days'!$G6*'23 days'!$F6)+('23 days'!$H6))</f>
        <v>63.215000000000003</v>
      </c>
      <c r="U71" s="158">
        <f t="shared" ref="U71:U134" si="40">H5-T71</f>
        <v>32.784999999999997</v>
      </c>
      <c r="V71" s="154">
        <f t="shared" si="29"/>
        <v>0.81962499999999994</v>
      </c>
      <c r="W71" s="155">
        <f t="shared" si="37"/>
        <v>1.2941860465116277</v>
      </c>
      <c r="X71" s="196">
        <f t="shared" ref="X71:X134" si="41">X5-AF5</f>
        <v>40</v>
      </c>
      <c r="Y71" s="213">
        <f t="shared" si="31"/>
        <v>40</v>
      </c>
      <c r="Z71" s="163">
        <f>'23 days'!I6</f>
        <v>0</v>
      </c>
      <c r="AA71" s="154">
        <f>'23 days'!J6</f>
        <v>0</v>
      </c>
      <c r="AB71" s="163">
        <f>'23 days'!K6</f>
        <v>0</v>
      </c>
      <c r="AC71" s="154">
        <f>'23 days'!L6</f>
        <v>0</v>
      </c>
      <c r="AD71" s="213">
        <f>'23 days'!M6</f>
        <v>0</v>
      </c>
      <c r="AE71" s="154">
        <f>'23 days'!N6</f>
        <v>0</v>
      </c>
      <c r="AF71" s="163">
        <f t="shared" si="38"/>
        <v>0</v>
      </c>
      <c r="AG71" s="160">
        <f t="shared" si="39"/>
        <v>0</v>
      </c>
      <c r="AI71" s="319"/>
      <c r="AJ71" s="162"/>
      <c r="AK71" s="163"/>
      <c r="AL71" s="165"/>
      <c r="AM71" s="319"/>
      <c r="AN71" s="150"/>
      <c r="AO71" s="151"/>
      <c r="AP71" s="150"/>
      <c r="AQ71" s="151"/>
      <c r="AR71" s="149"/>
      <c r="AS71" s="320"/>
    </row>
    <row r="72" spans="1:45" x14ac:dyDescent="0.25">
      <c r="K72" s="164" t="s">
        <v>88</v>
      </c>
      <c r="L72" s="162">
        <f>'23 days'!$A7</f>
        <v>3</v>
      </c>
      <c r="M72" s="163">
        <f t="shared" si="30"/>
        <v>36</v>
      </c>
      <c r="N72" s="163" t="str">
        <f>INDEX(Map!$W$2:$W$67, MATCH('Raw data'!L72, Map!$V$2:$V$67,0))</f>
        <v>T5</v>
      </c>
      <c r="O72" s="165" t="str">
        <f>INDEX(Map!$X$2:$X$67, MATCH('Raw data'!L72, Map!$V$2:$V$67,0))</f>
        <v>R1</v>
      </c>
      <c r="P72" s="158">
        <f>'23 days'!$C7-'23 days'!$C$3</f>
        <v>34.049999999999997</v>
      </c>
      <c r="Q72" s="154">
        <f t="shared" si="26"/>
        <v>0.9458333333333333</v>
      </c>
      <c r="R72" s="155">
        <f t="shared" si="27"/>
        <v>21.702972972972972</v>
      </c>
      <c r="S72" s="328">
        <f t="shared" si="36"/>
        <v>0.60286036036036039</v>
      </c>
      <c r="T72" s="336">
        <f>IF((IF(('23 days'!$D7-'23 days'!$D$3)&lt;0, 0, ('23 days'!$D7-'23 days'!$D$3)))+(IF(('23 days'!$E7-'23 days'!$E$3)&lt;0, 0, ('23 days'!$E7-'23 days'!$E$3)))+('23 days'!$G7*'23 days'!$F7)+('23 days'!$H7)&lt;0, 0, (IF(('23 days'!$D7-'23 days'!$D$3)&lt;0, 0, ('23 days'!$D7-'23 days'!$D$3)))+(IF(('23 days'!$E7-'23 days'!$E$3)&lt;0, 0, ('23 days'!$E7-'23 days'!$E$3)))+('23 days'!$G7*'23 days'!$F7)+('23 days'!$H7))</f>
        <v>65.064999999999998</v>
      </c>
      <c r="U72" s="158">
        <f t="shared" si="40"/>
        <v>30.935000000000002</v>
      </c>
      <c r="V72" s="154">
        <f t="shared" si="29"/>
        <v>0.85930555555555566</v>
      </c>
      <c r="W72" s="155">
        <f t="shared" si="37"/>
        <v>1.3029909339961028</v>
      </c>
      <c r="X72" s="196">
        <f t="shared" si="41"/>
        <v>37</v>
      </c>
      <c r="Y72" s="213">
        <f t="shared" si="31"/>
        <v>36</v>
      </c>
      <c r="Z72" s="163">
        <f>'23 days'!I7</f>
        <v>1</v>
      </c>
      <c r="AA72" s="154">
        <f>'23 days'!J7</f>
        <v>0.72</v>
      </c>
      <c r="AB72" s="163">
        <f>'23 days'!K7</f>
        <v>0</v>
      </c>
      <c r="AC72" s="154">
        <f>'23 days'!L7</f>
        <v>0</v>
      </c>
      <c r="AD72" s="213">
        <f>'23 days'!M7</f>
        <v>0</v>
      </c>
      <c r="AE72" s="154">
        <f>'23 days'!N7</f>
        <v>0</v>
      </c>
      <c r="AF72" s="163">
        <f t="shared" si="38"/>
        <v>1</v>
      </c>
      <c r="AG72" s="160">
        <f t="shared" si="39"/>
        <v>0.72</v>
      </c>
      <c r="AI72" s="319"/>
      <c r="AJ72" s="162"/>
      <c r="AK72" s="163"/>
      <c r="AL72" s="165"/>
      <c r="AM72" s="319"/>
      <c r="AN72" s="150"/>
      <c r="AO72" s="151"/>
      <c r="AP72" s="150"/>
      <c r="AQ72" s="151"/>
      <c r="AR72" s="149"/>
      <c r="AS72" s="320"/>
    </row>
    <row r="73" spans="1:45" x14ac:dyDescent="0.25">
      <c r="K73" s="164" t="s">
        <v>88</v>
      </c>
      <c r="L73" s="162">
        <f>'23 days'!$A8</f>
        <v>4</v>
      </c>
      <c r="M73" s="163">
        <f t="shared" si="30"/>
        <v>39</v>
      </c>
      <c r="N73" s="163" t="str">
        <f>INDEX(Map!$W$2:$W$67, MATCH('Raw data'!L73, Map!$V$2:$V$67,0))</f>
        <v>T3</v>
      </c>
      <c r="O73" s="165" t="str">
        <f>INDEX(Map!$X$2:$X$67, MATCH('Raw data'!L73, Map!$V$2:$V$67,0))</f>
        <v>R1</v>
      </c>
      <c r="P73" s="158">
        <f>'23 days'!$C8-'23 days'!$C$3</f>
        <v>39</v>
      </c>
      <c r="Q73" s="154">
        <f t="shared" si="26"/>
        <v>1</v>
      </c>
      <c r="R73" s="155">
        <f t="shared" si="27"/>
        <v>25.01</v>
      </c>
      <c r="S73" s="328">
        <f t="shared" si="36"/>
        <v>0.64128205128205129</v>
      </c>
      <c r="T73" s="336">
        <f>IF((IF(('23 days'!$D8-'23 days'!$D$3)&lt;0, 0, ('23 days'!$D8-'23 days'!$D$3)))+(IF(('23 days'!$E8-'23 days'!$E$3)&lt;0, 0, ('23 days'!$E8-'23 days'!$E$3)))+('23 days'!$G8*'23 days'!$F8)+('23 days'!$H8)&lt;0, 0, (IF(('23 days'!$D8-'23 days'!$D$3)&lt;0, 0, ('23 days'!$D8-'23 days'!$D$3)))+(IF(('23 days'!$E8-'23 days'!$E$3)&lt;0, 0, ('23 days'!$E8-'23 days'!$E$3)))+('23 days'!$G8*'23 days'!$F8)+('23 days'!$H8))</f>
        <v>62.215000000000003</v>
      </c>
      <c r="U73" s="158">
        <f t="shared" si="40"/>
        <v>33.784999999999997</v>
      </c>
      <c r="V73" s="154">
        <f t="shared" si="29"/>
        <v>0.86628205128205116</v>
      </c>
      <c r="W73" s="155">
        <f t="shared" si="37"/>
        <v>1.2797709923664125</v>
      </c>
      <c r="X73" s="196">
        <f t="shared" si="41"/>
        <v>39</v>
      </c>
      <c r="Y73" s="213">
        <f t="shared" si="31"/>
        <v>39</v>
      </c>
      <c r="Z73" s="163">
        <f>'23 days'!I8</f>
        <v>0</v>
      </c>
      <c r="AA73" s="154">
        <f>'23 days'!J8</f>
        <v>0</v>
      </c>
      <c r="AB73" s="163">
        <f>'23 days'!K8</f>
        <v>0</v>
      </c>
      <c r="AC73" s="154">
        <f>'23 days'!L8</f>
        <v>0</v>
      </c>
      <c r="AD73" s="213">
        <f>'23 days'!M8</f>
        <v>0</v>
      </c>
      <c r="AE73" s="154">
        <f>'23 days'!N8</f>
        <v>0</v>
      </c>
      <c r="AF73" s="163">
        <f t="shared" si="38"/>
        <v>0</v>
      </c>
      <c r="AG73" s="160">
        <f t="shared" si="39"/>
        <v>0</v>
      </c>
      <c r="AI73" s="319"/>
      <c r="AJ73" s="162"/>
      <c r="AK73" s="163"/>
      <c r="AL73" s="165"/>
      <c r="AM73" s="319"/>
      <c r="AN73" s="150"/>
      <c r="AO73" s="151"/>
      <c r="AP73" s="150"/>
      <c r="AQ73" s="151"/>
      <c r="AR73" s="149"/>
      <c r="AS73" s="320"/>
    </row>
    <row r="74" spans="1:45" x14ac:dyDescent="0.25">
      <c r="K74" s="164" t="s">
        <v>88</v>
      </c>
      <c r="L74" s="162">
        <f>'23 days'!$A9</f>
        <v>5</v>
      </c>
      <c r="M74" s="163">
        <f t="shared" si="30"/>
        <v>40</v>
      </c>
      <c r="N74" s="163" t="str">
        <f>INDEX(Map!$W$2:$W$67, MATCH('Raw data'!L74, Map!$V$2:$V$67,0))</f>
        <v>T6</v>
      </c>
      <c r="O74" s="165" t="str">
        <f>INDEX(Map!$X$2:$X$67, MATCH('Raw data'!L74, Map!$V$2:$V$67,0))</f>
        <v>R1</v>
      </c>
      <c r="P74" s="158">
        <f>'23 days'!$C9-'23 days'!$C$3</f>
        <v>38.650000000000006</v>
      </c>
      <c r="Q74" s="154">
        <f t="shared" si="26"/>
        <v>0.96625000000000016</v>
      </c>
      <c r="R74" s="155">
        <f t="shared" si="27"/>
        <v>24.910000000000004</v>
      </c>
      <c r="S74" s="328">
        <f t="shared" si="36"/>
        <v>0.62275000000000014</v>
      </c>
      <c r="T74" s="336">
        <f>IF((IF(('23 days'!$D9-'23 days'!$D$3)&lt;0, 0, ('23 days'!$D9-'23 days'!$D$3)))+(IF(('23 days'!$E9-'23 days'!$E$3)&lt;0, 0, ('23 days'!$E9-'23 days'!$E$3)))+('23 days'!$G9*'23 days'!$F9)+('23 days'!$H9)&lt;0, 0, (IF(('23 days'!$D9-'23 days'!$D$3)&lt;0, 0, ('23 days'!$D9-'23 days'!$D$3)))+(IF(('23 days'!$E9-'23 days'!$E$3)&lt;0, 0, ('23 days'!$E9-'23 days'!$E$3)))+('23 days'!$G9*'23 days'!$F9)+('23 days'!$H9))</f>
        <v>62.215000000000003</v>
      </c>
      <c r="U74" s="158">
        <f t="shared" si="40"/>
        <v>33.784999999999997</v>
      </c>
      <c r="V74" s="154">
        <f t="shared" si="29"/>
        <v>0.84462499999999996</v>
      </c>
      <c r="W74" s="155">
        <f t="shared" si="37"/>
        <v>1.2842173350582144</v>
      </c>
      <c r="X74" s="196">
        <f t="shared" si="41"/>
        <v>40</v>
      </c>
      <c r="Y74" s="213">
        <f t="shared" si="31"/>
        <v>40</v>
      </c>
      <c r="Z74" s="163">
        <f>'23 days'!I9</f>
        <v>0</v>
      </c>
      <c r="AA74" s="154">
        <f>'23 days'!J9</f>
        <v>0</v>
      </c>
      <c r="AB74" s="163">
        <f>'23 days'!K9</f>
        <v>0</v>
      </c>
      <c r="AC74" s="154">
        <f>'23 days'!L9</f>
        <v>0</v>
      </c>
      <c r="AD74" s="213">
        <f>'23 days'!M9</f>
        <v>0</v>
      </c>
      <c r="AE74" s="154">
        <f>'23 days'!N9</f>
        <v>0</v>
      </c>
      <c r="AF74" s="163">
        <f t="shared" si="38"/>
        <v>0</v>
      </c>
      <c r="AG74" s="160">
        <f t="shared" si="39"/>
        <v>0</v>
      </c>
      <c r="AI74" s="319"/>
      <c r="AJ74" s="162"/>
      <c r="AK74" s="163"/>
      <c r="AL74" s="165"/>
      <c r="AM74" s="319"/>
      <c r="AN74" s="150"/>
      <c r="AO74" s="151"/>
      <c r="AP74" s="150"/>
      <c r="AQ74" s="151"/>
      <c r="AR74" s="149"/>
      <c r="AS74" s="320"/>
    </row>
    <row r="75" spans="1:45" x14ac:dyDescent="0.25">
      <c r="K75" s="164" t="s">
        <v>88</v>
      </c>
      <c r="L75" s="162">
        <f>'23 days'!$A10</f>
        <v>6</v>
      </c>
      <c r="M75" s="163">
        <f t="shared" si="30"/>
        <v>38</v>
      </c>
      <c r="N75" s="163" t="str">
        <f>INDEX(Map!$W$2:$W$67, MATCH('Raw data'!L75, Map!$V$2:$V$67,0))</f>
        <v>T4</v>
      </c>
      <c r="O75" s="165" t="str">
        <f>INDEX(Map!$X$2:$X$67, MATCH('Raw data'!L75, Map!$V$2:$V$67,0))</f>
        <v>R1</v>
      </c>
      <c r="P75" s="158">
        <f>'23 days'!$C10-'23 days'!$C$3</f>
        <v>35.599999999999994</v>
      </c>
      <c r="Q75" s="154">
        <f t="shared" si="26"/>
        <v>0.9368421052631577</v>
      </c>
      <c r="R75" s="155">
        <f t="shared" si="27"/>
        <v>23.109999999999992</v>
      </c>
      <c r="S75" s="328">
        <f t="shared" si="36"/>
        <v>0.6081578947368419</v>
      </c>
      <c r="T75" s="336">
        <f>IF((IF(('23 days'!$D10-'23 days'!$D$3)&lt;0, 0, ('23 days'!$D10-'23 days'!$D$3)))+(IF(('23 days'!$E10-'23 days'!$E$3)&lt;0, 0, ('23 days'!$E10-'23 days'!$E$3)))+('23 days'!$G10*'23 days'!$F10)+('23 days'!$H10)&lt;0, 0, (IF(('23 days'!$D10-'23 days'!$D$3)&lt;0, 0, ('23 days'!$D10-'23 days'!$D$3)))+(IF(('23 days'!$E10-'23 days'!$E$3)&lt;0, 0, ('23 days'!$E10-'23 days'!$E$3)))+('23 days'!$G10*'23 days'!$F10)+('23 days'!$H10))</f>
        <v>64.015000000000001</v>
      </c>
      <c r="U75" s="158">
        <f t="shared" si="40"/>
        <v>31.984999999999999</v>
      </c>
      <c r="V75" s="154">
        <f t="shared" si="29"/>
        <v>0.84171052631578946</v>
      </c>
      <c r="W75" s="155">
        <f t="shared" si="37"/>
        <v>1.3029129998886044</v>
      </c>
      <c r="X75" s="196">
        <f t="shared" si="41"/>
        <v>38</v>
      </c>
      <c r="Y75" s="213">
        <f t="shared" si="31"/>
        <v>38</v>
      </c>
      <c r="Z75" s="163">
        <f>'23 days'!I10</f>
        <v>0</v>
      </c>
      <c r="AA75" s="154">
        <f>'23 days'!J10</f>
        <v>0</v>
      </c>
      <c r="AB75" s="163">
        <f>'23 days'!K10</f>
        <v>0</v>
      </c>
      <c r="AC75" s="154">
        <f>'23 days'!L10</f>
        <v>0</v>
      </c>
      <c r="AD75" s="213">
        <f>'23 days'!M10</f>
        <v>0</v>
      </c>
      <c r="AE75" s="154">
        <f>'23 days'!N10</f>
        <v>0</v>
      </c>
      <c r="AF75" s="163">
        <f t="shared" si="38"/>
        <v>0</v>
      </c>
      <c r="AG75" s="160">
        <f t="shared" si="39"/>
        <v>0</v>
      </c>
      <c r="AI75" s="319"/>
      <c r="AJ75" s="162"/>
      <c r="AK75" s="163"/>
      <c r="AL75" s="165"/>
      <c r="AM75" s="319"/>
      <c r="AN75" s="150"/>
      <c r="AO75" s="151"/>
      <c r="AP75" s="150"/>
      <c r="AQ75" s="151"/>
      <c r="AR75" s="149"/>
      <c r="AS75" s="320"/>
    </row>
    <row r="76" spans="1:45" x14ac:dyDescent="0.25">
      <c r="K76" s="164" t="s">
        <v>88</v>
      </c>
      <c r="L76" s="162">
        <f>'23 days'!$A11</f>
        <v>7</v>
      </c>
      <c r="M76" s="163">
        <f t="shared" si="30"/>
        <v>39</v>
      </c>
      <c r="N76" s="163" t="str">
        <f>INDEX(Map!$W$2:$W$67, MATCH('Raw data'!L76, Map!$V$2:$V$67,0))</f>
        <v>T2</v>
      </c>
      <c r="O76" s="165" t="str">
        <f>INDEX(Map!$X$2:$X$67, MATCH('Raw data'!L76, Map!$V$2:$V$67,0))</f>
        <v>R1</v>
      </c>
      <c r="P76" s="158">
        <f>'23 days'!$C11-'23 days'!$C$3</f>
        <v>38.75</v>
      </c>
      <c r="Q76" s="154">
        <f t="shared" si="26"/>
        <v>0.99358974358974361</v>
      </c>
      <c r="R76" s="155">
        <f t="shared" si="27"/>
        <v>24.709999999999997</v>
      </c>
      <c r="S76" s="328">
        <f t="shared" si="36"/>
        <v>0.63358974358974351</v>
      </c>
      <c r="T76" s="336">
        <f>IF((IF(('23 days'!$D11-'23 days'!$D$3)&lt;0, 0, ('23 days'!$D11-'23 days'!$D$3)))+(IF(('23 days'!$E11-'23 days'!$E$3)&lt;0, 0, ('23 days'!$E11-'23 days'!$E$3)))+('23 days'!$G11*'23 days'!$F11)+('23 days'!$H11)&lt;0, 0, (IF(('23 days'!$D11-'23 days'!$D$3)&lt;0, 0, ('23 days'!$D11-'23 days'!$D$3)))+(IF(('23 days'!$E11-'23 days'!$E$3)&lt;0, 0, ('23 days'!$E11-'23 days'!$E$3)))+('23 days'!$G11*'23 days'!$F11)+('23 days'!$H11))</f>
        <v>62.914999999999999</v>
      </c>
      <c r="U76" s="158">
        <f t="shared" si="40"/>
        <v>33.085000000000001</v>
      </c>
      <c r="V76" s="154">
        <f t="shared" si="29"/>
        <v>0.84833333333333338</v>
      </c>
      <c r="W76" s="155">
        <f t="shared" si="37"/>
        <v>1.264653595444825</v>
      </c>
      <c r="X76" s="196">
        <f t="shared" si="41"/>
        <v>39</v>
      </c>
      <c r="Y76" s="213">
        <f t="shared" si="31"/>
        <v>39</v>
      </c>
      <c r="Z76" s="163">
        <f>'23 days'!I11</f>
        <v>0</v>
      </c>
      <c r="AA76" s="154">
        <f>'23 days'!J11</f>
        <v>0</v>
      </c>
      <c r="AB76" s="163">
        <f>'23 days'!K11</f>
        <v>0</v>
      </c>
      <c r="AC76" s="154">
        <f>'23 days'!L11</f>
        <v>0</v>
      </c>
      <c r="AD76" s="213">
        <f>'23 days'!M11</f>
        <v>0</v>
      </c>
      <c r="AE76" s="154">
        <f>'23 days'!N11</f>
        <v>0</v>
      </c>
      <c r="AF76" s="163">
        <f t="shared" si="38"/>
        <v>0</v>
      </c>
      <c r="AG76" s="160">
        <f t="shared" si="39"/>
        <v>0</v>
      </c>
      <c r="AI76" s="319"/>
      <c r="AJ76" s="162"/>
      <c r="AK76" s="163"/>
      <c r="AL76" s="165"/>
      <c r="AM76" s="319"/>
      <c r="AN76" s="150"/>
      <c r="AO76" s="151"/>
      <c r="AP76" s="150"/>
      <c r="AQ76" s="151"/>
      <c r="AR76" s="149"/>
      <c r="AS76" s="320"/>
    </row>
    <row r="77" spans="1:45" x14ac:dyDescent="0.25">
      <c r="K77" s="164" t="s">
        <v>88</v>
      </c>
      <c r="L77" s="162">
        <f>'23 days'!$A12</f>
        <v>8</v>
      </c>
      <c r="M77" s="163">
        <f t="shared" si="30"/>
        <v>39</v>
      </c>
      <c r="N77" s="163" t="str">
        <f>INDEX(Map!$W$2:$W$67, MATCH('Raw data'!L77, Map!$V$2:$V$67,0))</f>
        <v>T1</v>
      </c>
      <c r="O77" s="165" t="str">
        <f>INDEX(Map!$X$2:$X$67, MATCH('Raw data'!L77, Map!$V$2:$V$67,0))</f>
        <v>R1</v>
      </c>
      <c r="P77" s="158">
        <f>'23 days'!$C12-'23 days'!$C$3</f>
        <v>37.799999999999997</v>
      </c>
      <c r="Q77" s="154">
        <f t="shared" si="26"/>
        <v>0.96923076923076912</v>
      </c>
      <c r="R77" s="155">
        <f t="shared" si="27"/>
        <v>24.16</v>
      </c>
      <c r="S77" s="328">
        <f t="shared" si="36"/>
        <v>0.61948717948717946</v>
      </c>
      <c r="T77" s="336">
        <f>IF((IF(('23 days'!$D12-'23 days'!$D$3)&lt;0, 0, ('23 days'!$D12-'23 days'!$D$3)))+(IF(('23 days'!$E12-'23 days'!$E$3)&lt;0, 0, ('23 days'!$E12-'23 days'!$E$3)))+('23 days'!$G12*'23 days'!$F12)+('23 days'!$H12)&lt;0, 0, (IF(('23 days'!$D12-'23 days'!$D$3)&lt;0, 0, ('23 days'!$D12-'23 days'!$D$3)))+(IF(('23 days'!$E12-'23 days'!$E$3)&lt;0, 0, ('23 days'!$E12-'23 days'!$E$3)))+('23 days'!$G12*'23 days'!$F12)+('23 days'!$H12))</f>
        <v>63.265000000000001</v>
      </c>
      <c r="U77" s="158">
        <f t="shared" si="40"/>
        <v>32.734999999999999</v>
      </c>
      <c r="V77" s="154">
        <f t="shared" si="29"/>
        <v>0.83935897435897433</v>
      </c>
      <c r="W77" s="155">
        <f t="shared" si="37"/>
        <v>1.2743290579156681</v>
      </c>
      <c r="X77" s="196">
        <f t="shared" si="41"/>
        <v>39</v>
      </c>
      <c r="Y77" s="213">
        <f t="shared" si="31"/>
        <v>39</v>
      </c>
      <c r="Z77" s="163">
        <f>'23 days'!I12</f>
        <v>0</v>
      </c>
      <c r="AA77" s="154">
        <f>'23 days'!J12</f>
        <v>0</v>
      </c>
      <c r="AB77" s="163">
        <f>'23 days'!K12</f>
        <v>0</v>
      </c>
      <c r="AC77" s="154">
        <f>'23 days'!L12</f>
        <v>0</v>
      </c>
      <c r="AD77" s="213">
        <f>'23 days'!M12</f>
        <v>0</v>
      </c>
      <c r="AE77" s="154">
        <f>'23 days'!N12</f>
        <v>0</v>
      </c>
      <c r="AF77" s="163">
        <f t="shared" si="38"/>
        <v>0</v>
      </c>
      <c r="AG77" s="160">
        <f t="shared" si="39"/>
        <v>0</v>
      </c>
      <c r="AI77" s="319"/>
      <c r="AJ77" s="162"/>
      <c r="AK77" s="163"/>
      <c r="AL77" s="165"/>
      <c r="AM77" s="319"/>
      <c r="AN77" s="150"/>
      <c r="AO77" s="151"/>
      <c r="AP77" s="150"/>
      <c r="AQ77" s="151"/>
      <c r="AR77" s="149"/>
      <c r="AS77" s="320"/>
    </row>
    <row r="78" spans="1:45" x14ac:dyDescent="0.25">
      <c r="K78" s="164" t="s">
        <v>88</v>
      </c>
      <c r="L78" s="162">
        <f>'23 days'!$A13</f>
        <v>9</v>
      </c>
      <c r="M78" s="163">
        <f t="shared" si="30"/>
        <v>40</v>
      </c>
      <c r="N78" s="163" t="str">
        <f>INDEX(Map!$W$2:$W$67, MATCH('Raw data'!L78, Map!$V$2:$V$67,0))</f>
        <v>T4</v>
      </c>
      <c r="O78" s="165" t="str">
        <f>INDEX(Map!$X$2:$X$67, MATCH('Raw data'!L78, Map!$V$2:$V$67,0))</f>
        <v>R2</v>
      </c>
      <c r="P78" s="158">
        <f>'23 days'!$C13-'23 days'!$C$3</f>
        <v>36.299999999999997</v>
      </c>
      <c r="Q78" s="154">
        <f t="shared" si="26"/>
        <v>0.90749999999999997</v>
      </c>
      <c r="R78" s="155">
        <f t="shared" si="27"/>
        <v>23.31</v>
      </c>
      <c r="S78" s="328">
        <f t="shared" si="36"/>
        <v>0.58274999999999999</v>
      </c>
      <c r="T78" s="336">
        <f>IF((IF(('23 days'!$D13-'23 days'!$D$3)&lt;0, 0, ('23 days'!$D13-'23 days'!$D$3)))+(IF(('23 days'!$E13-'23 days'!$E$3)&lt;0, 0, ('23 days'!$E13-'23 days'!$E$3)))+('23 days'!$G13*'23 days'!$F13)+('23 days'!$H13)&lt;0, 0, (IF(('23 days'!$D13-'23 days'!$D$3)&lt;0, 0, ('23 days'!$D13-'23 days'!$D$3)))+(IF(('23 days'!$E13-'23 days'!$E$3)&lt;0, 0, ('23 days'!$E13-'23 days'!$E$3)))+('23 days'!$G13*'23 days'!$F13)+('23 days'!$H13))</f>
        <v>64.164999999999992</v>
      </c>
      <c r="U78" s="158">
        <f t="shared" si="40"/>
        <v>31.835000000000008</v>
      </c>
      <c r="V78" s="154">
        <f t="shared" si="29"/>
        <v>0.79587500000000022</v>
      </c>
      <c r="W78" s="155">
        <f t="shared" si="37"/>
        <v>1.2860881542699729</v>
      </c>
      <c r="X78" s="196">
        <f t="shared" si="41"/>
        <v>40</v>
      </c>
      <c r="Y78" s="213">
        <f t="shared" si="31"/>
        <v>40</v>
      </c>
      <c r="Z78" s="163">
        <f>'23 days'!I13</f>
        <v>0</v>
      </c>
      <c r="AA78" s="154">
        <f>'23 days'!J13</f>
        <v>0</v>
      </c>
      <c r="AB78" s="163">
        <f>'23 days'!K13</f>
        <v>0</v>
      </c>
      <c r="AC78" s="154">
        <f>'23 days'!L13</f>
        <v>0</v>
      </c>
      <c r="AD78" s="213">
        <f>'23 days'!M13</f>
        <v>0</v>
      </c>
      <c r="AE78" s="154">
        <f>'23 days'!N13</f>
        <v>0</v>
      </c>
      <c r="AF78" s="163">
        <f t="shared" si="38"/>
        <v>0</v>
      </c>
      <c r="AG78" s="160">
        <f t="shared" si="39"/>
        <v>0</v>
      </c>
      <c r="AI78" s="319"/>
      <c r="AJ78" s="162"/>
      <c r="AK78" s="163"/>
      <c r="AL78" s="165"/>
      <c r="AM78" s="319"/>
      <c r="AN78" s="150"/>
      <c r="AO78" s="151"/>
      <c r="AP78" s="150"/>
      <c r="AQ78" s="151"/>
      <c r="AR78" s="149"/>
      <c r="AS78" s="320"/>
    </row>
    <row r="79" spans="1:45" x14ac:dyDescent="0.25">
      <c r="K79" s="164" t="s">
        <v>88</v>
      </c>
      <c r="L79" s="162">
        <f>'23 days'!$A14</f>
        <v>10</v>
      </c>
      <c r="M79" s="163">
        <f t="shared" si="30"/>
        <v>38</v>
      </c>
      <c r="N79" s="163" t="str">
        <f>INDEX(Map!$W$2:$W$67, MATCH('Raw data'!L79, Map!$V$2:$V$67,0))</f>
        <v>T6</v>
      </c>
      <c r="O79" s="165" t="str">
        <f>INDEX(Map!$X$2:$X$67, MATCH('Raw data'!L79, Map!$V$2:$V$67,0))</f>
        <v>R2</v>
      </c>
      <c r="P79" s="158">
        <f>'23 days'!$C14-'23 days'!$C$3</f>
        <v>40.349999999999994</v>
      </c>
      <c r="Q79" s="154">
        <f t="shared" si="26"/>
        <v>1.0618421052631577</v>
      </c>
      <c r="R79" s="155">
        <f t="shared" si="27"/>
        <v>25.659999999999993</v>
      </c>
      <c r="S79" s="328">
        <f t="shared" si="36"/>
        <v>0.67526315789473668</v>
      </c>
      <c r="T79" s="336">
        <f>IF((IF(('23 days'!$D14-'23 days'!$D$3)&lt;0, 0, ('23 days'!$D14-'23 days'!$D$3)))+(IF(('23 days'!$E14-'23 days'!$E$3)&lt;0, 0, ('23 days'!$E14-'23 days'!$E$3)))+('23 days'!$G14*'23 days'!$F14)+('23 days'!$H14)&lt;0, 0, (IF(('23 days'!$D14-'23 days'!$D$3)&lt;0, 0, ('23 days'!$D14-'23 days'!$D$3)))+(IF(('23 days'!$E14-'23 days'!$E$3)&lt;0, 0, ('23 days'!$E14-'23 days'!$E$3)))+('23 days'!$G14*'23 days'!$F14)+('23 days'!$H14))</f>
        <v>60.765000000000001</v>
      </c>
      <c r="U79" s="158">
        <f t="shared" si="40"/>
        <v>35.234999999999999</v>
      </c>
      <c r="V79" s="154">
        <f t="shared" si="29"/>
        <v>0.92723684210526314</v>
      </c>
      <c r="W79" s="155">
        <f t="shared" si="37"/>
        <v>1.2806697408329841</v>
      </c>
      <c r="X79" s="196">
        <f t="shared" si="41"/>
        <v>38</v>
      </c>
      <c r="Y79" s="213">
        <f t="shared" si="31"/>
        <v>38</v>
      </c>
      <c r="Z79" s="163">
        <f>'23 days'!I14</f>
        <v>0</v>
      </c>
      <c r="AA79" s="154">
        <f>'23 days'!J14</f>
        <v>0</v>
      </c>
      <c r="AB79" s="163">
        <f>'23 days'!K14</f>
        <v>0</v>
      </c>
      <c r="AC79" s="154">
        <f>'23 days'!L14</f>
        <v>0</v>
      </c>
      <c r="AD79" s="213">
        <f>'23 days'!M14</f>
        <v>0</v>
      </c>
      <c r="AE79" s="154">
        <f>'23 days'!N14</f>
        <v>0</v>
      </c>
      <c r="AF79" s="163">
        <f t="shared" si="38"/>
        <v>0</v>
      </c>
      <c r="AG79" s="160">
        <f t="shared" si="39"/>
        <v>0</v>
      </c>
      <c r="AI79" s="319"/>
      <c r="AJ79" s="162"/>
      <c r="AK79" s="163"/>
      <c r="AL79" s="165"/>
      <c r="AM79" s="319"/>
      <c r="AN79" s="150"/>
      <c r="AO79" s="151"/>
      <c r="AP79" s="150"/>
      <c r="AQ79" s="151"/>
      <c r="AR79" s="149"/>
      <c r="AS79" s="320"/>
    </row>
    <row r="80" spans="1:45" x14ac:dyDescent="0.25">
      <c r="K80" s="164" t="s">
        <v>88</v>
      </c>
      <c r="L80" s="162">
        <f>'23 days'!$A15</f>
        <v>11</v>
      </c>
      <c r="M80" s="163">
        <f t="shared" si="30"/>
        <v>39</v>
      </c>
      <c r="N80" s="163" t="str">
        <f>INDEX(Map!$W$2:$W$67, MATCH('Raw data'!L80, Map!$V$2:$V$67,0))</f>
        <v>T2</v>
      </c>
      <c r="O80" s="165" t="str">
        <f>INDEX(Map!$X$2:$X$67, MATCH('Raw data'!L80, Map!$V$2:$V$67,0))</f>
        <v>R2</v>
      </c>
      <c r="P80" s="158">
        <f>'23 days'!$C15-'23 days'!$C$3</f>
        <v>33.799999999999997</v>
      </c>
      <c r="Q80" s="154">
        <f t="shared" si="26"/>
        <v>0.86666666666666659</v>
      </c>
      <c r="R80" s="155">
        <f t="shared" si="27"/>
        <v>21.26</v>
      </c>
      <c r="S80" s="328">
        <f t="shared" si="36"/>
        <v>0.54512820512820515</v>
      </c>
      <c r="T80" s="336">
        <f>IF((IF(('23 days'!$D15-'23 days'!$D$3)&lt;0, 0, ('23 days'!$D15-'23 days'!$D$3)))+(IF(('23 days'!$E15-'23 days'!$E$3)&lt;0, 0, ('23 days'!$E15-'23 days'!$E$3)))+('23 days'!$G15*'23 days'!$F15)+('23 days'!$H15)&lt;0, 0, (IF(('23 days'!$D15-'23 days'!$D$3)&lt;0, 0, ('23 days'!$D15-'23 days'!$D$3)))+(IF(('23 days'!$E15-'23 days'!$E$3)&lt;0, 0, ('23 days'!$E15-'23 days'!$E$3)))+('23 days'!$G15*'23 days'!$F15)+('23 days'!$H15))</f>
        <v>67.164999999999992</v>
      </c>
      <c r="U80" s="158">
        <f t="shared" si="40"/>
        <v>28.835000000000008</v>
      </c>
      <c r="V80" s="154">
        <f t="shared" si="29"/>
        <v>0.73935897435897457</v>
      </c>
      <c r="W80" s="155">
        <f t="shared" si="37"/>
        <v>1.2747586858340472</v>
      </c>
      <c r="X80" s="196">
        <f t="shared" si="41"/>
        <v>39</v>
      </c>
      <c r="Y80" s="213">
        <f t="shared" si="31"/>
        <v>39</v>
      </c>
      <c r="Z80" s="163">
        <f>'23 days'!I15</f>
        <v>0</v>
      </c>
      <c r="AA80" s="154">
        <f>'23 days'!J15</f>
        <v>0</v>
      </c>
      <c r="AB80" s="163">
        <f>'23 days'!K15</f>
        <v>0</v>
      </c>
      <c r="AC80" s="154">
        <f>'23 days'!L15</f>
        <v>0</v>
      </c>
      <c r="AD80" s="213">
        <f>'23 days'!M15</f>
        <v>0</v>
      </c>
      <c r="AE80" s="154">
        <f>'23 days'!N15</f>
        <v>0</v>
      </c>
      <c r="AF80" s="163">
        <f t="shared" si="38"/>
        <v>0</v>
      </c>
      <c r="AG80" s="160">
        <f t="shared" si="39"/>
        <v>0</v>
      </c>
      <c r="AI80" s="319"/>
      <c r="AJ80" s="162"/>
      <c r="AK80" s="163"/>
      <c r="AL80" s="165"/>
      <c r="AM80" s="319"/>
      <c r="AN80" s="150"/>
      <c r="AO80" s="151"/>
      <c r="AP80" s="150"/>
      <c r="AQ80" s="151"/>
      <c r="AR80" s="149"/>
      <c r="AS80" s="320"/>
    </row>
    <row r="81" spans="11:45" x14ac:dyDescent="0.25">
      <c r="K81" s="164" t="s">
        <v>88</v>
      </c>
      <c r="L81" s="162">
        <f>'23 days'!$A16</f>
        <v>12</v>
      </c>
      <c r="M81" s="163">
        <f t="shared" si="30"/>
        <v>39</v>
      </c>
      <c r="N81" s="163" t="str">
        <f>INDEX(Map!$W$2:$W$67, MATCH('Raw data'!L81, Map!$V$2:$V$67,0))</f>
        <v>T1</v>
      </c>
      <c r="O81" s="165" t="str">
        <f>INDEX(Map!$X$2:$X$67, MATCH('Raw data'!L81, Map!$V$2:$V$67,0))</f>
        <v>R2</v>
      </c>
      <c r="P81" s="158">
        <f>'23 days'!$C16-'23 days'!$C$3</f>
        <v>37.150000000000006</v>
      </c>
      <c r="Q81" s="154">
        <f t="shared" si="26"/>
        <v>0.95256410256410273</v>
      </c>
      <c r="R81" s="155">
        <f t="shared" si="27"/>
        <v>23.260000000000012</v>
      </c>
      <c r="S81" s="328">
        <f t="shared" si="36"/>
        <v>0.59641025641025669</v>
      </c>
      <c r="T81" s="336">
        <f>IF((IF(('23 days'!$D16-'23 days'!$D$3)&lt;0, 0, ('23 days'!$D16-'23 days'!$D$3)))+(IF(('23 days'!$E16-'23 days'!$E$3)&lt;0, 0, ('23 days'!$E16-'23 days'!$E$3)))+('23 days'!$G16*'23 days'!$F16)+('23 days'!$H16)&lt;0, 0, (IF(('23 days'!$D16-'23 days'!$D$3)&lt;0, 0, ('23 days'!$D16-'23 days'!$D$3)))+(IF(('23 days'!$E16-'23 days'!$E$3)&lt;0, 0, ('23 days'!$E16-'23 days'!$E$3)))+('23 days'!$G16*'23 days'!$F16)+('23 days'!$H16))</f>
        <v>63.564999999999998</v>
      </c>
      <c r="U81" s="158">
        <f t="shared" si="40"/>
        <v>32.435000000000002</v>
      </c>
      <c r="V81" s="154">
        <f t="shared" si="29"/>
        <v>0.83166666666666678</v>
      </c>
      <c r="W81" s="155">
        <f t="shared" si="37"/>
        <v>1.3116715510983248</v>
      </c>
      <c r="X81" s="196">
        <f t="shared" si="41"/>
        <v>39</v>
      </c>
      <c r="Y81" s="213">
        <f t="shared" si="31"/>
        <v>39</v>
      </c>
      <c r="Z81" s="163">
        <f>'23 days'!I16</f>
        <v>0</v>
      </c>
      <c r="AA81" s="154">
        <f>'23 days'!J16</f>
        <v>0</v>
      </c>
      <c r="AB81" s="163">
        <f>'23 days'!K16</f>
        <v>0</v>
      </c>
      <c r="AC81" s="154">
        <f>'23 days'!L16</f>
        <v>0</v>
      </c>
      <c r="AD81" s="213">
        <f>'23 days'!M16</f>
        <v>0</v>
      </c>
      <c r="AE81" s="154">
        <f>'23 days'!N16</f>
        <v>0</v>
      </c>
      <c r="AF81" s="163">
        <f t="shared" si="38"/>
        <v>0</v>
      </c>
      <c r="AG81" s="160">
        <f t="shared" si="39"/>
        <v>0</v>
      </c>
      <c r="AI81" s="319"/>
      <c r="AJ81" s="162"/>
      <c r="AK81" s="163"/>
      <c r="AL81" s="165"/>
      <c r="AM81" s="319"/>
      <c r="AN81" s="150"/>
      <c r="AO81" s="151"/>
      <c r="AP81" s="150"/>
      <c r="AQ81" s="151"/>
      <c r="AR81" s="149"/>
      <c r="AS81" s="320"/>
    </row>
    <row r="82" spans="11:45" x14ac:dyDescent="0.25">
      <c r="K82" s="164" t="s">
        <v>88</v>
      </c>
      <c r="L82" s="162">
        <f>'23 days'!$A17</f>
        <v>13</v>
      </c>
      <c r="M82" s="163">
        <f t="shared" si="30"/>
        <v>38</v>
      </c>
      <c r="N82" s="163" t="str">
        <f>INDEX(Map!$W$2:$W$67, MATCH('Raw data'!L82, Map!$V$2:$V$67,0))</f>
        <v>T3</v>
      </c>
      <c r="O82" s="165" t="str">
        <f>INDEX(Map!$X$2:$X$67, MATCH('Raw data'!L82, Map!$V$2:$V$67,0))</f>
        <v>R2</v>
      </c>
      <c r="P82" s="158">
        <f>'23 days'!$C17-'23 days'!$C$3</f>
        <v>36.25</v>
      </c>
      <c r="Q82" s="154">
        <f t="shared" si="26"/>
        <v>0.95394736842105265</v>
      </c>
      <c r="R82" s="155">
        <f t="shared" si="27"/>
        <v>22.862307692307692</v>
      </c>
      <c r="S82" s="328">
        <f t="shared" si="36"/>
        <v>0.60163967611336033</v>
      </c>
      <c r="T82" s="336">
        <f>IF((IF(('23 days'!$D17-'23 days'!$D$3)&lt;0, 0, ('23 days'!$D17-'23 days'!$D$3)))+(IF(('23 days'!$E17-'23 days'!$E$3)&lt;0, 0, ('23 days'!$E17-'23 days'!$E$3)))+('23 days'!$G17*'23 days'!$F17)+('23 days'!$H17)&lt;0, 0, (IF(('23 days'!$D17-'23 days'!$D$3)&lt;0, 0, ('23 days'!$D17-'23 days'!$D$3)))+(IF(('23 days'!$E17-'23 days'!$E$3)&lt;0, 0, ('23 days'!$E17-'23 days'!$E$3)))+('23 days'!$G17*'23 days'!$F17)+('23 days'!$H17))</f>
        <v>64.115000000000009</v>
      </c>
      <c r="U82" s="158">
        <f t="shared" si="40"/>
        <v>31.884999999999991</v>
      </c>
      <c r="V82" s="154">
        <f t="shared" si="29"/>
        <v>0.83907894736842081</v>
      </c>
      <c r="W82" s="155">
        <f t="shared" si="37"/>
        <v>1.2960401410360725</v>
      </c>
      <c r="X82" s="196">
        <f t="shared" si="41"/>
        <v>39</v>
      </c>
      <c r="Y82" s="213">
        <f t="shared" si="31"/>
        <v>38</v>
      </c>
      <c r="Z82" s="163">
        <f>'23 days'!I17</f>
        <v>1</v>
      </c>
      <c r="AA82" s="154">
        <f>'23 days'!J17</f>
        <v>0.42</v>
      </c>
      <c r="AB82" s="163">
        <f>'23 days'!K17</f>
        <v>0</v>
      </c>
      <c r="AC82" s="154">
        <f>'23 days'!L17</f>
        <v>0</v>
      </c>
      <c r="AD82" s="213">
        <f>'23 days'!M17</f>
        <v>0</v>
      </c>
      <c r="AE82" s="154">
        <f>'23 days'!N17</f>
        <v>0</v>
      </c>
      <c r="AF82" s="163">
        <f t="shared" si="38"/>
        <v>1</v>
      </c>
      <c r="AG82" s="160">
        <f t="shared" si="39"/>
        <v>0.42</v>
      </c>
      <c r="AI82" s="319"/>
      <c r="AJ82" s="162"/>
      <c r="AK82" s="163"/>
      <c r="AL82" s="165"/>
      <c r="AM82" s="319"/>
      <c r="AN82" s="150"/>
      <c r="AO82" s="151"/>
      <c r="AP82" s="150"/>
      <c r="AQ82" s="151"/>
      <c r="AR82" s="149"/>
      <c r="AS82" s="320"/>
    </row>
    <row r="83" spans="11:45" x14ac:dyDescent="0.25">
      <c r="K83" s="164" t="s">
        <v>88</v>
      </c>
      <c r="L83" s="162">
        <f>'23 days'!$A18</f>
        <v>14</v>
      </c>
      <c r="M83" s="163">
        <f t="shared" si="30"/>
        <v>39</v>
      </c>
      <c r="N83" s="163" t="str">
        <f>INDEX(Map!$W$2:$W$67, MATCH('Raw data'!L83, Map!$V$2:$V$67,0))</f>
        <v>T5</v>
      </c>
      <c r="O83" s="165" t="str">
        <f>INDEX(Map!$X$2:$X$67, MATCH('Raw data'!L83, Map!$V$2:$V$67,0))</f>
        <v>R2</v>
      </c>
      <c r="P83" s="158">
        <f>'23 days'!$C18-'23 days'!$C$3</f>
        <v>37.849999999999994</v>
      </c>
      <c r="Q83" s="154">
        <f t="shared" si="26"/>
        <v>0.9705128205128204</v>
      </c>
      <c r="R83" s="155">
        <f t="shared" si="27"/>
        <v>23.76</v>
      </c>
      <c r="S83" s="328">
        <f t="shared" si="36"/>
        <v>0.60923076923076924</v>
      </c>
      <c r="T83" s="336">
        <f>IF((IF(('23 days'!$D18-'23 days'!$D$3)&lt;0, 0, ('23 days'!$D18-'23 days'!$D$3)))+(IF(('23 days'!$E18-'23 days'!$E$3)&lt;0, 0, ('23 days'!$E18-'23 days'!$E$3)))+('23 days'!$G18*'23 days'!$F18)+('23 days'!$H18)&lt;0, 0, (IF(('23 days'!$D18-'23 days'!$D$3)&lt;0, 0, ('23 days'!$D18-'23 days'!$D$3)))+(IF(('23 days'!$E18-'23 days'!$E$3)&lt;0, 0, ('23 days'!$E18-'23 days'!$E$3)))+('23 days'!$G18*'23 days'!$F18)+('23 days'!$H18))</f>
        <v>63.465000000000003</v>
      </c>
      <c r="U83" s="158">
        <f t="shared" si="40"/>
        <v>32.534999999999997</v>
      </c>
      <c r="V83" s="154">
        <f t="shared" si="29"/>
        <v>0.83423076923076911</v>
      </c>
      <c r="W83" s="155">
        <f t="shared" si="37"/>
        <v>1.2797650405647456</v>
      </c>
      <c r="X83" s="196">
        <f t="shared" si="41"/>
        <v>39</v>
      </c>
      <c r="Y83" s="213">
        <f t="shared" si="31"/>
        <v>39</v>
      </c>
      <c r="Z83" s="163">
        <f>'23 days'!I18</f>
        <v>0</v>
      </c>
      <c r="AA83" s="154">
        <f>'23 days'!J18</f>
        <v>0</v>
      </c>
      <c r="AB83" s="163">
        <f>'23 days'!K18</f>
        <v>0</v>
      </c>
      <c r="AC83" s="154">
        <f>'23 days'!L18</f>
        <v>0</v>
      </c>
      <c r="AD83" s="213">
        <f>'23 days'!M18</f>
        <v>0</v>
      </c>
      <c r="AE83" s="154">
        <f>'23 days'!N18</f>
        <v>0</v>
      </c>
      <c r="AF83" s="163">
        <f t="shared" si="38"/>
        <v>0</v>
      </c>
      <c r="AG83" s="160">
        <f t="shared" si="39"/>
        <v>0</v>
      </c>
      <c r="AI83" s="319"/>
      <c r="AJ83" s="162"/>
      <c r="AK83" s="163"/>
      <c r="AL83" s="165"/>
      <c r="AM83" s="319"/>
      <c r="AN83" s="150"/>
      <c r="AO83" s="151"/>
      <c r="AP83" s="150"/>
      <c r="AQ83" s="151"/>
      <c r="AR83" s="149"/>
      <c r="AS83" s="320"/>
    </row>
    <row r="84" spans="11:45" x14ac:dyDescent="0.25">
      <c r="K84" s="164" t="s">
        <v>88</v>
      </c>
      <c r="L84" s="162">
        <f>'23 days'!$A19</f>
        <v>15</v>
      </c>
      <c r="M84" s="163">
        <f t="shared" si="30"/>
        <v>38</v>
      </c>
      <c r="N84" s="163" t="str">
        <f>INDEX(Map!$W$2:$W$67, MATCH('Raw data'!L84, Map!$V$2:$V$67,0))</f>
        <v>T4</v>
      </c>
      <c r="O84" s="165" t="str">
        <f>INDEX(Map!$X$2:$X$67, MATCH('Raw data'!L84, Map!$V$2:$V$67,0))</f>
        <v>R3</v>
      </c>
      <c r="P84" s="158">
        <f>'23 days'!$C19-'23 days'!$C$3</f>
        <v>36.849999999999994</v>
      </c>
      <c r="Q84" s="154">
        <f t="shared" si="26"/>
        <v>0.96973684210526301</v>
      </c>
      <c r="R84" s="155">
        <f t="shared" si="27"/>
        <v>22.926410256410247</v>
      </c>
      <c r="S84" s="328">
        <f t="shared" si="36"/>
        <v>0.60332658569500652</v>
      </c>
      <c r="T84" s="336">
        <f>IF((IF(('23 days'!$D19-'23 days'!$D$3)&lt;0, 0, ('23 days'!$D19-'23 days'!$D$3)))+(IF(('23 days'!$E19-'23 days'!$E$3)&lt;0, 0, ('23 days'!$E19-'23 days'!$E$3)))+('23 days'!$G19*'23 days'!$F19)+('23 days'!$H19)&lt;0, 0, (IF(('23 days'!$D19-'23 days'!$D$3)&lt;0, 0, ('23 days'!$D19-'23 days'!$D$3)))+(IF(('23 days'!$E19-'23 days'!$E$3)&lt;0, 0, ('23 days'!$E19-'23 days'!$E$3)))+('23 days'!$G19*'23 days'!$F19)+('23 days'!$H19))</f>
        <v>63.965000000000003</v>
      </c>
      <c r="U84" s="158">
        <f t="shared" si="40"/>
        <v>32.034999999999997</v>
      </c>
      <c r="V84" s="154">
        <f t="shared" si="29"/>
        <v>0.84302631578947362</v>
      </c>
      <c r="W84" s="155">
        <f t="shared" si="37"/>
        <v>1.2965379494007989</v>
      </c>
      <c r="X84" s="196">
        <f t="shared" si="41"/>
        <v>39</v>
      </c>
      <c r="Y84" s="213">
        <f t="shared" si="31"/>
        <v>38</v>
      </c>
      <c r="Z84" s="163">
        <f>'23 days'!I19</f>
        <v>0</v>
      </c>
      <c r="AA84" s="154">
        <f>'23 days'!J19</f>
        <v>0</v>
      </c>
      <c r="AB84" s="163">
        <f>'23 days'!K19</f>
        <v>1</v>
      </c>
      <c r="AC84" s="154">
        <f>'23 days'!L19</f>
        <v>0.45</v>
      </c>
      <c r="AD84" s="213">
        <f>'23 days'!M19</f>
        <v>0</v>
      </c>
      <c r="AE84" s="154">
        <f>'23 days'!N19</f>
        <v>0</v>
      </c>
      <c r="AF84" s="163">
        <f t="shared" si="38"/>
        <v>1</v>
      </c>
      <c r="AG84" s="160">
        <f t="shared" si="39"/>
        <v>0.45</v>
      </c>
      <c r="AI84" s="319"/>
      <c r="AJ84" s="162"/>
      <c r="AK84" s="163"/>
      <c r="AL84" s="165"/>
      <c r="AM84" s="319"/>
      <c r="AN84" s="150"/>
      <c r="AO84" s="151"/>
      <c r="AP84" s="150"/>
      <c r="AQ84" s="151"/>
      <c r="AR84" s="149"/>
      <c r="AS84" s="320"/>
    </row>
    <row r="85" spans="11:45" x14ac:dyDescent="0.25">
      <c r="K85" s="164" t="s">
        <v>88</v>
      </c>
      <c r="L85" s="162">
        <f>'23 days'!$A20</f>
        <v>16</v>
      </c>
      <c r="M85" s="163">
        <f t="shared" si="30"/>
        <v>39</v>
      </c>
      <c r="N85" s="163" t="str">
        <f>INDEX(Map!$W$2:$W$67, MATCH('Raw data'!L85, Map!$V$2:$V$67,0))</f>
        <v>T2</v>
      </c>
      <c r="O85" s="165" t="str">
        <f>INDEX(Map!$X$2:$X$67, MATCH('Raw data'!L85, Map!$V$2:$V$67,0))</f>
        <v>R3</v>
      </c>
      <c r="P85" s="158">
        <f>'23 days'!$C20-'23 days'!$C$3</f>
        <v>39.049999999999997</v>
      </c>
      <c r="Q85" s="154">
        <f t="shared" si="26"/>
        <v>1.0012820512820513</v>
      </c>
      <c r="R85" s="155">
        <f t="shared" si="27"/>
        <v>24.209999999999997</v>
      </c>
      <c r="S85" s="328">
        <f t="shared" si="36"/>
        <v>0.62076923076923074</v>
      </c>
      <c r="T85" s="336">
        <f>IF((IF(('23 days'!$D20-'23 days'!$D$3)&lt;0, 0, ('23 days'!$D20-'23 days'!$D$3)))+(IF(('23 days'!$E20-'23 days'!$E$3)&lt;0, 0, ('23 days'!$E20-'23 days'!$E$3)))+('23 days'!$G20*'23 days'!$F20)+('23 days'!$H20)&lt;0, 0, (IF(('23 days'!$D20-'23 days'!$D$3)&lt;0, 0, ('23 days'!$D20-'23 days'!$D$3)))+(IF(('23 days'!$E20-'23 days'!$E$3)&lt;0, 0, ('23 days'!$E20-'23 days'!$E$3)))+('23 days'!$G20*'23 days'!$F20)+('23 days'!$H20))</f>
        <v>63.015000000000001</v>
      </c>
      <c r="U85" s="158">
        <f t="shared" si="40"/>
        <v>32.984999999999999</v>
      </c>
      <c r="V85" s="154">
        <f t="shared" si="29"/>
        <v>0.84576923076923072</v>
      </c>
      <c r="W85" s="155">
        <f t="shared" si="37"/>
        <v>1.2719623539039921</v>
      </c>
      <c r="X85" s="196">
        <f t="shared" si="41"/>
        <v>39</v>
      </c>
      <c r="Y85" s="213">
        <f t="shared" si="31"/>
        <v>39</v>
      </c>
      <c r="Z85" s="163">
        <f>'23 days'!I20</f>
        <v>0</v>
      </c>
      <c r="AA85" s="154">
        <f>'23 days'!J20</f>
        <v>0</v>
      </c>
      <c r="AB85" s="163">
        <f>'23 days'!K20</f>
        <v>0</v>
      </c>
      <c r="AC85" s="154">
        <f>'23 days'!L20</f>
        <v>0</v>
      </c>
      <c r="AD85" s="213">
        <f>'23 days'!M20</f>
        <v>0</v>
      </c>
      <c r="AE85" s="154">
        <f>'23 days'!N20</f>
        <v>0</v>
      </c>
      <c r="AF85" s="163">
        <f t="shared" si="38"/>
        <v>0</v>
      </c>
      <c r="AG85" s="160">
        <f t="shared" si="39"/>
        <v>0</v>
      </c>
      <c r="AI85" s="319"/>
      <c r="AJ85" s="162"/>
      <c r="AK85" s="163"/>
      <c r="AL85" s="165"/>
      <c r="AM85" s="319"/>
      <c r="AN85" s="150"/>
      <c r="AO85" s="151"/>
      <c r="AP85" s="150"/>
      <c r="AQ85" s="151"/>
      <c r="AR85" s="149"/>
      <c r="AS85" s="320"/>
    </row>
    <row r="86" spans="11:45" x14ac:dyDescent="0.25">
      <c r="K86" s="164" t="s">
        <v>88</v>
      </c>
      <c r="L86" s="162">
        <f>'23 days'!$A21</f>
        <v>17</v>
      </c>
      <c r="M86" s="163">
        <f t="shared" si="30"/>
        <v>40</v>
      </c>
      <c r="N86" s="163" t="str">
        <f>INDEX(Map!$W$2:$W$67, MATCH('Raw data'!L86, Map!$V$2:$V$67,0))</f>
        <v>T6</v>
      </c>
      <c r="O86" s="165" t="str">
        <f>INDEX(Map!$X$2:$X$67, MATCH('Raw data'!L86, Map!$V$2:$V$67,0))</f>
        <v>R3</v>
      </c>
      <c r="P86" s="158">
        <f>'23 days'!$C21-'23 days'!$C$3</f>
        <v>36.599999999999994</v>
      </c>
      <c r="Q86" s="154">
        <f t="shared" si="26"/>
        <v>0.91499999999999981</v>
      </c>
      <c r="R86" s="155">
        <f t="shared" si="27"/>
        <v>22.609999999999992</v>
      </c>
      <c r="S86" s="328">
        <f t="shared" si="36"/>
        <v>0.56524999999999981</v>
      </c>
      <c r="T86" s="336">
        <f>IF((IF(('23 days'!$D21-'23 days'!$D$3)&lt;0, 0, ('23 days'!$D21-'23 days'!$D$3)))+(IF(('23 days'!$E21-'23 days'!$E$3)&lt;0, 0, ('23 days'!$E21-'23 days'!$E$3)))+('23 days'!$G21*'23 days'!$F21)+('23 days'!$H21)&lt;0, 0, (IF(('23 days'!$D21-'23 days'!$D$3)&lt;0, 0, ('23 days'!$D21-'23 days'!$D$3)))+(IF(('23 days'!$E21-'23 days'!$E$3)&lt;0, 0, ('23 days'!$E21-'23 days'!$E$3)))+('23 days'!$G21*'23 days'!$F21)+('23 days'!$H21))</f>
        <v>64.414999999999992</v>
      </c>
      <c r="U86" s="158">
        <f t="shared" si="40"/>
        <v>31.585000000000008</v>
      </c>
      <c r="V86" s="154">
        <f t="shared" si="29"/>
        <v>0.78962500000000024</v>
      </c>
      <c r="W86" s="155">
        <f t="shared" si="37"/>
        <v>1.3001366120218583</v>
      </c>
      <c r="X86" s="196">
        <f t="shared" si="41"/>
        <v>40</v>
      </c>
      <c r="Y86" s="213">
        <f t="shared" si="31"/>
        <v>40</v>
      </c>
      <c r="Z86" s="163">
        <f>'23 days'!I21</f>
        <v>0</v>
      </c>
      <c r="AA86" s="154">
        <f>'23 days'!J21</f>
        <v>0</v>
      </c>
      <c r="AB86" s="163">
        <f>'23 days'!K21</f>
        <v>0</v>
      </c>
      <c r="AC86" s="154">
        <f>'23 days'!L21</f>
        <v>0</v>
      </c>
      <c r="AD86" s="213">
        <f>'23 days'!M21</f>
        <v>0</v>
      </c>
      <c r="AE86" s="154">
        <f>'23 days'!N21</f>
        <v>0</v>
      </c>
      <c r="AF86" s="163">
        <f t="shared" si="38"/>
        <v>0</v>
      </c>
      <c r="AG86" s="160">
        <f t="shared" si="39"/>
        <v>0</v>
      </c>
      <c r="AI86" s="319"/>
      <c r="AJ86" s="162"/>
      <c r="AK86" s="163"/>
      <c r="AL86" s="165"/>
      <c r="AM86" s="319"/>
      <c r="AN86" s="150"/>
      <c r="AO86" s="151"/>
      <c r="AP86" s="150"/>
      <c r="AQ86" s="151"/>
      <c r="AR86" s="149"/>
      <c r="AS86" s="320"/>
    </row>
    <row r="87" spans="11:45" x14ac:dyDescent="0.25">
      <c r="K87" s="164" t="s">
        <v>88</v>
      </c>
      <c r="L87" s="162">
        <f>'23 days'!$A22</f>
        <v>18</v>
      </c>
      <c r="M87" s="163">
        <f t="shared" si="30"/>
        <v>40</v>
      </c>
      <c r="N87" s="163" t="str">
        <f>INDEX(Map!$W$2:$W$67, MATCH('Raw data'!L87, Map!$V$2:$V$67,0))</f>
        <v>T5</v>
      </c>
      <c r="O87" s="165" t="str">
        <f>INDEX(Map!$X$2:$X$67, MATCH('Raw data'!L87, Map!$V$2:$V$67,0))</f>
        <v>R3</v>
      </c>
      <c r="P87" s="158">
        <f>'23 days'!$C22-'23 days'!$C$3</f>
        <v>38.5</v>
      </c>
      <c r="Q87" s="154">
        <f t="shared" si="26"/>
        <v>0.96250000000000002</v>
      </c>
      <c r="R87" s="155">
        <f t="shared" si="27"/>
        <v>24.26</v>
      </c>
      <c r="S87" s="328">
        <f t="shared" si="36"/>
        <v>0.60650000000000004</v>
      </c>
      <c r="T87" s="336">
        <f>IF((IF(('23 days'!$D22-'23 days'!$D$3)&lt;0, 0, ('23 days'!$D22-'23 days'!$D$3)))+(IF(('23 days'!$E22-'23 days'!$E$3)&lt;0, 0, ('23 days'!$E22-'23 days'!$E$3)))+('23 days'!$G22*'23 days'!$F22)+('23 days'!$H22)&lt;0, 0, (IF(('23 days'!$D22-'23 days'!$D$3)&lt;0, 0, ('23 days'!$D22-'23 days'!$D$3)))+(IF(('23 days'!$E22-'23 days'!$E$3)&lt;0, 0, ('23 days'!$E22-'23 days'!$E$3)))+('23 days'!$G22*'23 days'!$F22)+('23 days'!$H22))</f>
        <v>62.965000000000003</v>
      </c>
      <c r="U87" s="158">
        <f t="shared" si="40"/>
        <v>33.034999999999997</v>
      </c>
      <c r="V87" s="154">
        <f t="shared" si="29"/>
        <v>0.82587499999999991</v>
      </c>
      <c r="W87" s="155">
        <f t="shared" si="37"/>
        <v>1.2762337662337659</v>
      </c>
      <c r="X87" s="196">
        <f t="shared" si="41"/>
        <v>40</v>
      </c>
      <c r="Y87" s="213">
        <f t="shared" si="31"/>
        <v>40</v>
      </c>
      <c r="Z87" s="163">
        <f>'23 days'!I22</f>
        <v>0</v>
      </c>
      <c r="AA87" s="154">
        <f>'23 days'!J22</f>
        <v>0</v>
      </c>
      <c r="AB87" s="163">
        <f>'23 days'!K22</f>
        <v>0</v>
      </c>
      <c r="AC87" s="154">
        <f>'23 days'!L22</f>
        <v>0</v>
      </c>
      <c r="AD87" s="213">
        <f>'23 days'!M22</f>
        <v>0</v>
      </c>
      <c r="AE87" s="154">
        <f>'23 days'!N22</f>
        <v>0</v>
      </c>
      <c r="AF87" s="163">
        <f t="shared" si="38"/>
        <v>0</v>
      </c>
      <c r="AG87" s="160">
        <f t="shared" si="39"/>
        <v>0</v>
      </c>
      <c r="AI87" s="319"/>
      <c r="AJ87" s="162"/>
      <c r="AK87" s="163"/>
      <c r="AL87" s="165"/>
      <c r="AM87" s="319"/>
      <c r="AN87" s="150"/>
      <c r="AO87" s="151"/>
      <c r="AP87" s="150"/>
      <c r="AQ87" s="151"/>
      <c r="AR87" s="149"/>
      <c r="AS87" s="320"/>
    </row>
    <row r="88" spans="11:45" x14ac:dyDescent="0.25">
      <c r="K88" s="164" t="s">
        <v>88</v>
      </c>
      <c r="L88" s="162">
        <f>'23 days'!$A23</f>
        <v>19</v>
      </c>
      <c r="M88" s="163">
        <f t="shared" si="30"/>
        <v>34</v>
      </c>
      <c r="N88" s="163" t="str">
        <f>INDEX(Map!$W$2:$W$67, MATCH('Raw data'!L88, Map!$V$2:$V$67,0))</f>
        <v>T3</v>
      </c>
      <c r="O88" s="165" t="str">
        <f>INDEX(Map!$X$2:$X$67, MATCH('Raw data'!L88, Map!$V$2:$V$67,0))</f>
        <v>R3</v>
      </c>
      <c r="P88" s="158">
        <f>'23 days'!$C23-'23 days'!$C$3</f>
        <v>31.150000000000002</v>
      </c>
      <c r="Q88" s="154">
        <f t="shared" si="26"/>
        <v>0.91617647058823537</v>
      </c>
      <c r="R88" s="155">
        <f t="shared" si="27"/>
        <v>19.873333333333335</v>
      </c>
      <c r="S88" s="328">
        <f t="shared" si="36"/>
        <v>0.5845098039215687</v>
      </c>
      <c r="T88" s="336">
        <f>IF((IF(('23 days'!$D23-'23 days'!$D$3)&lt;0, 0, ('23 days'!$D23-'23 days'!$D$3)))+(IF(('23 days'!$E23-'23 days'!$E$3)&lt;0, 0, ('23 days'!$E23-'23 days'!$E$3)))+('23 days'!$G23*'23 days'!$F23)+('23 days'!$H23)&lt;0, 0, (IF(('23 days'!$D23-'23 days'!$D$3)&lt;0, 0, ('23 days'!$D23-'23 days'!$D$3)))+(IF(('23 days'!$E23-'23 days'!$E$3)&lt;0, 0, ('23 days'!$E23-'23 days'!$E$3)))+('23 days'!$G23*'23 days'!$F23)+('23 days'!$H23))</f>
        <v>68.115000000000009</v>
      </c>
      <c r="U88" s="158">
        <f t="shared" si="40"/>
        <v>27.884999999999991</v>
      </c>
      <c r="V88" s="154">
        <f t="shared" si="29"/>
        <v>0.82014705882352912</v>
      </c>
      <c r="W88" s="155">
        <f t="shared" si="37"/>
        <v>1.2812877871825874</v>
      </c>
      <c r="X88" s="196">
        <f t="shared" si="41"/>
        <v>36</v>
      </c>
      <c r="Y88" s="213">
        <f t="shared" si="31"/>
        <v>34</v>
      </c>
      <c r="Z88" s="163">
        <f>'23 days'!I23</f>
        <v>1</v>
      </c>
      <c r="AA88" s="154">
        <f>'23 days'!J23</f>
        <v>0.4</v>
      </c>
      <c r="AB88" s="163">
        <f>'23 days'!K23</f>
        <v>1</v>
      </c>
      <c r="AC88" s="154">
        <f>'23 days'!L23</f>
        <v>0.65</v>
      </c>
      <c r="AD88" s="213">
        <f>'23 days'!M23</f>
        <v>0</v>
      </c>
      <c r="AE88" s="154">
        <f>'23 days'!N23</f>
        <v>0</v>
      </c>
      <c r="AF88" s="163">
        <f t="shared" si="38"/>
        <v>2</v>
      </c>
      <c r="AG88" s="160">
        <f t="shared" si="39"/>
        <v>1.05</v>
      </c>
      <c r="AI88" s="319"/>
      <c r="AJ88" s="162"/>
      <c r="AK88" s="163"/>
      <c r="AL88" s="165"/>
      <c r="AM88" s="319"/>
      <c r="AN88" s="150"/>
      <c r="AO88" s="151"/>
      <c r="AP88" s="150"/>
      <c r="AQ88" s="151"/>
      <c r="AR88" s="149"/>
      <c r="AS88" s="320"/>
    </row>
    <row r="89" spans="11:45" x14ac:dyDescent="0.25">
      <c r="K89" s="164" t="s">
        <v>88</v>
      </c>
      <c r="L89" s="162">
        <f>'23 days'!$A24</f>
        <v>20</v>
      </c>
      <c r="M89" s="163">
        <f t="shared" si="30"/>
        <v>40</v>
      </c>
      <c r="N89" s="163" t="str">
        <f>INDEX(Map!$W$2:$W$67, MATCH('Raw data'!L89, Map!$V$2:$V$67,0))</f>
        <v>T1</v>
      </c>
      <c r="O89" s="165" t="str">
        <f>INDEX(Map!$X$2:$X$67, MATCH('Raw data'!L89, Map!$V$2:$V$67,0))</f>
        <v>R3</v>
      </c>
      <c r="P89" s="158">
        <f>'23 days'!$C24-'23 days'!$C$3</f>
        <v>37.700000000000003</v>
      </c>
      <c r="Q89" s="154">
        <f t="shared" si="26"/>
        <v>0.94250000000000012</v>
      </c>
      <c r="R89" s="155">
        <f t="shared" si="27"/>
        <v>23.560000000000009</v>
      </c>
      <c r="S89" s="328">
        <f t="shared" si="36"/>
        <v>0.58900000000000019</v>
      </c>
      <c r="T89" s="336">
        <f>IF((IF(('23 days'!$D24-'23 days'!$D$3)&lt;0, 0, ('23 days'!$D24-'23 days'!$D$3)))+(IF(('23 days'!$E24-'23 days'!$E$3)&lt;0, 0, ('23 days'!$E24-'23 days'!$E$3)))+('23 days'!$G24*'23 days'!$F24)+('23 days'!$H24)&lt;0, 0, (IF(('23 days'!$D24-'23 days'!$D$3)&lt;0, 0, ('23 days'!$D24-'23 days'!$D$3)))+(IF(('23 days'!$E24-'23 days'!$E$3)&lt;0, 0, ('23 days'!$E24-'23 days'!$E$3)))+('23 days'!$G24*'23 days'!$F24)+('23 days'!$H24))</f>
        <v>63.015000000000001</v>
      </c>
      <c r="U89" s="158">
        <f t="shared" si="40"/>
        <v>32.984999999999999</v>
      </c>
      <c r="V89" s="154">
        <f t="shared" si="29"/>
        <v>0.82462499999999994</v>
      </c>
      <c r="W89" s="155">
        <f t="shared" si="37"/>
        <v>1.3046419098143236</v>
      </c>
      <c r="X89" s="196">
        <f t="shared" si="41"/>
        <v>40</v>
      </c>
      <c r="Y89" s="213">
        <f t="shared" si="31"/>
        <v>40</v>
      </c>
      <c r="Z89" s="163">
        <f>'23 days'!I24</f>
        <v>0</v>
      </c>
      <c r="AA89" s="154">
        <f>'23 days'!J24</f>
        <v>0</v>
      </c>
      <c r="AB89" s="163">
        <f>'23 days'!K24</f>
        <v>0</v>
      </c>
      <c r="AC89" s="154">
        <f>'23 days'!L24</f>
        <v>0</v>
      </c>
      <c r="AD89" s="213">
        <f>'23 days'!M24</f>
        <v>0</v>
      </c>
      <c r="AE89" s="154">
        <f>'23 days'!N24</f>
        <v>0</v>
      </c>
      <c r="AF89" s="163">
        <f t="shared" si="38"/>
        <v>0</v>
      </c>
      <c r="AG89" s="160">
        <f t="shared" si="39"/>
        <v>0</v>
      </c>
      <c r="AI89" s="319"/>
      <c r="AJ89" s="162"/>
      <c r="AK89" s="163"/>
      <c r="AL89" s="165"/>
      <c r="AM89" s="319"/>
      <c r="AN89" s="150"/>
      <c r="AO89" s="151"/>
      <c r="AP89" s="150"/>
      <c r="AQ89" s="151"/>
      <c r="AR89" s="149"/>
      <c r="AS89" s="320"/>
    </row>
    <row r="90" spans="11:45" x14ac:dyDescent="0.25">
      <c r="K90" s="164" t="s">
        <v>88</v>
      </c>
      <c r="L90" s="162">
        <f>'23 days'!$A25</f>
        <v>21</v>
      </c>
      <c r="M90" s="163">
        <f t="shared" si="30"/>
        <v>37</v>
      </c>
      <c r="N90" s="163" t="str">
        <f>INDEX(Map!$W$2:$W$67, MATCH('Raw data'!L90, Map!$V$2:$V$67,0))</f>
        <v>T2</v>
      </c>
      <c r="O90" s="165" t="str">
        <f>INDEX(Map!$X$2:$X$67, MATCH('Raw data'!L90, Map!$V$2:$V$67,0))</f>
        <v>R11</v>
      </c>
      <c r="P90" s="158">
        <f>'23 days'!$C25-'23 days'!$C$3</f>
        <v>34.099999999999994</v>
      </c>
      <c r="Q90" s="154">
        <f t="shared" si="26"/>
        <v>0.92162162162162142</v>
      </c>
      <c r="R90" s="155">
        <f t="shared" si="27"/>
        <v>21.509999999999991</v>
      </c>
      <c r="S90" s="328">
        <f t="shared" si="36"/>
        <v>0.58135135135135108</v>
      </c>
      <c r="T90" s="336">
        <f>IF((IF(('23 days'!$D25-'23 days'!$D$3)&lt;0, 0, ('23 days'!$D25-'23 days'!$D$3)))+(IF(('23 days'!$E25-'23 days'!$E$3)&lt;0, 0, ('23 days'!$E25-'23 days'!$E$3)))+('23 days'!$G25*'23 days'!$F25)+('23 days'!$H25)&lt;0, 0, (IF(('23 days'!$D25-'23 days'!$D$3)&lt;0, 0, ('23 days'!$D25-'23 days'!$D$3)))+(IF(('23 days'!$E25-'23 days'!$E$3)&lt;0, 0, ('23 days'!$E25-'23 days'!$E$3)))+('23 days'!$G25*'23 days'!$F25)+('23 days'!$H25))</f>
        <v>66.865000000000009</v>
      </c>
      <c r="U90" s="158">
        <f t="shared" si="40"/>
        <v>27.484999999999985</v>
      </c>
      <c r="V90" s="154">
        <f t="shared" si="29"/>
        <v>0.74283783783783741</v>
      </c>
      <c r="W90" s="155">
        <f t="shared" si="37"/>
        <v>1.2374257138715754</v>
      </c>
      <c r="X90" s="196">
        <f t="shared" si="41"/>
        <v>37</v>
      </c>
      <c r="Y90" s="213">
        <f t="shared" si="31"/>
        <v>37</v>
      </c>
      <c r="Z90" s="163">
        <f>'23 days'!I25</f>
        <v>0</v>
      </c>
      <c r="AA90" s="154">
        <f>'23 days'!J25</f>
        <v>0</v>
      </c>
      <c r="AB90" s="163">
        <f>'23 days'!K25</f>
        <v>0</v>
      </c>
      <c r="AC90" s="154">
        <f>'23 days'!L25</f>
        <v>0</v>
      </c>
      <c r="AD90" s="213">
        <f>'23 days'!M25</f>
        <v>0</v>
      </c>
      <c r="AE90" s="154">
        <f>'23 days'!N25</f>
        <v>0</v>
      </c>
      <c r="AF90" s="163">
        <f t="shared" si="38"/>
        <v>0</v>
      </c>
      <c r="AG90" s="160">
        <f t="shared" si="39"/>
        <v>0</v>
      </c>
      <c r="AI90" s="319"/>
      <c r="AJ90" s="162"/>
      <c r="AK90" s="163"/>
      <c r="AL90" s="165"/>
      <c r="AM90" s="319"/>
      <c r="AN90" s="150"/>
      <c r="AO90" s="151"/>
      <c r="AP90" s="150"/>
      <c r="AQ90" s="151"/>
      <c r="AR90" s="149"/>
      <c r="AS90" s="320"/>
    </row>
    <row r="91" spans="11:45" x14ac:dyDescent="0.25">
      <c r="K91" s="164" t="s">
        <v>88</v>
      </c>
      <c r="L91" s="162">
        <f>'23 days'!$A26</f>
        <v>22</v>
      </c>
      <c r="M91" s="163">
        <f t="shared" si="30"/>
        <v>40</v>
      </c>
      <c r="N91" s="163" t="str">
        <f>INDEX(Map!$W$2:$W$67, MATCH('Raw data'!L91, Map!$V$2:$V$67,0))</f>
        <v>T5</v>
      </c>
      <c r="O91" s="165" t="str">
        <f>INDEX(Map!$X$2:$X$67, MATCH('Raw data'!L91, Map!$V$2:$V$67,0))</f>
        <v>R11</v>
      </c>
      <c r="P91" s="158">
        <f>'23 days'!$C26-'23 days'!$C$3</f>
        <v>35.75</v>
      </c>
      <c r="Q91" s="154">
        <f t="shared" si="26"/>
        <v>0.89375000000000004</v>
      </c>
      <c r="R91" s="155">
        <f t="shared" si="27"/>
        <v>22.21</v>
      </c>
      <c r="S91" s="328">
        <f t="shared" si="36"/>
        <v>0.55525000000000002</v>
      </c>
      <c r="T91" s="336">
        <f>IF((IF(('23 days'!$D26-'23 days'!$D$3)&lt;0, 0, ('23 days'!$D26-'23 days'!$D$3)))+(IF(('23 days'!$E26-'23 days'!$E$3)&lt;0, 0, ('23 days'!$E26-'23 days'!$E$3)))+('23 days'!$G26*'23 days'!$F26)+('23 days'!$H26)&lt;0, 0, (IF(('23 days'!$D26-'23 days'!$D$3)&lt;0, 0, ('23 days'!$D26-'23 days'!$D$3)))+(IF(('23 days'!$E26-'23 days'!$E$3)&lt;0, 0, ('23 days'!$E26-'23 days'!$E$3)))+('23 days'!$G26*'23 days'!$F26)+('23 days'!$H26))</f>
        <v>65.115000000000009</v>
      </c>
      <c r="U91" s="158">
        <f t="shared" si="40"/>
        <v>29.284999999999997</v>
      </c>
      <c r="V91" s="154">
        <f t="shared" si="29"/>
        <v>0.73212499999999991</v>
      </c>
      <c r="W91" s="155">
        <f t="shared" si="37"/>
        <v>1.2555244755244754</v>
      </c>
      <c r="X91" s="196">
        <f t="shared" si="41"/>
        <v>40</v>
      </c>
      <c r="Y91" s="213">
        <f t="shared" si="31"/>
        <v>40</v>
      </c>
      <c r="Z91" s="163">
        <f>'23 days'!I26</f>
        <v>0</v>
      </c>
      <c r="AA91" s="154">
        <f>'23 days'!J26</f>
        <v>0</v>
      </c>
      <c r="AB91" s="163">
        <f>'23 days'!K26</f>
        <v>0</v>
      </c>
      <c r="AC91" s="154">
        <f>'23 days'!L26</f>
        <v>0</v>
      </c>
      <c r="AD91" s="213">
        <f>'23 days'!M26</f>
        <v>0</v>
      </c>
      <c r="AE91" s="154">
        <f>'23 days'!N26</f>
        <v>0</v>
      </c>
      <c r="AF91" s="163">
        <f t="shared" si="38"/>
        <v>0</v>
      </c>
      <c r="AG91" s="160">
        <f t="shared" si="39"/>
        <v>0</v>
      </c>
      <c r="AI91" s="319"/>
      <c r="AJ91" s="162"/>
      <c r="AK91" s="163"/>
      <c r="AL91" s="165"/>
      <c r="AM91" s="319"/>
      <c r="AN91" s="150"/>
      <c r="AO91" s="151"/>
      <c r="AP91" s="150"/>
      <c r="AQ91" s="151"/>
      <c r="AR91" s="149"/>
      <c r="AS91" s="320"/>
    </row>
    <row r="92" spans="11:45" x14ac:dyDescent="0.25">
      <c r="K92" s="164" t="s">
        <v>88</v>
      </c>
      <c r="L92" s="162">
        <f>'23 days'!$A27</f>
        <v>23</v>
      </c>
      <c r="M92" s="163">
        <f t="shared" si="30"/>
        <v>39</v>
      </c>
      <c r="N92" s="163" t="str">
        <f>INDEX(Map!$W$2:$W$67, MATCH('Raw data'!L92, Map!$V$2:$V$67,0))</f>
        <v>T5</v>
      </c>
      <c r="O92" s="165" t="str">
        <f>INDEX(Map!$X$2:$X$67, MATCH('Raw data'!L92, Map!$V$2:$V$67,0))</f>
        <v>R10</v>
      </c>
      <c r="P92" s="158">
        <f>'23 days'!$C27-'23 days'!$C$3</f>
        <v>36.700000000000003</v>
      </c>
      <c r="Q92" s="154">
        <f t="shared" si="26"/>
        <v>0.94102564102564112</v>
      </c>
      <c r="R92" s="155">
        <f t="shared" si="27"/>
        <v>22.810000000000002</v>
      </c>
      <c r="S92" s="328">
        <f t="shared" si="36"/>
        <v>0.58487179487179497</v>
      </c>
      <c r="T92" s="336">
        <f>IF((IF(('23 days'!$D27-'23 days'!$D$3)&lt;0, 0, ('23 days'!$D27-'23 days'!$D$3)))+(IF(('23 days'!$E27-'23 days'!$E$3)&lt;0, 0, ('23 days'!$E27-'23 days'!$E$3)))+('23 days'!$G27*'23 days'!$F27)+('23 days'!$H27)&lt;0, 0, (IF(('23 days'!$D27-'23 days'!$D$3)&lt;0, 0, ('23 days'!$D27-'23 days'!$D$3)))+(IF(('23 days'!$E27-'23 days'!$E$3)&lt;0, 0, ('23 days'!$E27-'23 days'!$E$3)))+('23 days'!$G27*'23 days'!$F27)+('23 days'!$H27))</f>
        <v>64.365000000000009</v>
      </c>
      <c r="U92" s="158">
        <f t="shared" si="40"/>
        <v>31.634999999999991</v>
      </c>
      <c r="V92" s="154">
        <f t="shared" si="29"/>
        <v>0.81115384615384589</v>
      </c>
      <c r="W92" s="155">
        <f t="shared" si="37"/>
        <v>1.2909214092140917</v>
      </c>
      <c r="X92" s="196">
        <f t="shared" si="41"/>
        <v>39</v>
      </c>
      <c r="Y92" s="213">
        <f t="shared" si="31"/>
        <v>39</v>
      </c>
      <c r="Z92" s="163">
        <f>'23 days'!I27</f>
        <v>0</v>
      </c>
      <c r="AA92" s="154">
        <f>'23 days'!J27</f>
        <v>0</v>
      </c>
      <c r="AB92" s="163">
        <f>'23 days'!K27</f>
        <v>0</v>
      </c>
      <c r="AC92" s="154">
        <f>'23 days'!L27</f>
        <v>0</v>
      </c>
      <c r="AD92" s="213">
        <f>'23 days'!M27</f>
        <v>0</v>
      </c>
      <c r="AE92" s="154">
        <f>'23 days'!N27</f>
        <v>0</v>
      </c>
      <c r="AF92" s="163">
        <f t="shared" si="38"/>
        <v>0</v>
      </c>
      <c r="AG92" s="160">
        <f t="shared" si="39"/>
        <v>0</v>
      </c>
      <c r="AI92" s="319"/>
      <c r="AJ92" s="162"/>
      <c r="AK92" s="163"/>
      <c r="AL92" s="165"/>
      <c r="AM92" s="319"/>
      <c r="AN92" s="150"/>
      <c r="AO92" s="151"/>
      <c r="AP92" s="150"/>
      <c r="AQ92" s="151"/>
      <c r="AR92" s="149"/>
      <c r="AS92" s="320"/>
    </row>
    <row r="93" spans="11:45" x14ac:dyDescent="0.25">
      <c r="K93" s="164" t="s">
        <v>88</v>
      </c>
      <c r="L93" s="162">
        <f>'23 days'!$A28</f>
        <v>24</v>
      </c>
      <c r="M93" s="163">
        <f t="shared" si="30"/>
        <v>40</v>
      </c>
      <c r="N93" s="163" t="str">
        <f>INDEX(Map!$W$2:$W$67, MATCH('Raw data'!L93, Map!$V$2:$V$67,0))</f>
        <v>T4</v>
      </c>
      <c r="O93" s="165" t="str">
        <f>INDEX(Map!$X$2:$X$67, MATCH('Raw data'!L93, Map!$V$2:$V$67,0))</f>
        <v>R10</v>
      </c>
      <c r="P93" s="158">
        <f>'23 days'!$C28-'23 days'!$C$3</f>
        <v>38.849999999999994</v>
      </c>
      <c r="Q93" s="154">
        <f t="shared" si="26"/>
        <v>0.97124999999999984</v>
      </c>
      <c r="R93" s="155">
        <f t="shared" si="27"/>
        <v>24.559999999999995</v>
      </c>
      <c r="S93" s="328">
        <f t="shared" si="36"/>
        <v>0.61399999999999988</v>
      </c>
      <c r="T93" s="336">
        <f>IF((IF(('23 days'!$D28-'23 days'!$D$3)&lt;0, 0, ('23 days'!$D28-'23 days'!$D$3)))+(IF(('23 days'!$E28-'23 days'!$E$3)&lt;0, 0, ('23 days'!$E28-'23 days'!$E$3)))+('23 days'!$G28*'23 days'!$F28)+('23 days'!$H28)&lt;0, 0, (IF(('23 days'!$D28-'23 days'!$D$3)&lt;0, 0, ('23 days'!$D28-'23 days'!$D$3)))+(IF(('23 days'!$E28-'23 days'!$E$3)&lt;0, 0, ('23 days'!$E28-'23 days'!$E$3)))+('23 days'!$G28*'23 days'!$F28)+('23 days'!$H28))</f>
        <v>62.314999999999998</v>
      </c>
      <c r="U93" s="158">
        <f t="shared" si="40"/>
        <v>33.685000000000002</v>
      </c>
      <c r="V93" s="154">
        <f t="shared" si="29"/>
        <v>0.84212500000000001</v>
      </c>
      <c r="W93" s="155">
        <f t="shared" si="37"/>
        <v>1.2930501930501932</v>
      </c>
      <c r="X93" s="196">
        <f t="shared" si="41"/>
        <v>40</v>
      </c>
      <c r="Y93" s="213">
        <f t="shared" si="31"/>
        <v>40</v>
      </c>
      <c r="Z93" s="163">
        <f>'23 days'!I28</f>
        <v>0</v>
      </c>
      <c r="AA93" s="154">
        <f>'23 days'!J28</f>
        <v>0</v>
      </c>
      <c r="AB93" s="163">
        <f>'23 days'!K28</f>
        <v>0</v>
      </c>
      <c r="AC93" s="154">
        <f>'23 days'!L28</f>
        <v>0</v>
      </c>
      <c r="AD93" s="213">
        <f>'23 days'!M28</f>
        <v>0</v>
      </c>
      <c r="AE93" s="154">
        <f>'23 days'!N28</f>
        <v>0</v>
      </c>
      <c r="AF93" s="163">
        <f t="shared" si="38"/>
        <v>0</v>
      </c>
      <c r="AG93" s="160">
        <f t="shared" si="39"/>
        <v>0</v>
      </c>
      <c r="AI93" s="319"/>
      <c r="AJ93" s="162"/>
      <c r="AK93" s="163"/>
      <c r="AL93" s="165"/>
      <c r="AM93" s="319"/>
      <c r="AN93" s="150"/>
      <c r="AO93" s="151"/>
      <c r="AP93" s="150"/>
      <c r="AQ93" s="151"/>
      <c r="AR93" s="149"/>
      <c r="AS93" s="320"/>
    </row>
    <row r="94" spans="11:45" x14ac:dyDescent="0.25">
      <c r="K94" s="164" t="s">
        <v>88</v>
      </c>
      <c r="L94" s="162">
        <f>'23 days'!$A29</f>
        <v>25</v>
      </c>
      <c r="M94" s="163">
        <f t="shared" si="30"/>
        <v>40</v>
      </c>
      <c r="N94" s="163" t="str">
        <f>INDEX(Map!$W$2:$W$67, MATCH('Raw data'!L94, Map!$V$2:$V$67,0))</f>
        <v>T2</v>
      </c>
      <c r="O94" s="165" t="str">
        <f>INDEX(Map!$X$2:$X$67, MATCH('Raw data'!L94, Map!$V$2:$V$67,0))</f>
        <v>R4</v>
      </c>
      <c r="P94" s="158">
        <f>'23 days'!$C29-'23 days'!$C$3</f>
        <v>38.25</v>
      </c>
      <c r="Q94" s="154">
        <f t="shared" si="26"/>
        <v>0.95625000000000004</v>
      </c>
      <c r="R94" s="155">
        <f t="shared" si="27"/>
        <v>24.160000000000004</v>
      </c>
      <c r="S94" s="328">
        <f t="shared" si="36"/>
        <v>0.60400000000000009</v>
      </c>
      <c r="T94" s="336">
        <f>IF((IF(('23 days'!$D29-'23 days'!$D$3)&lt;0, 0, ('23 days'!$D29-'23 days'!$D$3)))+(IF(('23 days'!$E29-'23 days'!$E$3)&lt;0, 0, ('23 days'!$E29-'23 days'!$E$3)))+('23 days'!$G29*'23 days'!$F29)+('23 days'!$H29)&lt;0, 0, (IF(('23 days'!$D29-'23 days'!$D$3)&lt;0, 0, ('23 days'!$D29-'23 days'!$D$3)))+(IF(('23 days'!$E29-'23 days'!$E$3)&lt;0, 0, ('23 days'!$E29-'23 days'!$E$3)))+('23 days'!$G29*'23 days'!$F29)+('23 days'!$H29))</f>
        <v>63.814999999999998</v>
      </c>
      <c r="U94" s="158">
        <f t="shared" si="40"/>
        <v>32.185000000000002</v>
      </c>
      <c r="V94" s="154">
        <f t="shared" si="29"/>
        <v>0.80462500000000003</v>
      </c>
      <c r="W94" s="155">
        <f t="shared" si="37"/>
        <v>1.2571241830065361</v>
      </c>
      <c r="X94" s="196">
        <f t="shared" si="41"/>
        <v>40</v>
      </c>
      <c r="Y94" s="213">
        <f t="shared" si="31"/>
        <v>40</v>
      </c>
      <c r="Z94" s="163">
        <f>'23 days'!I29</f>
        <v>0</v>
      </c>
      <c r="AA94" s="154">
        <f>'23 days'!J29</f>
        <v>0</v>
      </c>
      <c r="AB94" s="163">
        <f>'23 days'!K29</f>
        <v>0</v>
      </c>
      <c r="AC94" s="154">
        <f>'23 days'!L29</f>
        <v>0</v>
      </c>
      <c r="AD94" s="213">
        <f>'23 days'!M29</f>
        <v>0</v>
      </c>
      <c r="AE94" s="154">
        <f>'23 days'!N29</f>
        <v>0</v>
      </c>
      <c r="AF94" s="163">
        <f t="shared" si="38"/>
        <v>0</v>
      </c>
      <c r="AG94" s="160">
        <f t="shared" si="39"/>
        <v>0</v>
      </c>
      <c r="AI94" s="319"/>
      <c r="AJ94" s="162"/>
      <c r="AK94" s="163"/>
      <c r="AL94" s="165"/>
      <c r="AM94" s="319"/>
      <c r="AN94" s="150"/>
      <c r="AO94" s="151"/>
      <c r="AP94" s="150"/>
      <c r="AQ94" s="151"/>
      <c r="AR94" s="149"/>
      <c r="AS94" s="320"/>
    </row>
    <row r="95" spans="11:45" x14ac:dyDescent="0.25">
      <c r="K95" s="164" t="s">
        <v>88</v>
      </c>
      <c r="L95" s="162">
        <f>'23 days'!$A30</f>
        <v>26</v>
      </c>
      <c r="M95" s="163">
        <f t="shared" si="30"/>
        <v>39</v>
      </c>
      <c r="N95" s="163" t="str">
        <f>INDEX(Map!$W$2:$W$67, MATCH('Raw data'!L95, Map!$V$2:$V$67,0))</f>
        <v>T3</v>
      </c>
      <c r="O95" s="165" t="str">
        <f>INDEX(Map!$X$2:$X$67, MATCH('Raw data'!L95, Map!$V$2:$V$67,0))</f>
        <v>R4</v>
      </c>
      <c r="P95" s="158">
        <f>'23 days'!$C30-'23 days'!$C$3</f>
        <v>35.400000000000006</v>
      </c>
      <c r="Q95" s="154">
        <f t="shared" si="26"/>
        <v>0.9076923076923078</v>
      </c>
      <c r="R95" s="155">
        <f t="shared" si="27"/>
        <v>22.260000000000005</v>
      </c>
      <c r="S95" s="328">
        <f t="shared" si="36"/>
        <v>0.57076923076923092</v>
      </c>
      <c r="T95" s="336">
        <f>IF((IF(('23 days'!$D30-'23 days'!$D$3)&lt;0, 0, ('23 days'!$D30-'23 days'!$D$3)))+(IF(('23 days'!$E30-'23 days'!$E$3)&lt;0, 0, ('23 days'!$E30-'23 days'!$E$3)))+('23 days'!$G30*'23 days'!$F30)+('23 days'!$H30)&lt;0, 0, (IF(('23 days'!$D30-'23 days'!$D$3)&lt;0, 0, ('23 days'!$D30-'23 days'!$D$3)))+(IF(('23 days'!$E30-'23 days'!$E$3)&lt;0, 0, ('23 days'!$E30-'23 days'!$E$3)))+('23 days'!$G30*'23 days'!$F30)+('23 days'!$H30))</f>
        <v>65.615000000000009</v>
      </c>
      <c r="U95" s="158">
        <f t="shared" si="40"/>
        <v>30.384999999999991</v>
      </c>
      <c r="V95" s="154">
        <f t="shared" si="29"/>
        <v>0.77910256410256384</v>
      </c>
      <c r="W95" s="155">
        <f t="shared" si="37"/>
        <v>1.3025245441795226</v>
      </c>
      <c r="X95" s="196">
        <f t="shared" si="41"/>
        <v>39</v>
      </c>
      <c r="Y95" s="213">
        <f t="shared" si="31"/>
        <v>39</v>
      </c>
      <c r="Z95" s="163">
        <f>'23 days'!I30</f>
        <v>0</v>
      </c>
      <c r="AA95" s="154">
        <f>'23 days'!J30</f>
        <v>0</v>
      </c>
      <c r="AB95" s="163">
        <f>'23 days'!K30</f>
        <v>0</v>
      </c>
      <c r="AC95" s="154">
        <f>'23 days'!L30</f>
        <v>0</v>
      </c>
      <c r="AD95" s="213">
        <f>'23 days'!M30</f>
        <v>0</v>
      </c>
      <c r="AE95" s="154">
        <f>'23 days'!N30</f>
        <v>0</v>
      </c>
      <c r="AF95" s="163">
        <f t="shared" si="38"/>
        <v>0</v>
      </c>
      <c r="AG95" s="160">
        <f t="shared" si="39"/>
        <v>0</v>
      </c>
      <c r="AI95" s="319"/>
      <c r="AJ95" s="162"/>
      <c r="AK95" s="163"/>
      <c r="AL95" s="165"/>
      <c r="AM95" s="319"/>
      <c r="AN95" s="150"/>
      <c r="AO95" s="151"/>
      <c r="AP95" s="150"/>
      <c r="AQ95" s="151"/>
      <c r="AR95" s="149"/>
      <c r="AS95" s="320"/>
    </row>
    <row r="96" spans="11:45" x14ac:dyDescent="0.25">
      <c r="K96" s="164" t="s">
        <v>88</v>
      </c>
      <c r="L96" s="162">
        <f>'23 days'!$A31</f>
        <v>27</v>
      </c>
      <c r="M96" s="163">
        <f t="shared" si="30"/>
        <v>40</v>
      </c>
      <c r="N96" s="163" t="str">
        <f>INDEX(Map!$W$2:$W$67, MATCH('Raw data'!L96, Map!$V$2:$V$67,0))</f>
        <v>T1</v>
      </c>
      <c r="O96" s="165" t="str">
        <f>INDEX(Map!$X$2:$X$67, MATCH('Raw data'!L96, Map!$V$2:$V$67,0))</f>
        <v>R4</v>
      </c>
      <c r="P96" s="158">
        <f>'23 days'!$C31-'23 days'!$C$3</f>
        <v>39.200000000000003</v>
      </c>
      <c r="Q96" s="154">
        <f t="shared" si="26"/>
        <v>0.98000000000000009</v>
      </c>
      <c r="R96" s="155">
        <f t="shared" si="27"/>
        <v>25.010000000000005</v>
      </c>
      <c r="S96" s="328">
        <f t="shared" si="36"/>
        <v>0.62525000000000008</v>
      </c>
      <c r="T96" s="336">
        <f>IF((IF(('23 days'!$D31-'23 days'!$D$3)&lt;0, 0, ('23 days'!$D31-'23 days'!$D$3)))+(IF(('23 days'!$E31-'23 days'!$E$3)&lt;0, 0, ('23 days'!$E31-'23 days'!$E$3)))+('23 days'!$G31*'23 days'!$F31)+('23 days'!$H31)&lt;0, 0, (IF(('23 days'!$D31-'23 days'!$D$3)&lt;0, 0, ('23 days'!$D31-'23 days'!$D$3)))+(IF(('23 days'!$E31-'23 days'!$E$3)&lt;0, 0, ('23 days'!$E31-'23 days'!$E$3)))+('23 days'!$G31*'23 days'!$F31)+('23 days'!$H31))</f>
        <v>62.465000000000003</v>
      </c>
      <c r="U96" s="158">
        <f t="shared" si="40"/>
        <v>33.534999999999997</v>
      </c>
      <c r="V96" s="154">
        <f t="shared" si="29"/>
        <v>0.83837499999999987</v>
      </c>
      <c r="W96" s="155">
        <f t="shared" si="37"/>
        <v>1.2623724489795918</v>
      </c>
      <c r="X96" s="196">
        <f t="shared" si="41"/>
        <v>40</v>
      </c>
      <c r="Y96" s="213">
        <f t="shared" si="31"/>
        <v>40</v>
      </c>
      <c r="Z96" s="163">
        <f>'23 days'!I31</f>
        <v>0</v>
      </c>
      <c r="AA96" s="154">
        <f>'23 days'!J31</f>
        <v>0</v>
      </c>
      <c r="AB96" s="163">
        <f>'23 days'!K31</f>
        <v>0</v>
      </c>
      <c r="AC96" s="154">
        <f>'23 days'!L31</f>
        <v>0</v>
      </c>
      <c r="AD96" s="213">
        <f>'23 days'!M31</f>
        <v>0</v>
      </c>
      <c r="AE96" s="154">
        <f>'23 days'!N31</f>
        <v>0</v>
      </c>
      <c r="AF96" s="163">
        <f t="shared" si="38"/>
        <v>0</v>
      </c>
      <c r="AG96" s="160">
        <f t="shared" si="39"/>
        <v>0</v>
      </c>
      <c r="AI96" s="319"/>
      <c r="AJ96" s="162"/>
      <c r="AK96" s="163"/>
      <c r="AL96" s="165"/>
      <c r="AM96" s="319"/>
      <c r="AN96" s="150"/>
      <c r="AO96" s="151"/>
      <c r="AP96" s="150"/>
      <c r="AQ96" s="151"/>
      <c r="AR96" s="149"/>
      <c r="AS96" s="320"/>
    </row>
    <row r="97" spans="11:45" x14ac:dyDescent="0.25">
      <c r="K97" s="164" t="s">
        <v>88</v>
      </c>
      <c r="L97" s="162">
        <f>'23 days'!$A32</f>
        <v>28</v>
      </c>
      <c r="M97" s="163">
        <f t="shared" si="30"/>
        <v>40</v>
      </c>
      <c r="N97" s="163" t="str">
        <f>INDEX(Map!$W$2:$W$67, MATCH('Raw data'!L97, Map!$V$2:$V$67,0))</f>
        <v>T5</v>
      </c>
      <c r="O97" s="165" t="str">
        <f>INDEX(Map!$X$2:$X$67, MATCH('Raw data'!L97, Map!$V$2:$V$67,0))</f>
        <v>R4</v>
      </c>
      <c r="P97" s="158">
        <f>'23 days'!$C32-'23 days'!$C$3</f>
        <v>39.349999999999994</v>
      </c>
      <c r="Q97" s="154">
        <f t="shared" si="26"/>
        <v>0.9837499999999999</v>
      </c>
      <c r="R97" s="155">
        <f t="shared" si="27"/>
        <v>25.21</v>
      </c>
      <c r="S97" s="328">
        <f t="shared" si="36"/>
        <v>0.63024999999999998</v>
      </c>
      <c r="T97" s="336">
        <f>IF((IF(('23 days'!$D32-'23 days'!$D$3)&lt;0, 0, ('23 days'!$D32-'23 days'!$D$3)))+(IF(('23 days'!$E32-'23 days'!$E$3)&lt;0, 0, ('23 days'!$E32-'23 days'!$E$3)))+('23 days'!$G32*'23 days'!$F32)+('23 days'!$H32)&lt;0, 0, (IF(('23 days'!$D32-'23 days'!$D$3)&lt;0, 0, ('23 days'!$D32-'23 days'!$D$3)))+(IF(('23 days'!$E32-'23 days'!$E$3)&lt;0, 0, ('23 days'!$E32-'23 days'!$E$3)))+('23 days'!$G32*'23 days'!$F32)+('23 days'!$H32))</f>
        <v>62.265000000000001</v>
      </c>
      <c r="U97" s="158">
        <f t="shared" si="40"/>
        <v>33.734999999999999</v>
      </c>
      <c r="V97" s="154">
        <f t="shared" si="29"/>
        <v>0.84337499999999999</v>
      </c>
      <c r="W97" s="155">
        <f t="shared" si="37"/>
        <v>1.2575603557814488</v>
      </c>
      <c r="X97" s="196">
        <f t="shared" si="41"/>
        <v>40</v>
      </c>
      <c r="Y97" s="213">
        <f t="shared" si="31"/>
        <v>40</v>
      </c>
      <c r="Z97" s="163">
        <f>'23 days'!I32</f>
        <v>0</v>
      </c>
      <c r="AA97" s="154">
        <f>'23 days'!J32</f>
        <v>0</v>
      </c>
      <c r="AB97" s="163">
        <f>'23 days'!K32</f>
        <v>0</v>
      </c>
      <c r="AC97" s="154">
        <f>'23 days'!L32</f>
        <v>0</v>
      </c>
      <c r="AD97" s="213">
        <f>'23 days'!M32</f>
        <v>0</v>
      </c>
      <c r="AE97" s="154">
        <f>'23 days'!N32</f>
        <v>0</v>
      </c>
      <c r="AF97" s="163">
        <f t="shared" si="38"/>
        <v>0</v>
      </c>
      <c r="AG97" s="160">
        <f t="shared" si="39"/>
        <v>0</v>
      </c>
      <c r="AI97" s="319"/>
      <c r="AJ97" s="162"/>
      <c r="AK97" s="163"/>
      <c r="AL97" s="165"/>
      <c r="AM97" s="319"/>
      <c r="AN97" s="150"/>
      <c r="AO97" s="151"/>
      <c r="AP97" s="150"/>
      <c r="AQ97" s="151"/>
      <c r="AR97" s="149"/>
      <c r="AS97" s="320"/>
    </row>
    <row r="98" spans="11:45" x14ac:dyDescent="0.25">
      <c r="K98" s="164" t="s">
        <v>88</v>
      </c>
      <c r="L98" s="162">
        <f>'23 days'!$A33</f>
        <v>29</v>
      </c>
      <c r="M98" s="163">
        <f t="shared" si="30"/>
        <v>40</v>
      </c>
      <c r="N98" s="163" t="str">
        <f>INDEX(Map!$W$2:$W$67, MATCH('Raw data'!L98, Map!$V$2:$V$67,0))</f>
        <v>T6</v>
      </c>
      <c r="O98" s="165" t="str">
        <f>INDEX(Map!$X$2:$X$67, MATCH('Raw data'!L98, Map!$V$2:$V$67,0))</f>
        <v>R4</v>
      </c>
      <c r="P98" s="158">
        <f>'23 days'!$C33-'23 days'!$C$3</f>
        <v>38.650000000000006</v>
      </c>
      <c r="Q98" s="154">
        <f t="shared" si="26"/>
        <v>0.96625000000000016</v>
      </c>
      <c r="R98" s="155">
        <f t="shared" si="27"/>
        <v>24.760000000000009</v>
      </c>
      <c r="S98" s="328">
        <f t="shared" si="36"/>
        <v>0.61900000000000022</v>
      </c>
      <c r="T98" s="336">
        <f>IF((IF(('23 days'!$D33-'23 days'!$D$3)&lt;0, 0, ('23 days'!$D33-'23 days'!$D$3)))+(IF(('23 days'!$E33-'23 days'!$E$3)&lt;0, 0, ('23 days'!$E33-'23 days'!$E$3)))+('23 days'!$G33*'23 days'!$F33)+('23 days'!$H33)&lt;0, 0, (IF(('23 days'!$D33-'23 days'!$D$3)&lt;0, 0, ('23 days'!$D33-'23 days'!$D$3)))+(IF(('23 days'!$E33-'23 days'!$E$3)&lt;0, 0, ('23 days'!$E33-'23 days'!$E$3)))+('23 days'!$G33*'23 days'!$F33)+('23 days'!$H33))</f>
        <v>62.365000000000002</v>
      </c>
      <c r="U98" s="158">
        <f t="shared" si="40"/>
        <v>33.634999999999998</v>
      </c>
      <c r="V98" s="154">
        <f t="shared" si="29"/>
        <v>0.84087499999999993</v>
      </c>
      <c r="W98" s="155">
        <f t="shared" si="37"/>
        <v>1.2712807244501938</v>
      </c>
      <c r="X98" s="196">
        <f t="shared" si="41"/>
        <v>40</v>
      </c>
      <c r="Y98" s="213">
        <f t="shared" si="31"/>
        <v>40</v>
      </c>
      <c r="Z98" s="163">
        <f>'23 days'!I33</f>
        <v>0</v>
      </c>
      <c r="AA98" s="154">
        <f>'23 days'!J33</f>
        <v>0</v>
      </c>
      <c r="AB98" s="163">
        <f>'23 days'!K33</f>
        <v>0</v>
      </c>
      <c r="AC98" s="154">
        <f>'23 days'!L33</f>
        <v>0</v>
      </c>
      <c r="AD98" s="213">
        <f>'23 days'!M33</f>
        <v>0</v>
      </c>
      <c r="AE98" s="154">
        <f>'23 days'!N33</f>
        <v>0</v>
      </c>
      <c r="AF98" s="163">
        <f t="shared" si="38"/>
        <v>0</v>
      </c>
      <c r="AG98" s="160">
        <f t="shared" si="39"/>
        <v>0</v>
      </c>
      <c r="AI98" s="319"/>
      <c r="AJ98" s="162"/>
      <c r="AK98" s="163"/>
      <c r="AL98" s="165"/>
      <c r="AM98" s="319"/>
      <c r="AN98" s="150"/>
      <c r="AO98" s="151"/>
      <c r="AP98" s="150"/>
      <c r="AQ98" s="151"/>
      <c r="AR98" s="149"/>
      <c r="AS98" s="320"/>
    </row>
    <row r="99" spans="11:45" x14ac:dyDescent="0.25">
      <c r="K99" s="164" t="s">
        <v>88</v>
      </c>
      <c r="L99" s="162">
        <f>'23 days'!$A34</f>
        <v>30</v>
      </c>
      <c r="M99" s="163">
        <f t="shared" si="30"/>
        <v>38</v>
      </c>
      <c r="N99" s="163" t="str">
        <f>INDEX(Map!$W$2:$W$67, MATCH('Raw data'!L99, Map!$V$2:$V$67,0))</f>
        <v>T4</v>
      </c>
      <c r="O99" s="165" t="str">
        <f>INDEX(Map!$X$2:$X$67, MATCH('Raw data'!L99, Map!$V$2:$V$67,0))</f>
        <v>R4</v>
      </c>
      <c r="P99" s="158">
        <f>'23 days'!$C34-'23 days'!$C$3</f>
        <v>36.75</v>
      </c>
      <c r="Q99" s="154">
        <f t="shared" si="26"/>
        <v>0.96710526315789469</v>
      </c>
      <c r="R99" s="155">
        <f t="shared" si="27"/>
        <v>23.167435897435897</v>
      </c>
      <c r="S99" s="328">
        <f t="shared" si="36"/>
        <v>0.60966936572199726</v>
      </c>
      <c r="T99" s="336">
        <f>IF((IF(('23 days'!$D34-'23 days'!$D$3)&lt;0, 0, ('23 days'!$D34-'23 days'!$D$3)))+(IF(('23 days'!$E34-'23 days'!$E$3)&lt;0, 0, ('23 days'!$E34-'23 days'!$E$3)))+('23 days'!$G34*'23 days'!$F34)+('23 days'!$H34)&lt;0, 0, (IF(('23 days'!$D34-'23 days'!$D$3)&lt;0, 0, ('23 days'!$D34-'23 days'!$D$3)))+(IF(('23 days'!$E34-'23 days'!$E$3)&lt;0, 0, ('23 days'!$E34-'23 days'!$E$3)))+('23 days'!$G34*'23 days'!$F34)+('23 days'!$H34))</f>
        <v>63.814999999999998</v>
      </c>
      <c r="U99" s="158">
        <f t="shared" si="40"/>
        <v>32.185000000000002</v>
      </c>
      <c r="V99" s="154">
        <f t="shared" si="29"/>
        <v>0.84697368421052632</v>
      </c>
      <c r="W99" s="155">
        <f t="shared" si="37"/>
        <v>1.2994116073816531</v>
      </c>
      <c r="X99" s="196">
        <f t="shared" si="41"/>
        <v>39</v>
      </c>
      <c r="Y99" s="213">
        <f t="shared" si="31"/>
        <v>38</v>
      </c>
      <c r="Z99" s="163">
        <f>'23 days'!I34</f>
        <v>1</v>
      </c>
      <c r="AA99" s="154">
        <f>'23 days'!J34</f>
        <v>0.39</v>
      </c>
      <c r="AB99" s="163">
        <f>'23 days'!K34</f>
        <v>0</v>
      </c>
      <c r="AC99" s="154">
        <f>'23 days'!L34</f>
        <v>0</v>
      </c>
      <c r="AD99" s="213">
        <f>'23 days'!M34</f>
        <v>0</v>
      </c>
      <c r="AE99" s="154">
        <f>'23 days'!N34</f>
        <v>0</v>
      </c>
      <c r="AF99" s="163">
        <f t="shared" si="38"/>
        <v>1</v>
      </c>
      <c r="AG99" s="160">
        <f t="shared" si="39"/>
        <v>0.39</v>
      </c>
      <c r="AI99" s="319"/>
      <c r="AJ99" s="162"/>
      <c r="AK99" s="163"/>
      <c r="AL99" s="165"/>
      <c r="AM99" s="319"/>
      <c r="AN99" s="150"/>
      <c r="AO99" s="151"/>
      <c r="AP99" s="150"/>
      <c r="AQ99" s="151"/>
      <c r="AR99" s="149"/>
      <c r="AS99" s="320"/>
    </row>
    <row r="100" spans="11:45" x14ac:dyDescent="0.25">
      <c r="K100" s="164" t="s">
        <v>88</v>
      </c>
      <c r="L100" s="162">
        <f>'23 days'!$A35</f>
        <v>31</v>
      </c>
      <c r="M100" s="163">
        <f t="shared" si="30"/>
        <v>39</v>
      </c>
      <c r="N100" s="163" t="str">
        <f>INDEX(Map!$W$2:$W$67, MATCH('Raw data'!L100, Map!$V$2:$V$67,0))</f>
        <v>T1</v>
      </c>
      <c r="O100" s="165" t="str">
        <f>INDEX(Map!$X$2:$X$67, MATCH('Raw data'!L100, Map!$V$2:$V$67,0))</f>
        <v>R5</v>
      </c>
      <c r="P100" s="158">
        <f>'23 days'!$C35-'23 days'!$C$3</f>
        <v>34.900000000000006</v>
      </c>
      <c r="Q100" s="154">
        <f t="shared" si="26"/>
        <v>0.89487179487179502</v>
      </c>
      <c r="R100" s="155">
        <f t="shared" si="27"/>
        <v>22.110000000000007</v>
      </c>
      <c r="S100" s="328">
        <f t="shared" si="36"/>
        <v>0.56692307692307708</v>
      </c>
      <c r="T100" s="336">
        <f>IF((IF(('23 days'!$D35-'23 days'!$D$3)&lt;0, 0, ('23 days'!$D35-'23 days'!$D$3)))+(IF(('23 days'!$E35-'23 days'!$E$3)&lt;0, 0, ('23 days'!$E35-'23 days'!$E$3)))+('23 days'!$G35*'23 days'!$F35)+('23 days'!$H35)&lt;0, 0, (IF(('23 days'!$D35-'23 days'!$D$3)&lt;0, 0, ('23 days'!$D35-'23 days'!$D$3)))+(IF(('23 days'!$E35-'23 days'!$E$3)&lt;0, 0, ('23 days'!$E35-'23 days'!$E$3)))+('23 days'!$G35*'23 days'!$F35)+('23 days'!$H35))</f>
        <v>65.914999999999992</v>
      </c>
      <c r="U100" s="158">
        <f>H34-T100</f>
        <v>30.085000000000008</v>
      </c>
      <c r="V100" s="154">
        <f t="shared" si="29"/>
        <v>0.77141025641025662</v>
      </c>
      <c r="W100" s="155">
        <f t="shared" si="37"/>
        <v>1.2793856889549848</v>
      </c>
      <c r="X100" s="196">
        <f t="shared" si="41"/>
        <v>39</v>
      </c>
      <c r="Y100" s="213">
        <f t="shared" si="31"/>
        <v>39</v>
      </c>
      <c r="Z100" s="163">
        <f>'23 days'!I35</f>
        <v>0</v>
      </c>
      <c r="AA100" s="154">
        <f>'23 days'!J35</f>
        <v>0</v>
      </c>
      <c r="AB100" s="163">
        <f>'23 days'!K35</f>
        <v>0</v>
      </c>
      <c r="AC100" s="154">
        <f>'23 days'!L35</f>
        <v>0</v>
      </c>
      <c r="AD100" s="213">
        <f>'23 days'!M35</f>
        <v>0</v>
      </c>
      <c r="AE100" s="154">
        <f>'23 days'!N35</f>
        <v>0</v>
      </c>
      <c r="AF100" s="163">
        <f t="shared" si="38"/>
        <v>0</v>
      </c>
      <c r="AG100" s="160">
        <f t="shared" si="39"/>
        <v>0</v>
      </c>
      <c r="AI100" s="319"/>
      <c r="AJ100" s="162"/>
      <c r="AK100" s="163"/>
      <c r="AL100" s="165"/>
      <c r="AM100" s="319"/>
      <c r="AN100" s="150"/>
      <c r="AO100" s="151"/>
      <c r="AP100" s="150"/>
      <c r="AQ100" s="151"/>
      <c r="AR100" s="149"/>
      <c r="AS100" s="320"/>
    </row>
    <row r="101" spans="11:45" x14ac:dyDescent="0.25">
      <c r="K101" s="164" t="s">
        <v>88</v>
      </c>
      <c r="L101" s="162">
        <f>'23 days'!$A36</f>
        <v>32</v>
      </c>
      <c r="M101" s="163">
        <f t="shared" si="30"/>
        <v>40</v>
      </c>
      <c r="N101" s="163" t="str">
        <f>INDEX(Map!$W$2:$W$67, MATCH('Raw data'!L101, Map!$V$2:$V$67,0))</f>
        <v>T6</v>
      </c>
      <c r="O101" s="165" t="str">
        <f>INDEX(Map!$X$2:$X$67, MATCH('Raw data'!L101, Map!$V$2:$V$67,0))</f>
        <v>R5</v>
      </c>
      <c r="P101" s="158">
        <f>'23 days'!$C36-'23 days'!$C$3</f>
        <v>37.099999999999994</v>
      </c>
      <c r="Q101" s="154">
        <f t="shared" si="26"/>
        <v>0.92749999999999988</v>
      </c>
      <c r="R101" s="155">
        <f t="shared" si="27"/>
        <v>23.759999999999994</v>
      </c>
      <c r="S101" s="328">
        <f t="shared" si="36"/>
        <v>0.59399999999999986</v>
      </c>
      <c r="T101" s="336">
        <f>IF((IF(('23 days'!$D36-'23 days'!$D$3)&lt;0, 0, ('23 days'!$D36-'23 days'!$D$3)))+(IF(('23 days'!$E36-'23 days'!$E$3)&lt;0, 0, ('23 days'!$E36-'23 days'!$E$3)))+('23 days'!$G36*'23 days'!$F36)+('23 days'!$H36)&lt;0, 0, (IF(('23 days'!$D36-'23 days'!$D$3)&lt;0, 0, ('23 days'!$D36-'23 days'!$D$3)))+(IF(('23 days'!$E36-'23 days'!$E$3)&lt;0, 0, ('23 days'!$E36-'23 days'!$E$3)))+('23 days'!$G36*'23 days'!$F36)+('23 days'!$H36))</f>
        <v>63.865000000000002</v>
      </c>
      <c r="U101" s="158">
        <f t="shared" si="40"/>
        <v>32.134999999999998</v>
      </c>
      <c r="V101" s="154">
        <f t="shared" si="29"/>
        <v>0.80337499999999995</v>
      </c>
      <c r="W101" s="155">
        <f t="shared" si="37"/>
        <v>1.2704851752021564</v>
      </c>
      <c r="X101" s="196">
        <f t="shared" si="41"/>
        <v>40</v>
      </c>
      <c r="Y101" s="213">
        <f t="shared" si="31"/>
        <v>40</v>
      </c>
      <c r="Z101" s="163">
        <f>'23 days'!I36</f>
        <v>0</v>
      </c>
      <c r="AA101" s="154">
        <f>'23 days'!J36</f>
        <v>0</v>
      </c>
      <c r="AB101" s="163">
        <f>'23 days'!K36</f>
        <v>0</v>
      </c>
      <c r="AC101" s="154">
        <f>'23 days'!L36</f>
        <v>0</v>
      </c>
      <c r="AD101" s="213">
        <f>'23 days'!M36</f>
        <v>0</v>
      </c>
      <c r="AE101" s="154">
        <f>'23 days'!N36</f>
        <v>0</v>
      </c>
      <c r="AF101" s="163">
        <f t="shared" si="38"/>
        <v>0</v>
      </c>
      <c r="AG101" s="160">
        <f t="shared" si="39"/>
        <v>0</v>
      </c>
      <c r="AI101" s="319"/>
      <c r="AJ101" s="162"/>
      <c r="AK101" s="163"/>
      <c r="AL101" s="165"/>
      <c r="AM101" s="319"/>
      <c r="AN101" s="150"/>
      <c r="AO101" s="151"/>
      <c r="AP101" s="150"/>
      <c r="AQ101" s="151"/>
      <c r="AR101" s="149"/>
      <c r="AS101" s="320"/>
    </row>
    <row r="102" spans="11:45" x14ac:dyDescent="0.25">
      <c r="K102" s="164" t="s">
        <v>88</v>
      </c>
      <c r="L102" s="162">
        <f>'23 days'!$A37</f>
        <v>33</v>
      </c>
      <c r="M102" s="163">
        <f t="shared" si="30"/>
        <v>40</v>
      </c>
      <c r="N102" s="163" t="str">
        <f>INDEX(Map!$W$2:$W$67, MATCH('Raw data'!L102, Map!$V$2:$V$67,0))</f>
        <v>T3</v>
      </c>
      <c r="O102" s="165" t="str">
        <f>INDEX(Map!$X$2:$X$67, MATCH('Raw data'!L102, Map!$V$2:$V$67,0))</f>
        <v>R5</v>
      </c>
      <c r="P102" s="158">
        <f>'23 days'!$C37-'23 days'!$C$3</f>
        <v>37.099999999999994</v>
      </c>
      <c r="Q102" s="154">
        <f t="shared" si="26"/>
        <v>0.92749999999999988</v>
      </c>
      <c r="R102" s="155">
        <f t="shared" si="27"/>
        <v>23.459999999999997</v>
      </c>
      <c r="S102" s="328">
        <f t="shared" ref="S102:S133" si="42">Q102-Q36</f>
        <v>0.58649999999999991</v>
      </c>
      <c r="T102" s="336">
        <f>IF((IF(('23 days'!$D37-'23 days'!$D$3)&lt;0, 0, ('23 days'!$D37-'23 days'!$D$3)))+(IF(('23 days'!$E37-'23 days'!$E$3)&lt;0, 0, ('23 days'!$E37-'23 days'!$E$3)))+('23 days'!$G37*'23 days'!$F37)+('23 days'!$H37)&lt;0, 0, (IF(('23 days'!$D37-'23 days'!$D$3)&lt;0, 0, ('23 days'!$D37-'23 days'!$D$3)))+(IF(('23 days'!$E37-'23 days'!$E$3)&lt;0, 0, ('23 days'!$E37-'23 days'!$E$3)))+('23 days'!$G37*'23 days'!$F37)+('23 days'!$H37))</f>
        <v>63.865000000000002</v>
      </c>
      <c r="U102" s="158">
        <f t="shared" si="40"/>
        <v>32.134999999999998</v>
      </c>
      <c r="V102" s="154">
        <f t="shared" si="29"/>
        <v>0.80337499999999995</v>
      </c>
      <c r="W102" s="155">
        <f t="shared" ref="W102:W133" si="43">(U102+U36)/(P102+AG36+AG102)</f>
        <v>1.2853099730458224</v>
      </c>
      <c r="X102" s="196">
        <f t="shared" si="41"/>
        <v>40</v>
      </c>
      <c r="Y102" s="213">
        <f t="shared" si="31"/>
        <v>40</v>
      </c>
      <c r="Z102" s="163">
        <f>'23 days'!I37</f>
        <v>0</v>
      </c>
      <c r="AA102" s="154">
        <f>'23 days'!J37</f>
        <v>0</v>
      </c>
      <c r="AB102" s="163">
        <f>'23 days'!K37</f>
        <v>0</v>
      </c>
      <c r="AC102" s="154">
        <f>'23 days'!L37</f>
        <v>0</v>
      </c>
      <c r="AD102" s="213">
        <f>'23 days'!M37</f>
        <v>0</v>
      </c>
      <c r="AE102" s="154">
        <f>'23 days'!N37</f>
        <v>0</v>
      </c>
      <c r="AF102" s="163">
        <f t="shared" si="38"/>
        <v>0</v>
      </c>
      <c r="AG102" s="160">
        <f t="shared" si="39"/>
        <v>0</v>
      </c>
      <c r="AI102" s="319"/>
      <c r="AJ102" s="162"/>
      <c r="AK102" s="163"/>
      <c r="AL102" s="165"/>
      <c r="AM102" s="319"/>
      <c r="AN102" s="150"/>
      <c r="AO102" s="151"/>
      <c r="AP102" s="150"/>
      <c r="AQ102" s="151"/>
      <c r="AR102" s="149"/>
      <c r="AS102" s="320"/>
    </row>
    <row r="103" spans="11:45" x14ac:dyDescent="0.25">
      <c r="K103" s="164" t="s">
        <v>88</v>
      </c>
      <c r="L103" s="162">
        <f>'23 days'!$A38</f>
        <v>34</v>
      </c>
      <c r="M103" s="163">
        <f t="shared" si="30"/>
        <v>40</v>
      </c>
      <c r="N103" s="163" t="str">
        <f>INDEX(Map!$W$2:$W$67, MATCH('Raw data'!L103, Map!$V$2:$V$67,0))</f>
        <v>T2</v>
      </c>
      <c r="O103" s="165" t="str">
        <f>INDEX(Map!$X$2:$X$67, MATCH('Raw data'!L103, Map!$V$2:$V$67,0))</f>
        <v>R5</v>
      </c>
      <c r="P103" s="158">
        <f>'23 days'!$C38-'23 days'!$C$3</f>
        <v>37.799999999999997</v>
      </c>
      <c r="Q103" s="154">
        <f t="shared" si="26"/>
        <v>0.94499999999999995</v>
      </c>
      <c r="R103" s="155">
        <f t="shared" si="27"/>
        <v>23.81</v>
      </c>
      <c r="S103" s="328">
        <f t="shared" si="42"/>
        <v>0.59524999999999995</v>
      </c>
      <c r="T103" s="336">
        <f>IF((IF(('23 days'!$D38-'23 days'!$D$3)&lt;0, 0, ('23 days'!$D38-'23 days'!$D$3)))+(IF(('23 days'!$E38-'23 days'!$E$3)&lt;0, 0, ('23 days'!$E38-'23 days'!$E$3)))+('23 days'!$G38*'23 days'!$F38)+('23 days'!$H38)&lt;0, 0, (IF(('23 days'!$D38-'23 days'!$D$3)&lt;0, 0, ('23 days'!$D38-'23 days'!$D$3)))+(IF(('23 days'!$E38-'23 days'!$E$3)&lt;0, 0, ('23 days'!$E38-'23 days'!$E$3)))+('23 days'!$G38*'23 days'!$F38)+('23 days'!$H38))</f>
        <v>63.564999999999998</v>
      </c>
      <c r="U103" s="158">
        <f t="shared" si="40"/>
        <v>32.435000000000002</v>
      </c>
      <c r="V103" s="154">
        <f t="shared" si="29"/>
        <v>0.81087500000000001</v>
      </c>
      <c r="W103" s="155">
        <f t="shared" si="43"/>
        <v>1.2813492063492065</v>
      </c>
      <c r="X103" s="196">
        <f t="shared" si="41"/>
        <v>40</v>
      </c>
      <c r="Y103" s="213">
        <f t="shared" si="31"/>
        <v>40</v>
      </c>
      <c r="Z103" s="163">
        <f>'23 days'!I38</f>
        <v>0</v>
      </c>
      <c r="AA103" s="154">
        <f>'23 days'!J38</f>
        <v>0</v>
      </c>
      <c r="AB103" s="163">
        <f>'23 days'!K38</f>
        <v>0</v>
      </c>
      <c r="AC103" s="154">
        <f>'23 days'!L38</f>
        <v>0</v>
      </c>
      <c r="AD103" s="213">
        <f>'23 days'!M38</f>
        <v>0</v>
      </c>
      <c r="AE103" s="154">
        <f>'23 days'!N38</f>
        <v>0</v>
      </c>
      <c r="AF103" s="163">
        <f t="shared" si="38"/>
        <v>0</v>
      </c>
      <c r="AG103" s="160">
        <f t="shared" si="39"/>
        <v>0</v>
      </c>
      <c r="AI103" s="319"/>
      <c r="AJ103" s="162"/>
      <c r="AK103" s="163"/>
      <c r="AL103" s="165"/>
      <c r="AM103" s="319"/>
      <c r="AN103" s="150"/>
      <c r="AO103" s="151"/>
      <c r="AP103" s="150"/>
      <c r="AQ103" s="151"/>
      <c r="AR103" s="149"/>
      <c r="AS103" s="320"/>
    </row>
    <row r="104" spans="11:45" x14ac:dyDescent="0.25">
      <c r="K104" s="164" t="s">
        <v>88</v>
      </c>
      <c r="L104" s="162">
        <f>'23 days'!$A39</f>
        <v>35</v>
      </c>
      <c r="M104" s="163">
        <f t="shared" si="30"/>
        <v>37</v>
      </c>
      <c r="N104" s="163" t="str">
        <f>INDEX(Map!$W$2:$W$67, MATCH('Raw data'!L104, Map!$V$2:$V$67,0))</f>
        <v>T5</v>
      </c>
      <c r="O104" s="165" t="str">
        <f>INDEX(Map!$X$2:$X$67, MATCH('Raw data'!L104, Map!$V$2:$V$67,0))</f>
        <v>R5</v>
      </c>
      <c r="P104" s="158">
        <f>'23 days'!$C39-'23 days'!$C$3</f>
        <v>38.099999999999994</v>
      </c>
      <c r="Q104" s="154">
        <f t="shared" si="26"/>
        <v>1.0297297297297296</v>
      </c>
      <c r="R104" s="155">
        <f t="shared" si="27"/>
        <v>24.909999999999997</v>
      </c>
      <c r="S104" s="328">
        <f t="shared" si="42"/>
        <v>0.67324324324324314</v>
      </c>
      <c r="T104" s="336">
        <f>IF((IF(('23 days'!$D39-'23 days'!$D$3)&lt;0, 0, ('23 days'!$D39-'23 days'!$D$3)))+(IF(('23 days'!$E39-'23 days'!$E$3)&lt;0, 0, ('23 days'!$E39-'23 days'!$E$3)))+('23 days'!$G39*'23 days'!$F39)+('23 days'!$H39)&lt;0, 0, (IF(('23 days'!$D39-'23 days'!$D$3)&lt;0, 0, ('23 days'!$D39-'23 days'!$D$3)))+(IF(('23 days'!$E39-'23 days'!$E$3)&lt;0, 0, ('23 days'!$E39-'23 days'!$E$3)))+('23 days'!$G39*'23 days'!$F39)+('23 days'!$H39))</f>
        <v>63.865000000000002</v>
      </c>
      <c r="U104" s="158">
        <f>H38-T104</f>
        <v>32.134999999999998</v>
      </c>
      <c r="V104" s="154">
        <f t="shared" si="29"/>
        <v>0.86851351351351347</v>
      </c>
      <c r="W104" s="155">
        <f t="shared" si="43"/>
        <v>1.2435990275694411</v>
      </c>
      <c r="X104" s="196">
        <f t="shared" si="41"/>
        <v>37</v>
      </c>
      <c r="Y104" s="213">
        <f t="shared" si="31"/>
        <v>37</v>
      </c>
      <c r="Z104" s="163">
        <f>'23 days'!I39</f>
        <v>0</v>
      </c>
      <c r="AA104" s="154">
        <f>'23 days'!J39</f>
        <v>0</v>
      </c>
      <c r="AB104" s="163">
        <f>'23 days'!K39</f>
        <v>0</v>
      </c>
      <c r="AC104" s="154">
        <f>'23 days'!L39</f>
        <v>0</v>
      </c>
      <c r="AD104" s="213">
        <f>'23 days'!M39</f>
        <v>0</v>
      </c>
      <c r="AE104" s="154">
        <f>'23 days'!N39</f>
        <v>0</v>
      </c>
      <c r="AF104" s="163">
        <f t="shared" si="38"/>
        <v>0</v>
      </c>
      <c r="AG104" s="160">
        <f t="shared" si="39"/>
        <v>0</v>
      </c>
      <c r="AI104" s="319"/>
      <c r="AJ104" s="162"/>
      <c r="AK104" s="163"/>
      <c r="AL104" s="165"/>
      <c r="AM104" s="319"/>
      <c r="AN104" s="150"/>
      <c r="AO104" s="151"/>
      <c r="AP104" s="150"/>
      <c r="AQ104" s="151"/>
      <c r="AR104" s="149"/>
      <c r="AS104" s="320"/>
    </row>
    <row r="105" spans="11:45" x14ac:dyDescent="0.25">
      <c r="K105" s="164" t="s">
        <v>88</v>
      </c>
      <c r="L105" s="162">
        <f>'23 days'!$A40</f>
        <v>36</v>
      </c>
      <c r="M105" s="163">
        <f t="shared" si="30"/>
        <v>37</v>
      </c>
      <c r="N105" s="163" t="str">
        <f>INDEX(Map!$W$2:$W$67, MATCH('Raw data'!L105, Map!$V$2:$V$67,0))</f>
        <v>T4</v>
      </c>
      <c r="O105" s="165" t="str">
        <f>INDEX(Map!$X$2:$X$67, MATCH('Raw data'!L105, Map!$V$2:$V$67,0))</f>
        <v>R5</v>
      </c>
      <c r="P105" s="158">
        <f>'23 days'!$C40-'23 days'!$C$3</f>
        <v>35.799999999999997</v>
      </c>
      <c r="Q105" s="154">
        <f t="shared" si="26"/>
        <v>0.96756756756756745</v>
      </c>
      <c r="R105" s="155">
        <f t="shared" si="27"/>
        <v>23.259999999999998</v>
      </c>
      <c r="S105" s="328">
        <f t="shared" si="42"/>
        <v>0.62864864864864856</v>
      </c>
      <c r="T105" s="336">
        <f>IF((IF(('23 days'!$D40-'23 days'!$D$3)&lt;0, 0, ('23 days'!$D40-'23 days'!$D$3)))+(IF(('23 days'!$E40-'23 days'!$E$3)&lt;0, 0, ('23 days'!$E40-'23 days'!$E$3)))+('23 days'!$G40*'23 days'!$F40)+('23 days'!$H40)&lt;0, 0, (IF(('23 days'!$D40-'23 days'!$D$3)&lt;0, 0, ('23 days'!$D40-'23 days'!$D$3)))+(IF(('23 days'!$E40-'23 days'!$E$3)&lt;0, 0, ('23 days'!$E40-'23 days'!$E$3)))+('23 days'!$G40*'23 days'!$F40)+('23 days'!$H40))</f>
        <v>65.314999999999998</v>
      </c>
      <c r="U105" s="158">
        <f t="shared" si="40"/>
        <v>30.685000000000002</v>
      </c>
      <c r="V105" s="154">
        <f t="shared" si="29"/>
        <v>0.82932432432432435</v>
      </c>
      <c r="W105" s="155">
        <f t="shared" si="43"/>
        <v>1.2777976305011134</v>
      </c>
      <c r="X105" s="196">
        <f t="shared" si="41"/>
        <v>37</v>
      </c>
      <c r="Y105" s="213">
        <f t="shared" si="31"/>
        <v>37</v>
      </c>
      <c r="Z105" s="163">
        <f>'23 days'!I40</f>
        <v>0</v>
      </c>
      <c r="AA105" s="154">
        <f>'23 days'!J40</f>
        <v>0</v>
      </c>
      <c r="AB105" s="163">
        <f>'23 days'!K40</f>
        <v>0</v>
      </c>
      <c r="AC105" s="154">
        <f>'23 days'!L40</f>
        <v>0</v>
      </c>
      <c r="AD105" s="213">
        <f>'23 days'!M40</f>
        <v>0</v>
      </c>
      <c r="AE105" s="154">
        <f>'23 days'!N40</f>
        <v>0</v>
      </c>
      <c r="AF105" s="163">
        <f t="shared" si="38"/>
        <v>0</v>
      </c>
      <c r="AG105" s="160">
        <f t="shared" si="39"/>
        <v>0</v>
      </c>
      <c r="AI105" s="319"/>
      <c r="AJ105" s="162"/>
      <c r="AK105" s="163"/>
      <c r="AL105" s="165"/>
      <c r="AM105" s="319"/>
      <c r="AN105" s="150"/>
      <c r="AO105" s="151"/>
      <c r="AP105" s="150"/>
      <c r="AQ105" s="151"/>
      <c r="AR105" s="149"/>
      <c r="AS105" s="320"/>
    </row>
    <row r="106" spans="11:45" x14ac:dyDescent="0.25">
      <c r="K106" s="164" t="s">
        <v>88</v>
      </c>
      <c r="L106" s="162">
        <f>'23 days'!$A41</f>
        <v>37</v>
      </c>
      <c r="M106" s="163">
        <f t="shared" si="30"/>
        <v>39</v>
      </c>
      <c r="N106" s="163" t="str">
        <f>INDEX(Map!$W$2:$W$67, MATCH('Raw data'!L106, Map!$V$2:$V$67,0))</f>
        <v>T2</v>
      </c>
      <c r="O106" s="165" t="str">
        <f>INDEX(Map!$X$2:$X$67, MATCH('Raw data'!L106, Map!$V$2:$V$67,0))</f>
        <v>R6</v>
      </c>
      <c r="P106" s="158">
        <f>'23 days'!$C41-'23 days'!$C$3</f>
        <v>34.25</v>
      </c>
      <c r="Q106" s="154">
        <f t="shared" si="26"/>
        <v>0.87820512820512819</v>
      </c>
      <c r="R106" s="155">
        <f t="shared" si="27"/>
        <v>20.609749999999998</v>
      </c>
      <c r="S106" s="328">
        <f t="shared" si="42"/>
        <v>0.52845512820512819</v>
      </c>
      <c r="T106" s="336">
        <f>IF((IF(('23 days'!$D41-'23 days'!$D$3)&lt;0, 0, ('23 days'!$D41-'23 days'!$D$3)))+(IF(('23 days'!$E41-'23 days'!$E$3)&lt;0, 0, ('23 days'!$E41-'23 days'!$E$3)))+('23 days'!$G41*'23 days'!$F41)+('23 days'!$H41)&lt;0, 0, (IF(('23 days'!$D41-'23 days'!$D$3)&lt;0, 0, ('23 days'!$D41-'23 days'!$D$3)))+(IF(('23 days'!$E41-'23 days'!$E$3)&lt;0, 0, ('23 days'!$E41-'23 days'!$E$3)))+('23 days'!$G41*'23 days'!$F41)+('23 days'!$H41))</f>
        <v>65.965000000000003</v>
      </c>
      <c r="U106" s="158">
        <f t="shared" si="40"/>
        <v>30.034999999999997</v>
      </c>
      <c r="V106" s="154">
        <f t="shared" si="29"/>
        <v>0.77012820512820501</v>
      </c>
      <c r="W106" s="155">
        <f t="shared" si="43"/>
        <v>1.3223816355810614</v>
      </c>
      <c r="X106" s="196">
        <f t="shared" si="41"/>
        <v>40</v>
      </c>
      <c r="Y106" s="213">
        <f t="shared" si="31"/>
        <v>39</v>
      </c>
      <c r="Z106" s="163">
        <f>'23 days'!I41</f>
        <v>0</v>
      </c>
      <c r="AA106" s="154">
        <f>'23 days'!J41</f>
        <v>0</v>
      </c>
      <c r="AB106" s="163">
        <f>'23 days'!K41</f>
        <v>1</v>
      </c>
      <c r="AC106" s="154">
        <f>'23 days'!L41</f>
        <v>0.6</v>
      </c>
      <c r="AD106" s="213">
        <f>'23 days'!M41</f>
        <v>0</v>
      </c>
      <c r="AE106" s="154">
        <f>'23 days'!N41</f>
        <v>0</v>
      </c>
      <c r="AF106" s="163">
        <f t="shared" si="38"/>
        <v>1</v>
      </c>
      <c r="AG106" s="160">
        <f t="shared" si="39"/>
        <v>0.6</v>
      </c>
      <c r="AI106" s="319"/>
      <c r="AJ106" s="162"/>
      <c r="AK106" s="163"/>
      <c r="AL106" s="165"/>
      <c r="AM106" s="319"/>
      <c r="AN106" s="150"/>
      <c r="AO106" s="151"/>
      <c r="AP106" s="150"/>
      <c r="AQ106" s="151"/>
      <c r="AR106" s="149"/>
      <c r="AS106" s="320"/>
    </row>
    <row r="107" spans="11:45" x14ac:dyDescent="0.25">
      <c r="K107" s="164" t="s">
        <v>88</v>
      </c>
      <c r="L107" s="162">
        <f>'23 days'!$A42</f>
        <v>38</v>
      </c>
      <c r="M107" s="163">
        <f t="shared" si="30"/>
        <v>39</v>
      </c>
      <c r="N107" s="163" t="str">
        <f>INDEX(Map!$W$2:$W$67, MATCH('Raw data'!L107, Map!$V$2:$V$67,0))</f>
        <v>T6</v>
      </c>
      <c r="O107" s="165" t="str">
        <f>INDEX(Map!$X$2:$X$67, MATCH('Raw data'!L107, Map!$V$2:$V$67,0))</f>
        <v>R6</v>
      </c>
      <c r="P107" s="158">
        <f>'23 days'!$C42-'23 days'!$C$3</f>
        <v>38.25</v>
      </c>
      <c r="Q107" s="154">
        <f t="shared" si="26"/>
        <v>0.98076923076923073</v>
      </c>
      <c r="R107" s="155">
        <f t="shared" si="27"/>
        <v>25.340999999999994</v>
      </c>
      <c r="S107" s="328">
        <f t="shared" si="42"/>
        <v>0.64976923076923065</v>
      </c>
      <c r="T107" s="336">
        <f>IF((IF(('23 days'!$D42-'23 days'!$D$3)&lt;0, 0, ('23 days'!$D42-'23 days'!$D$3)))+(IF(('23 days'!$E42-'23 days'!$E$3)&lt;0, 0, ('23 days'!$E42-'23 days'!$E$3)))+('23 days'!$G42*'23 days'!$F42)+('23 days'!$H42)&lt;0, 0, (IF(('23 days'!$D42-'23 days'!$D$3)&lt;0, 0, ('23 days'!$D42-'23 days'!$D$3)))+(IF(('23 days'!$E42-'23 days'!$E$3)&lt;0, 0, ('23 days'!$E42-'23 days'!$E$3)))+('23 days'!$G42*'23 days'!$F42)+('23 days'!$H42))</f>
        <v>63.414999999999999</v>
      </c>
      <c r="U107" s="158">
        <f t="shared" si="40"/>
        <v>32.585000000000001</v>
      </c>
      <c r="V107" s="154">
        <f t="shared" si="29"/>
        <v>0.8355128205128205</v>
      </c>
      <c r="W107" s="155">
        <f t="shared" si="43"/>
        <v>1.2212628865979382</v>
      </c>
      <c r="X107" s="196">
        <f t="shared" si="41"/>
        <v>40</v>
      </c>
      <c r="Y107" s="213">
        <f t="shared" si="31"/>
        <v>39</v>
      </c>
      <c r="Z107" s="163">
        <f>'23 days'!I42</f>
        <v>1</v>
      </c>
      <c r="AA107" s="154">
        <f>'23 days'!J42</f>
        <v>0.55000000000000004</v>
      </c>
      <c r="AB107" s="163">
        <f>'23 days'!K42</f>
        <v>0</v>
      </c>
      <c r="AC107" s="154">
        <f>'23 days'!L42</f>
        <v>0</v>
      </c>
      <c r="AD107" s="213">
        <f>'23 days'!M42</f>
        <v>0</v>
      </c>
      <c r="AE107" s="154">
        <f>'23 days'!N42</f>
        <v>0</v>
      </c>
      <c r="AF107" s="163">
        <f t="shared" si="38"/>
        <v>1</v>
      </c>
      <c r="AG107" s="160">
        <f t="shared" si="39"/>
        <v>0.55000000000000004</v>
      </c>
      <c r="AI107" s="319"/>
      <c r="AJ107" s="162"/>
      <c r="AK107" s="163"/>
      <c r="AL107" s="165"/>
      <c r="AM107" s="319"/>
      <c r="AN107" s="150"/>
      <c r="AO107" s="151"/>
      <c r="AP107" s="150"/>
      <c r="AQ107" s="151"/>
      <c r="AR107" s="149"/>
      <c r="AS107" s="320"/>
    </row>
    <row r="108" spans="11:45" x14ac:dyDescent="0.25">
      <c r="K108" s="164" t="s">
        <v>88</v>
      </c>
      <c r="L108" s="162">
        <f>'23 days'!$A43</f>
        <v>39</v>
      </c>
      <c r="M108" s="163">
        <f t="shared" si="30"/>
        <v>38</v>
      </c>
      <c r="N108" s="163" t="str">
        <f>INDEX(Map!$W$2:$W$67, MATCH('Raw data'!L108, Map!$V$2:$V$67,0))</f>
        <v>T4</v>
      </c>
      <c r="O108" s="165" t="str">
        <f>INDEX(Map!$X$2:$X$67, MATCH('Raw data'!L108, Map!$V$2:$V$67,0))</f>
        <v>R6</v>
      </c>
      <c r="P108" s="158">
        <f>'23 days'!$C43-'23 days'!$C$3</f>
        <v>37.650000000000006</v>
      </c>
      <c r="Q108" s="154">
        <f t="shared" si="26"/>
        <v>0.99078947368421066</v>
      </c>
      <c r="R108" s="155">
        <f t="shared" si="27"/>
        <v>24.110000000000007</v>
      </c>
      <c r="S108" s="328">
        <f t="shared" si="42"/>
        <v>0.63447368421052652</v>
      </c>
      <c r="T108" s="336">
        <f>IF((IF(('23 days'!$D43-'23 days'!$D$3)&lt;0, 0, ('23 days'!$D43-'23 days'!$D$3)))+(IF(('23 days'!$E43-'23 days'!$E$3)&lt;0, 0, ('23 days'!$E43-'23 days'!$E$3)))+('23 days'!$G43*'23 days'!$F43)+('23 days'!$H43)&lt;0, 0, (IF(('23 days'!$D43-'23 days'!$D$3)&lt;0, 0, ('23 days'!$D43-'23 days'!$D$3)))+(IF(('23 days'!$E43-'23 days'!$E$3)&lt;0, 0, ('23 days'!$E43-'23 days'!$E$3)))+('23 days'!$G43*'23 days'!$F43)+('23 days'!$H43))</f>
        <v>63.615000000000002</v>
      </c>
      <c r="U108" s="158">
        <f t="shared" si="40"/>
        <v>32.384999999999998</v>
      </c>
      <c r="V108" s="154">
        <f t="shared" si="29"/>
        <v>0.85223684210526307</v>
      </c>
      <c r="W108" s="155">
        <f t="shared" si="43"/>
        <v>1.2671287024349105</v>
      </c>
      <c r="X108" s="196">
        <f t="shared" si="41"/>
        <v>38</v>
      </c>
      <c r="Y108" s="213">
        <f t="shared" si="31"/>
        <v>38</v>
      </c>
      <c r="Z108" s="163">
        <f>'23 days'!I43</f>
        <v>0</v>
      </c>
      <c r="AA108" s="154">
        <f>'23 days'!J43</f>
        <v>0</v>
      </c>
      <c r="AB108" s="163">
        <f>'23 days'!K43</f>
        <v>0</v>
      </c>
      <c r="AC108" s="154">
        <f>'23 days'!L43</f>
        <v>0</v>
      </c>
      <c r="AD108" s="213">
        <f>'23 days'!M43</f>
        <v>0</v>
      </c>
      <c r="AE108" s="154">
        <f>'23 days'!N43</f>
        <v>0</v>
      </c>
      <c r="AF108" s="163">
        <f t="shared" si="38"/>
        <v>0</v>
      </c>
      <c r="AG108" s="160">
        <f t="shared" si="39"/>
        <v>0</v>
      </c>
      <c r="AI108" s="319"/>
      <c r="AJ108" s="162"/>
      <c r="AK108" s="163"/>
      <c r="AL108" s="165"/>
      <c r="AM108" s="319"/>
      <c r="AN108" s="150"/>
      <c r="AO108" s="151"/>
      <c r="AP108" s="150"/>
      <c r="AQ108" s="151"/>
      <c r="AR108" s="149"/>
      <c r="AS108" s="320"/>
    </row>
    <row r="109" spans="11:45" x14ac:dyDescent="0.25">
      <c r="K109" s="164" t="s">
        <v>88</v>
      </c>
      <c r="L109" s="162">
        <f>'23 days'!$A44</f>
        <v>40</v>
      </c>
      <c r="M109" s="163">
        <f t="shared" si="30"/>
        <v>40</v>
      </c>
      <c r="N109" s="163" t="str">
        <f>INDEX(Map!$W$2:$W$67, MATCH('Raw data'!L109, Map!$V$2:$V$67,0))</f>
        <v>T3</v>
      </c>
      <c r="O109" s="165" t="str">
        <f>INDEX(Map!$X$2:$X$67, MATCH('Raw data'!L109, Map!$V$2:$V$67,0))</f>
        <v>R6</v>
      </c>
      <c r="P109" s="158">
        <f>'23 days'!$C44-'23 days'!$C$3</f>
        <v>38.200000000000003</v>
      </c>
      <c r="Q109" s="154">
        <f t="shared" si="26"/>
        <v>0.95500000000000007</v>
      </c>
      <c r="R109" s="155">
        <f t="shared" si="27"/>
        <v>24.410000000000004</v>
      </c>
      <c r="S109" s="328">
        <f t="shared" si="42"/>
        <v>0.61025000000000007</v>
      </c>
      <c r="T109" s="336">
        <f>IF((IF(('23 days'!$D44-'23 days'!$D$3)&lt;0, 0, ('23 days'!$D44-'23 days'!$D$3)))+(IF(('23 days'!$E44-'23 days'!$E$3)&lt;0, 0, ('23 days'!$E44-'23 days'!$E$3)))+('23 days'!$G44*'23 days'!$F44)+('23 days'!$H44)&lt;0, 0, (IF(('23 days'!$D44-'23 days'!$D$3)&lt;0, 0, ('23 days'!$D44-'23 days'!$D$3)))+(IF(('23 days'!$E44-'23 days'!$E$3)&lt;0, 0, ('23 days'!$E44-'23 days'!$E$3)))+('23 days'!$G44*'23 days'!$F44)+('23 days'!$H44))</f>
        <v>63.115000000000002</v>
      </c>
      <c r="U109" s="158">
        <f t="shared" si="40"/>
        <v>32.884999999999998</v>
      </c>
      <c r="V109" s="154">
        <f t="shared" si="29"/>
        <v>0.82212499999999999</v>
      </c>
      <c r="W109" s="155">
        <f t="shared" si="43"/>
        <v>1.2692408376963349</v>
      </c>
      <c r="X109" s="196">
        <f t="shared" si="41"/>
        <v>40</v>
      </c>
      <c r="Y109" s="213">
        <f t="shared" si="31"/>
        <v>40</v>
      </c>
      <c r="Z109" s="163">
        <f>'23 days'!I44</f>
        <v>0</v>
      </c>
      <c r="AA109" s="154">
        <f>'23 days'!J44</f>
        <v>0</v>
      </c>
      <c r="AB109" s="163">
        <f>'23 days'!K44</f>
        <v>0</v>
      </c>
      <c r="AC109" s="154">
        <f>'23 days'!L44</f>
        <v>0</v>
      </c>
      <c r="AD109" s="213">
        <f>'23 days'!M44</f>
        <v>0</v>
      </c>
      <c r="AE109" s="154">
        <f>'23 days'!N44</f>
        <v>0</v>
      </c>
      <c r="AF109" s="163">
        <f t="shared" si="38"/>
        <v>0</v>
      </c>
      <c r="AG109" s="160">
        <f t="shared" si="39"/>
        <v>0</v>
      </c>
      <c r="AI109" s="319"/>
      <c r="AJ109" s="162"/>
      <c r="AK109" s="163"/>
      <c r="AL109" s="165"/>
      <c r="AM109" s="319"/>
      <c r="AN109" s="150"/>
      <c r="AO109" s="151"/>
      <c r="AP109" s="150"/>
      <c r="AQ109" s="151"/>
      <c r="AR109" s="149"/>
      <c r="AS109" s="320"/>
    </row>
    <row r="110" spans="11:45" x14ac:dyDescent="0.25">
      <c r="K110" s="164" t="s">
        <v>88</v>
      </c>
      <c r="L110" s="162">
        <f>'23 days'!$A45</f>
        <v>41</v>
      </c>
      <c r="M110" s="163">
        <f t="shared" si="30"/>
        <v>40</v>
      </c>
      <c r="N110" s="163" t="str">
        <f>INDEX(Map!$W$2:$W$67, MATCH('Raw data'!L110, Map!$V$2:$V$67,0))</f>
        <v>T1</v>
      </c>
      <c r="O110" s="165" t="str">
        <f>INDEX(Map!$X$2:$X$67, MATCH('Raw data'!L110, Map!$V$2:$V$67,0))</f>
        <v>R6</v>
      </c>
      <c r="P110" s="158">
        <f>'23 days'!$C45-'23 days'!$C$3</f>
        <v>39.450000000000003</v>
      </c>
      <c r="Q110" s="154">
        <f t="shared" si="26"/>
        <v>0.98625000000000007</v>
      </c>
      <c r="R110" s="155">
        <f t="shared" si="27"/>
        <v>24.960000000000004</v>
      </c>
      <c r="S110" s="328">
        <f t="shared" si="42"/>
        <v>0.62400000000000011</v>
      </c>
      <c r="T110" s="336">
        <f>IF((IF(('23 days'!$D45-'23 days'!$D$3)&lt;0, 0, ('23 days'!$D45-'23 days'!$D$3)))+(IF(('23 days'!$E45-'23 days'!$E$3)&lt;0, 0, ('23 days'!$E45-'23 days'!$E$3)))+('23 days'!$G45*'23 days'!$F45)+('23 days'!$H45)&lt;0, 0, (IF(('23 days'!$D45-'23 days'!$D$3)&lt;0, 0, ('23 days'!$D45-'23 days'!$D$3)))+(IF(('23 days'!$E45-'23 days'!$E$3)&lt;0, 0, ('23 days'!$E45-'23 days'!$E$3)))+('23 days'!$G45*'23 days'!$F45)+('23 days'!$H45))</f>
        <v>62.215000000000003</v>
      </c>
      <c r="U110" s="158">
        <f t="shared" si="40"/>
        <v>33.784999999999997</v>
      </c>
      <c r="V110" s="154">
        <f t="shared" si="29"/>
        <v>0.84462499999999996</v>
      </c>
      <c r="W110" s="155">
        <f t="shared" si="43"/>
        <v>1.2733840304182509</v>
      </c>
      <c r="X110" s="196">
        <f t="shared" si="41"/>
        <v>40</v>
      </c>
      <c r="Y110" s="213">
        <f t="shared" si="31"/>
        <v>40</v>
      </c>
      <c r="Z110" s="163">
        <f>'23 days'!I45</f>
        <v>0</v>
      </c>
      <c r="AA110" s="154">
        <f>'23 days'!J45</f>
        <v>0</v>
      </c>
      <c r="AB110" s="163">
        <f>'23 days'!K45</f>
        <v>0</v>
      </c>
      <c r="AC110" s="154">
        <f>'23 days'!L45</f>
        <v>0</v>
      </c>
      <c r="AD110" s="213">
        <f>'23 days'!M45</f>
        <v>0</v>
      </c>
      <c r="AE110" s="154">
        <f>'23 days'!N45</f>
        <v>0</v>
      </c>
      <c r="AF110" s="163">
        <f t="shared" si="38"/>
        <v>0</v>
      </c>
      <c r="AG110" s="160">
        <f t="shared" si="39"/>
        <v>0</v>
      </c>
      <c r="AI110" s="319"/>
      <c r="AJ110" s="162"/>
      <c r="AK110" s="163"/>
      <c r="AL110" s="165"/>
      <c r="AM110" s="319"/>
      <c r="AN110" s="150"/>
      <c r="AO110" s="151"/>
      <c r="AP110" s="150"/>
      <c r="AQ110" s="151"/>
      <c r="AR110" s="149"/>
      <c r="AS110" s="320"/>
    </row>
    <row r="111" spans="11:45" x14ac:dyDescent="0.25">
      <c r="K111" s="164" t="s">
        <v>88</v>
      </c>
      <c r="L111" s="162">
        <f>'23 days'!$A46</f>
        <v>42</v>
      </c>
      <c r="M111" s="163">
        <f t="shared" si="30"/>
        <v>39</v>
      </c>
      <c r="N111" s="163" t="str">
        <f>INDEX(Map!$W$2:$W$67, MATCH('Raw data'!L111, Map!$V$2:$V$67,0))</f>
        <v>T5</v>
      </c>
      <c r="O111" s="165" t="str">
        <f>INDEX(Map!$X$2:$X$67, MATCH('Raw data'!L111, Map!$V$2:$V$67,0))</f>
        <v>R6</v>
      </c>
      <c r="P111" s="158">
        <f>'23 days'!$C46-'23 days'!$C$3</f>
        <v>37.75</v>
      </c>
      <c r="Q111" s="154">
        <f t="shared" si="26"/>
        <v>0.96794871794871795</v>
      </c>
      <c r="R111" s="155">
        <f t="shared" si="27"/>
        <v>23.61</v>
      </c>
      <c r="S111" s="328">
        <f t="shared" si="42"/>
        <v>0.60538461538461541</v>
      </c>
      <c r="T111" s="336">
        <f>IF((IF(('23 days'!$D46-'23 days'!$D$3)&lt;0, 0, ('23 days'!$D46-'23 days'!$D$3)))+(IF(('23 days'!$E46-'23 days'!$E$3)&lt;0, 0, ('23 days'!$E46-'23 days'!$E$3)))+('23 days'!$G46*'23 days'!$F46)+('23 days'!$H46)&lt;0, 0, (IF(('23 days'!$D46-'23 days'!$D$3)&lt;0, 0, ('23 days'!$D46-'23 days'!$D$3)))+(IF(('23 days'!$E46-'23 days'!$E$3)&lt;0, 0, ('23 days'!$E46-'23 days'!$E$3)))+('23 days'!$G46*'23 days'!$F46)+('23 days'!$H46))</f>
        <v>63.564999999999998</v>
      </c>
      <c r="U111" s="158">
        <f t="shared" si="40"/>
        <v>32.435000000000002</v>
      </c>
      <c r="V111" s="154">
        <f t="shared" si="29"/>
        <v>0.83166666666666678</v>
      </c>
      <c r="W111" s="155">
        <f t="shared" si="43"/>
        <v>1.2556190173991222</v>
      </c>
      <c r="X111" s="196">
        <f t="shared" si="41"/>
        <v>39</v>
      </c>
      <c r="Y111" s="213">
        <f t="shared" si="31"/>
        <v>39</v>
      </c>
      <c r="Z111" s="163">
        <f>'23 days'!I46</f>
        <v>0</v>
      </c>
      <c r="AA111" s="154">
        <f>'23 days'!J46</f>
        <v>0</v>
      </c>
      <c r="AB111" s="163">
        <f>'23 days'!K46</f>
        <v>0</v>
      </c>
      <c r="AC111" s="154">
        <f>'23 days'!L46</f>
        <v>0</v>
      </c>
      <c r="AD111" s="213">
        <f>'23 days'!M46</f>
        <v>0</v>
      </c>
      <c r="AE111" s="154">
        <f>'23 days'!N46</f>
        <v>0</v>
      </c>
      <c r="AF111" s="163">
        <f t="shared" si="38"/>
        <v>0</v>
      </c>
      <c r="AG111" s="160">
        <f t="shared" si="39"/>
        <v>0</v>
      </c>
      <c r="AI111" s="319"/>
      <c r="AJ111" s="162"/>
      <c r="AK111" s="163"/>
      <c r="AL111" s="165"/>
      <c r="AM111" s="319"/>
      <c r="AN111" s="150"/>
      <c r="AO111" s="151"/>
      <c r="AP111" s="150"/>
      <c r="AQ111" s="151"/>
      <c r="AR111" s="149"/>
      <c r="AS111" s="320"/>
    </row>
    <row r="112" spans="11:45" x14ac:dyDescent="0.25">
      <c r="K112" s="164" t="s">
        <v>88</v>
      </c>
      <c r="L112" s="162">
        <f>'23 days'!$A47</f>
        <v>43</v>
      </c>
      <c r="M112" s="163">
        <f t="shared" si="30"/>
        <v>38</v>
      </c>
      <c r="N112" s="163" t="str">
        <f>INDEX(Map!$W$2:$W$67, MATCH('Raw data'!L112, Map!$V$2:$V$67,0))</f>
        <v>T6</v>
      </c>
      <c r="O112" s="165" t="str">
        <f>INDEX(Map!$X$2:$X$67, MATCH('Raw data'!L112, Map!$V$2:$V$67,0))</f>
        <v>R11</v>
      </c>
      <c r="P112" s="158">
        <f>'23 days'!$C47-'23 days'!$C$3</f>
        <v>37.049999999999997</v>
      </c>
      <c r="Q112" s="154">
        <f t="shared" si="26"/>
        <v>0.97499999999999998</v>
      </c>
      <c r="R112" s="155">
        <f t="shared" si="27"/>
        <v>23.36</v>
      </c>
      <c r="S112" s="328">
        <f t="shared" si="42"/>
        <v>0.61473684210526314</v>
      </c>
      <c r="T112" s="336">
        <f>IF((IF(('23 days'!$D47-'23 days'!$D$3)&lt;0, 0, ('23 days'!$D47-'23 days'!$D$3)))+(IF(('23 days'!$E47-'23 days'!$E$3)&lt;0, 0, ('23 days'!$E47-'23 days'!$E$3)))+('23 days'!$G47*'23 days'!$F47)+('23 days'!$H47)&lt;0, 0, (IF(('23 days'!$D47-'23 days'!$D$3)&lt;0, 0, ('23 days'!$D47-'23 days'!$D$3)))+(IF(('23 days'!$E47-'23 days'!$E$3)&lt;0, 0, ('23 days'!$E47-'23 days'!$E$3)))+('23 days'!$G47*'23 days'!$F47)+('23 days'!$H47))</f>
        <v>62.215000000000003</v>
      </c>
      <c r="U112" s="158">
        <f t="shared" si="40"/>
        <v>32.084999999999994</v>
      </c>
      <c r="V112" s="154">
        <f t="shared" si="29"/>
        <v>0.84434210526315778</v>
      </c>
      <c r="W112" s="155">
        <f t="shared" si="43"/>
        <v>1.2852306617587792</v>
      </c>
      <c r="X112" s="196">
        <f t="shared" si="41"/>
        <v>38</v>
      </c>
      <c r="Y112" s="213">
        <f t="shared" si="31"/>
        <v>38</v>
      </c>
      <c r="Z112" s="163">
        <f>'23 days'!I47</f>
        <v>0</v>
      </c>
      <c r="AA112" s="154">
        <f>'23 days'!J47</f>
        <v>0</v>
      </c>
      <c r="AB112" s="163">
        <f>'23 days'!K47</f>
        <v>0</v>
      </c>
      <c r="AC112" s="154">
        <f>'23 days'!L47</f>
        <v>0</v>
      </c>
      <c r="AD112" s="213">
        <f>'23 days'!M47</f>
        <v>0</v>
      </c>
      <c r="AE112" s="154">
        <f>'23 days'!N47</f>
        <v>0</v>
      </c>
      <c r="AF112" s="163">
        <f t="shared" si="38"/>
        <v>0</v>
      </c>
      <c r="AG112" s="160">
        <f t="shared" si="39"/>
        <v>0</v>
      </c>
      <c r="AI112" s="319"/>
      <c r="AJ112" s="162"/>
      <c r="AK112" s="163"/>
      <c r="AL112" s="165"/>
      <c r="AM112" s="319"/>
      <c r="AN112" s="150"/>
      <c r="AO112" s="151"/>
      <c r="AP112" s="150"/>
      <c r="AQ112" s="151"/>
      <c r="AR112" s="149"/>
      <c r="AS112" s="320"/>
    </row>
    <row r="113" spans="11:45" x14ac:dyDescent="0.25">
      <c r="K113" s="164" t="s">
        <v>88</v>
      </c>
      <c r="L113" s="162">
        <f>'23 days'!$A48</f>
        <v>44</v>
      </c>
      <c r="M113" s="163">
        <f t="shared" si="30"/>
        <v>39</v>
      </c>
      <c r="N113" s="163" t="str">
        <f>INDEX(Map!$W$2:$W$67, MATCH('Raw data'!L113, Map!$V$2:$V$67,0))</f>
        <v>T4</v>
      </c>
      <c r="O113" s="165" t="str">
        <f>INDEX(Map!$X$2:$X$67, MATCH('Raw data'!L113, Map!$V$2:$V$67,0))</f>
        <v>R11</v>
      </c>
      <c r="P113" s="158">
        <f>'23 days'!$C48-'23 days'!$C$3</f>
        <v>40.099999999999994</v>
      </c>
      <c r="Q113" s="154">
        <f t="shared" si="26"/>
        <v>1.0282051282051281</v>
      </c>
      <c r="R113" s="155">
        <f t="shared" si="27"/>
        <v>25.209999999999994</v>
      </c>
      <c r="S113" s="328">
        <f t="shared" si="42"/>
        <v>0.64641025641025629</v>
      </c>
      <c r="T113" s="336">
        <f>IF((IF(('23 days'!$D48-'23 days'!$D$3)&lt;0, 0, ('23 days'!$D48-'23 days'!$D$3)))+(IF(('23 days'!$E48-'23 days'!$E$3)&lt;0, 0, ('23 days'!$E48-'23 days'!$E$3)))+('23 days'!$G48*'23 days'!$F48)+('23 days'!$H48)&lt;0, 0, (IF(('23 days'!$D48-'23 days'!$D$3)&lt;0, 0, ('23 days'!$D48-'23 days'!$D$3)))+(IF(('23 days'!$E48-'23 days'!$E$3)&lt;0, 0, ('23 days'!$E48-'23 days'!$E$3)))+('23 days'!$G48*'23 days'!$F48)+('23 days'!$H48))</f>
        <v>60.515000000000001</v>
      </c>
      <c r="U113" s="158">
        <f t="shared" si="40"/>
        <v>33.935000000000002</v>
      </c>
      <c r="V113" s="154">
        <f t="shared" si="29"/>
        <v>0.87012820512820521</v>
      </c>
      <c r="W113" s="155">
        <f t="shared" si="43"/>
        <v>1.2629813664596277</v>
      </c>
      <c r="X113" s="196">
        <f t="shared" si="41"/>
        <v>39</v>
      </c>
      <c r="Y113" s="213">
        <f t="shared" si="31"/>
        <v>39</v>
      </c>
      <c r="Z113" s="163">
        <f>'23 days'!I48</f>
        <v>0</v>
      </c>
      <c r="AA113" s="154">
        <f>'23 days'!J48</f>
        <v>0</v>
      </c>
      <c r="AB113" s="163">
        <f>'23 days'!K48</f>
        <v>0</v>
      </c>
      <c r="AC113" s="154">
        <f>'23 days'!L48</f>
        <v>0</v>
      </c>
      <c r="AD113" s="213">
        <f>'23 days'!M48</f>
        <v>0</v>
      </c>
      <c r="AE113" s="154">
        <f>'23 days'!N48</f>
        <v>0</v>
      </c>
      <c r="AF113" s="163">
        <f t="shared" si="38"/>
        <v>0</v>
      </c>
      <c r="AG113" s="160">
        <f t="shared" si="39"/>
        <v>0</v>
      </c>
      <c r="AI113" s="319"/>
      <c r="AJ113" s="162"/>
      <c r="AK113" s="163"/>
      <c r="AL113" s="165"/>
      <c r="AM113" s="319"/>
      <c r="AN113" s="150"/>
      <c r="AO113" s="151"/>
      <c r="AP113" s="150"/>
      <c r="AQ113" s="151"/>
      <c r="AR113" s="149"/>
      <c r="AS113" s="320"/>
    </row>
    <row r="114" spans="11:45" x14ac:dyDescent="0.25">
      <c r="K114" s="164" t="s">
        <v>88</v>
      </c>
      <c r="L114" s="162">
        <f>'23 days'!$A49</f>
        <v>45</v>
      </c>
      <c r="M114" s="163">
        <f t="shared" si="30"/>
        <v>40</v>
      </c>
      <c r="N114" s="163" t="str">
        <f>INDEX(Map!$W$2:$W$67, MATCH('Raw data'!L114, Map!$V$2:$V$67,0))</f>
        <v>T3</v>
      </c>
      <c r="O114" s="165" t="str">
        <f>INDEX(Map!$X$2:$X$67, MATCH('Raw data'!L114, Map!$V$2:$V$67,0))</f>
        <v>R10</v>
      </c>
      <c r="P114" s="158">
        <f>'23 days'!$C49-'23 days'!$C$3</f>
        <v>38.549999999999997</v>
      </c>
      <c r="Q114" s="154">
        <f t="shared" si="26"/>
        <v>0.96374999999999988</v>
      </c>
      <c r="R114" s="155">
        <f t="shared" si="27"/>
        <v>25.159999999999997</v>
      </c>
      <c r="S114" s="328">
        <f t="shared" si="42"/>
        <v>0.62899999999999989</v>
      </c>
      <c r="T114" s="336">
        <f>IF((IF(('23 days'!$D49-'23 days'!$D$3)&lt;0, 0, ('23 days'!$D49-'23 days'!$D$3)))+(IF(('23 days'!$E49-'23 days'!$E$3)&lt;0, 0, ('23 days'!$E49-'23 days'!$E$3)))+('23 days'!$G49*'23 days'!$F49)+('23 days'!$H49)&lt;0, 0, (IF(('23 days'!$D49-'23 days'!$D$3)&lt;0, 0, ('23 days'!$D49-'23 days'!$D$3)))+(IF(('23 days'!$E49-'23 days'!$E$3)&lt;0, 0, ('23 days'!$E49-'23 days'!$E$3)))+('23 days'!$G49*'23 days'!$F49)+('23 days'!$H49))</f>
        <v>62.664999999999999</v>
      </c>
      <c r="U114" s="158">
        <f t="shared" si="40"/>
        <v>33.335000000000001</v>
      </c>
      <c r="V114" s="154">
        <f t="shared" si="29"/>
        <v>0.83337499999999998</v>
      </c>
      <c r="W114" s="155">
        <f t="shared" si="43"/>
        <v>1.2642023346303504</v>
      </c>
      <c r="X114" s="196">
        <f t="shared" si="41"/>
        <v>40</v>
      </c>
      <c r="Y114" s="213">
        <f t="shared" si="31"/>
        <v>40</v>
      </c>
      <c r="Z114" s="163">
        <f>'23 days'!I49</f>
        <v>0</v>
      </c>
      <c r="AA114" s="154">
        <f>'23 days'!J49</f>
        <v>0</v>
      </c>
      <c r="AB114" s="163">
        <f>'23 days'!K49</f>
        <v>0</v>
      </c>
      <c r="AC114" s="154">
        <f>'23 days'!L49</f>
        <v>0</v>
      </c>
      <c r="AD114" s="213">
        <f>'23 days'!M49</f>
        <v>0</v>
      </c>
      <c r="AE114" s="154">
        <f>'23 days'!N49</f>
        <v>0</v>
      </c>
      <c r="AF114" s="163">
        <f t="shared" si="38"/>
        <v>0</v>
      </c>
      <c r="AG114" s="160">
        <f t="shared" si="39"/>
        <v>0</v>
      </c>
      <c r="AI114" s="319"/>
      <c r="AJ114" s="162"/>
      <c r="AK114" s="163"/>
      <c r="AL114" s="165"/>
      <c r="AM114" s="319"/>
      <c r="AN114" s="150"/>
      <c r="AO114" s="151"/>
      <c r="AP114" s="150"/>
      <c r="AQ114" s="151"/>
      <c r="AR114" s="149"/>
      <c r="AS114" s="320"/>
    </row>
    <row r="115" spans="11:45" x14ac:dyDescent="0.25">
      <c r="K115" s="164" t="s">
        <v>88</v>
      </c>
      <c r="L115" s="162">
        <f>'23 days'!$A50</f>
        <v>46</v>
      </c>
      <c r="M115" s="163">
        <f t="shared" si="30"/>
        <v>39</v>
      </c>
      <c r="N115" s="163" t="str">
        <f>INDEX(Map!$W$2:$W$67, MATCH('Raw data'!L115, Map!$V$2:$V$67,0))</f>
        <v>T1</v>
      </c>
      <c r="O115" s="165" t="str">
        <f>INDEX(Map!$X$2:$X$67, MATCH('Raw data'!L115, Map!$V$2:$V$67,0))</f>
        <v>R10</v>
      </c>
      <c r="P115" s="158">
        <f>'23 days'!$C50-'23 days'!$C$3</f>
        <v>39.75</v>
      </c>
      <c r="Q115" s="154">
        <f t="shared" si="26"/>
        <v>1.0192307692307692</v>
      </c>
      <c r="R115" s="155">
        <f t="shared" si="27"/>
        <v>25.41</v>
      </c>
      <c r="S115" s="328">
        <f t="shared" si="42"/>
        <v>0.65153846153846151</v>
      </c>
      <c r="T115" s="336">
        <f>IF((IF(('23 days'!$D50-'23 days'!$D$3)&lt;0, 0, ('23 days'!$D50-'23 days'!$D$3)))+(IF(('23 days'!$E50-'23 days'!$E$3)&lt;0, 0, ('23 days'!$E50-'23 days'!$E$3)))+('23 days'!$G50*'23 days'!$F50)+('23 days'!$H50)&lt;0, 0, (IF(('23 days'!$D50-'23 days'!$D$3)&lt;0, 0, ('23 days'!$D50-'23 days'!$D$3)))+(IF(('23 days'!$E50-'23 days'!$E$3)&lt;0, 0, ('23 days'!$E50-'23 days'!$E$3)))+('23 days'!$G50*'23 days'!$F50)+('23 days'!$H50))</f>
        <v>61.715000000000003</v>
      </c>
      <c r="U115" s="158">
        <f t="shared" si="40"/>
        <v>34.284999999999997</v>
      </c>
      <c r="V115" s="154">
        <f t="shared" si="29"/>
        <v>0.87910256410256404</v>
      </c>
      <c r="W115" s="155">
        <f t="shared" si="43"/>
        <v>1.2802651325662833</v>
      </c>
      <c r="X115" s="196">
        <f t="shared" si="41"/>
        <v>39</v>
      </c>
      <c r="Y115" s="213">
        <f t="shared" si="31"/>
        <v>39</v>
      </c>
      <c r="Z115" s="163">
        <f>'23 days'!I50</f>
        <v>0</v>
      </c>
      <c r="AA115" s="154">
        <f>'23 days'!J50</f>
        <v>0</v>
      </c>
      <c r="AB115" s="163">
        <f>'23 days'!K50</f>
        <v>0</v>
      </c>
      <c r="AC115" s="154">
        <f>'23 days'!L50</f>
        <v>0</v>
      </c>
      <c r="AD115" s="213">
        <f>'23 days'!M50</f>
        <v>0</v>
      </c>
      <c r="AE115" s="154">
        <f>'23 days'!N50</f>
        <v>0</v>
      </c>
      <c r="AF115" s="163">
        <f t="shared" si="38"/>
        <v>0</v>
      </c>
      <c r="AG115" s="160">
        <f t="shared" si="39"/>
        <v>0</v>
      </c>
      <c r="AI115" s="319"/>
      <c r="AJ115" s="162"/>
      <c r="AK115" s="163"/>
      <c r="AL115" s="165"/>
      <c r="AM115" s="319"/>
      <c r="AN115" s="150"/>
      <c r="AO115" s="151"/>
      <c r="AP115" s="150"/>
      <c r="AQ115" s="151"/>
      <c r="AR115" s="149"/>
      <c r="AS115" s="320"/>
    </row>
    <row r="116" spans="11:45" x14ac:dyDescent="0.25">
      <c r="K116" s="164" t="s">
        <v>88</v>
      </c>
      <c r="L116" s="162">
        <f>'23 days'!$A51</f>
        <v>47</v>
      </c>
      <c r="M116" s="163">
        <f t="shared" si="30"/>
        <v>40</v>
      </c>
      <c r="N116" s="163" t="str">
        <f>INDEX(Map!$W$2:$W$67, MATCH('Raw data'!L116, Map!$V$2:$V$67,0))</f>
        <v>T6</v>
      </c>
      <c r="O116" s="165" t="str">
        <f>INDEX(Map!$X$2:$X$67, MATCH('Raw data'!L116, Map!$V$2:$V$67,0))</f>
        <v>R7</v>
      </c>
      <c r="P116" s="158">
        <f>'23 days'!$C51-'23 days'!$C$3</f>
        <v>37.5</v>
      </c>
      <c r="Q116" s="154">
        <f t="shared" si="26"/>
        <v>0.9375</v>
      </c>
      <c r="R116" s="155">
        <f t="shared" si="27"/>
        <v>24.009999999999998</v>
      </c>
      <c r="S116" s="328">
        <f t="shared" si="42"/>
        <v>0.60024999999999995</v>
      </c>
      <c r="T116" s="336">
        <f>IF((IF(('23 days'!$D51-'23 days'!$D$3)&lt;0, 0, ('23 days'!$D51-'23 days'!$D$3)))+(IF(('23 days'!$E51-'23 days'!$E$3)&lt;0, 0, ('23 days'!$E51-'23 days'!$E$3)))+('23 days'!$G51*'23 days'!$F51)+('23 days'!$H51)&lt;0, 0, (IF(('23 days'!$D51-'23 days'!$D$3)&lt;0, 0, ('23 days'!$D51-'23 days'!$D$3)))+(IF(('23 days'!$E51-'23 days'!$E$3)&lt;0, 0, ('23 days'!$E51-'23 days'!$E$3)))+('23 days'!$G51*'23 days'!$F51)+('23 days'!$H51))</f>
        <v>64.015000000000001</v>
      </c>
      <c r="U116" s="158">
        <f t="shared" si="40"/>
        <v>31.984999999999999</v>
      </c>
      <c r="V116" s="154">
        <f t="shared" si="29"/>
        <v>0.79962500000000003</v>
      </c>
      <c r="W116" s="155">
        <f t="shared" si="43"/>
        <v>1.2662666666666667</v>
      </c>
      <c r="X116" s="196">
        <f t="shared" si="41"/>
        <v>40</v>
      </c>
      <c r="Y116" s="213">
        <f t="shared" si="31"/>
        <v>40</v>
      </c>
      <c r="Z116" s="163">
        <f>'23 days'!I51</f>
        <v>0</v>
      </c>
      <c r="AA116" s="154">
        <f>'23 days'!J51</f>
        <v>0</v>
      </c>
      <c r="AB116" s="163">
        <f>'23 days'!K51</f>
        <v>0</v>
      </c>
      <c r="AC116" s="154">
        <f>'23 days'!L51</f>
        <v>0</v>
      </c>
      <c r="AD116" s="213">
        <f>'23 days'!M51</f>
        <v>0</v>
      </c>
      <c r="AE116" s="154">
        <f>'23 days'!N51</f>
        <v>0</v>
      </c>
      <c r="AF116" s="163">
        <f t="shared" si="38"/>
        <v>0</v>
      </c>
      <c r="AG116" s="160">
        <f t="shared" si="39"/>
        <v>0</v>
      </c>
      <c r="AI116" s="319"/>
      <c r="AJ116" s="162"/>
      <c r="AK116" s="163"/>
      <c r="AL116" s="165"/>
      <c r="AM116" s="319"/>
      <c r="AN116" s="150"/>
      <c r="AO116" s="151"/>
      <c r="AP116" s="150"/>
      <c r="AQ116" s="151"/>
      <c r="AR116" s="149"/>
      <c r="AS116" s="320"/>
    </row>
    <row r="117" spans="11:45" x14ac:dyDescent="0.25">
      <c r="K117" s="164" t="s">
        <v>88</v>
      </c>
      <c r="L117" s="162">
        <f>'23 days'!$A52</f>
        <v>48</v>
      </c>
      <c r="M117" s="163">
        <f t="shared" si="30"/>
        <v>38</v>
      </c>
      <c r="N117" s="163" t="str">
        <f>INDEX(Map!$W$2:$W$67, MATCH('Raw data'!L117, Map!$V$2:$V$67,0))</f>
        <v>T4</v>
      </c>
      <c r="O117" s="165" t="str">
        <f>INDEX(Map!$X$2:$X$67, MATCH('Raw data'!L117, Map!$V$2:$V$67,0))</f>
        <v>R7</v>
      </c>
      <c r="P117" s="158">
        <f>'23 days'!$C52-'23 days'!$C$3</f>
        <v>36.549999999999997</v>
      </c>
      <c r="Q117" s="154">
        <f t="shared" si="26"/>
        <v>0.96184210526315783</v>
      </c>
      <c r="R117" s="155">
        <f t="shared" si="27"/>
        <v>23.46</v>
      </c>
      <c r="S117" s="328">
        <f t="shared" si="42"/>
        <v>0.61736842105263157</v>
      </c>
      <c r="T117" s="336">
        <f>IF((IF(('23 days'!$D52-'23 days'!$D$3)&lt;0, 0, ('23 days'!$D52-'23 days'!$D$3)))+(IF(('23 days'!$E52-'23 days'!$E$3)&lt;0, 0, ('23 days'!$E52-'23 days'!$E$3)))+('23 days'!$G52*'23 days'!$F52)+('23 days'!$H52)&lt;0, 0, (IF(('23 days'!$D52-'23 days'!$D$3)&lt;0, 0, ('23 days'!$D52-'23 days'!$D$3)))+(IF(('23 days'!$E52-'23 days'!$E$3)&lt;0, 0, ('23 days'!$E52-'23 days'!$E$3)))+('23 days'!$G52*'23 days'!$F52)+('23 days'!$H52))</f>
        <v>64.064999999999998</v>
      </c>
      <c r="U117" s="158">
        <f t="shared" si="40"/>
        <v>31.935000000000002</v>
      </c>
      <c r="V117" s="154">
        <f t="shared" si="29"/>
        <v>0.84039473684210531</v>
      </c>
      <c r="W117" s="155">
        <f t="shared" si="43"/>
        <v>1.2893530997304585</v>
      </c>
      <c r="X117" s="196">
        <f t="shared" si="41"/>
        <v>38</v>
      </c>
      <c r="Y117" s="213">
        <f t="shared" si="31"/>
        <v>38</v>
      </c>
      <c r="Z117" s="163">
        <f>'23 days'!I52</f>
        <v>0</v>
      </c>
      <c r="AA117" s="154">
        <f>'23 days'!J52</f>
        <v>0</v>
      </c>
      <c r="AB117" s="163">
        <f>'23 days'!K52</f>
        <v>0</v>
      </c>
      <c r="AC117" s="154">
        <f>'23 days'!L52</f>
        <v>0</v>
      </c>
      <c r="AD117" s="213">
        <f>'23 days'!M52</f>
        <v>0</v>
      </c>
      <c r="AE117" s="154">
        <f>'23 days'!N52</f>
        <v>0</v>
      </c>
      <c r="AF117" s="163">
        <f t="shared" si="38"/>
        <v>0</v>
      </c>
      <c r="AG117" s="160">
        <f t="shared" si="39"/>
        <v>0</v>
      </c>
      <c r="AI117" s="319"/>
      <c r="AJ117" s="162"/>
      <c r="AK117" s="163"/>
      <c r="AL117" s="165"/>
      <c r="AM117" s="319"/>
      <c r="AN117" s="150"/>
      <c r="AO117" s="151"/>
      <c r="AP117" s="150"/>
      <c r="AQ117" s="151"/>
      <c r="AR117" s="149"/>
      <c r="AS117" s="320"/>
    </row>
    <row r="118" spans="11:45" x14ac:dyDescent="0.25">
      <c r="K118" s="164" t="s">
        <v>88</v>
      </c>
      <c r="L118" s="162">
        <f>'23 days'!$A53</f>
        <v>49</v>
      </c>
      <c r="M118" s="163">
        <f t="shared" si="30"/>
        <v>39</v>
      </c>
      <c r="N118" s="163" t="str">
        <f>INDEX(Map!$W$2:$W$67, MATCH('Raw data'!L118, Map!$V$2:$V$67,0))</f>
        <v>T5</v>
      </c>
      <c r="O118" s="165" t="str">
        <f>INDEX(Map!$X$2:$X$67, MATCH('Raw data'!L118, Map!$V$2:$V$67,0))</f>
        <v>R7</v>
      </c>
      <c r="P118" s="158">
        <f>'23 days'!$C53-'23 days'!$C$3</f>
        <v>37.700000000000003</v>
      </c>
      <c r="Q118" s="154">
        <f t="shared" si="26"/>
        <v>0.96666666666666679</v>
      </c>
      <c r="R118" s="155">
        <f t="shared" si="27"/>
        <v>24.060000000000009</v>
      </c>
      <c r="S118" s="328">
        <f t="shared" si="42"/>
        <v>0.61692307692307713</v>
      </c>
      <c r="T118" s="336">
        <f>IF((IF(('23 days'!$D53-'23 days'!$D$3)&lt;0, 0, ('23 days'!$D53-'23 days'!$D$3)))+(IF(('23 days'!$E53-'23 days'!$E$3)&lt;0, 0, ('23 days'!$E53-'23 days'!$E$3)))+('23 days'!$G53*'23 days'!$F53)+('23 days'!$H53)&lt;0, 0, (IF(('23 days'!$D53-'23 days'!$D$3)&lt;0, 0, ('23 days'!$D53-'23 days'!$D$3)))+(IF(('23 days'!$E53-'23 days'!$E$3)&lt;0, 0, ('23 days'!$E53-'23 days'!$E$3)))+('23 days'!$G53*'23 days'!$F53)+('23 days'!$H53))</f>
        <v>63.164999999999999</v>
      </c>
      <c r="U118" s="158">
        <f t="shared" si="40"/>
        <v>32.835000000000001</v>
      </c>
      <c r="V118" s="154">
        <f t="shared" si="29"/>
        <v>0.841923076923077</v>
      </c>
      <c r="W118" s="155">
        <f t="shared" si="43"/>
        <v>1.2904464332997934</v>
      </c>
      <c r="X118" s="196">
        <f t="shared" si="41"/>
        <v>39</v>
      </c>
      <c r="Y118" s="213">
        <f t="shared" si="31"/>
        <v>39</v>
      </c>
      <c r="Z118" s="163">
        <f>'23 days'!I53</f>
        <v>0</v>
      </c>
      <c r="AA118" s="154">
        <f>'23 days'!J53</f>
        <v>0</v>
      </c>
      <c r="AB118" s="163">
        <f>'23 days'!K53</f>
        <v>0</v>
      </c>
      <c r="AC118" s="154">
        <f>'23 days'!L53</f>
        <v>0</v>
      </c>
      <c r="AD118" s="213">
        <f>'23 days'!M53</f>
        <v>0</v>
      </c>
      <c r="AE118" s="154">
        <f>'23 days'!N53</f>
        <v>0</v>
      </c>
      <c r="AF118" s="163">
        <f t="shared" si="38"/>
        <v>0</v>
      </c>
      <c r="AG118" s="160">
        <f t="shared" si="39"/>
        <v>0</v>
      </c>
      <c r="AI118" s="319"/>
      <c r="AJ118" s="162"/>
      <c r="AK118" s="163"/>
      <c r="AL118" s="165"/>
      <c r="AM118" s="319"/>
      <c r="AN118" s="150"/>
      <c r="AO118" s="151"/>
      <c r="AP118" s="150"/>
      <c r="AQ118" s="151"/>
      <c r="AR118" s="149"/>
      <c r="AS118" s="320"/>
    </row>
    <row r="119" spans="11:45" x14ac:dyDescent="0.25">
      <c r="K119" s="164" t="s">
        <v>88</v>
      </c>
      <c r="L119" s="162">
        <f>'23 days'!$A54</f>
        <v>50</v>
      </c>
      <c r="M119" s="163">
        <f t="shared" si="30"/>
        <v>38</v>
      </c>
      <c r="N119" s="163" t="str">
        <f>INDEX(Map!$W$2:$W$67, MATCH('Raw data'!L119, Map!$V$2:$V$67,0))</f>
        <v>T1</v>
      </c>
      <c r="O119" s="165" t="str">
        <f>INDEX(Map!$X$2:$X$67, MATCH('Raw data'!L119, Map!$V$2:$V$67,0))</f>
        <v>R7</v>
      </c>
      <c r="P119" s="158">
        <f>'23 days'!$C54-'23 days'!$C$3</f>
        <v>37.5</v>
      </c>
      <c r="Q119" s="154">
        <f t="shared" si="26"/>
        <v>0.98684210526315785</v>
      </c>
      <c r="R119" s="155">
        <f t="shared" si="27"/>
        <v>23.41</v>
      </c>
      <c r="S119" s="328">
        <f t="shared" si="42"/>
        <v>0.61605263157894741</v>
      </c>
      <c r="T119" s="336">
        <f>IF((IF(('23 days'!$D54-'23 days'!$D$3)&lt;0, 0, ('23 days'!$D54-'23 days'!$D$3)))+(IF(('23 days'!$E54-'23 days'!$E$3)&lt;0, 0, ('23 days'!$E54-'23 days'!$E$3)))+('23 days'!$G54*'23 days'!$F54)+('23 days'!$H54)&lt;0, 0, (IF(('23 days'!$D54-'23 days'!$D$3)&lt;0, 0, ('23 days'!$D54-'23 days'!$D$3)))+(IF(('23 days'!$E54-'23 days'!$E$3)&lt;0, 0, ('23 days'!$E54-'23 days'!$E$3)))+('23 days'!$G54*'23 days'!$F54)+('23 days'!$H54))</f>
        <v>64.164999999999992</v>
      </c>
      <c r="U119" s="158">
        <f t="shared" si="40"/>
        <v>31.835000000000008</v>
      </c>
      <c r="V119" s="154">
        <f t="shared" si="29"/>
        <v>0.8377631578947371</v>
      </c>
      <c r="W119" s="155">
        <f t="shared" si="43"/>
        <v>1.2707466146793827</v>
      </c>
      <c r="X119" s="196">
        <f t="shared" si="41"/>
        <v>38</v>
      </c>
      <c r="Y119" s="213">
        <f t="shared" si="31"/>
        <v>38</v>
      </c>
      <c r="Z119" s="163">
        <f>'23 days'!I54</f>
        <v>0</v>
      </c>
      <c r="AA119" s="154">
        <f>'23 days'!J54</f>
        <v>0</v>
      </c>
      <c r="AB119" s="163">
        <f>'23 days'!K54</f>
        <v>0</v>
      </c>
      <c r="AC119" s="154">
        <f>'23 days'!L54</f>
        <v>0</v>
      </c>
      <c r="AD119" s="213">
        <f>'23 days'!M54</f>
        <v>0</v>
      </c>
      <c r="AE119" s="154">
        <f>'23 days'!N54</f>
        <v>0</v>
      </c>
      <c r="AF119" s="163">
        <f t="shared" si="38"/>
        <v>0</v>
      </c>
      <c r="AG119" s="160">
        <f t="shared" si="39"/>
        <v>0</v>
      </c>
      <c r="AI119" s="319"/>
      <c r="AJ119" s="162"/>
      <c r="AK119" s="163"/>
      <c r="AL119" s="165"/>
      <c r="AM119" s="319"/>
      <c r="AN119" s="150"/>
      <c r="AO119" s="151"/>
      <c r="AP119" s="150"/>
      <c r="AQ119" s="151"/>
      <c r="AR119" s="149"/>
      <c r="AS119" s="320"/>
    </row>
    <row r="120" spans="11:45" x14ac:dyDescent="0.25">
      <c r="K120" s="164" t="s">
        <v>88</v>
      </c>
      <c r="L120" s="162">
        <f>'23 days'!$A55</f>
        <v>51</v>
      </c>
      <c r="M120" s="163">
        <f t="shared" si="30"/>
        <v>40</v>
      </c>
      <c r="N120" s="163" t="str">
        <f>INDEX(Map!$W$2:$W$67, MATCH('Raw data'!L120, Map!$V$2:$V$67,0))</f>
        <v>T3</v>
      </c>
      <c r="O120" s="165" t="str">
        <f>INDEX(Map!$X$2:$X$67, MATCH('Raw data'!L120, Map!$V$2:$V$67,0))</f>
        <v>R7</v>
      </c>
      <c r="P120" s="158">
        <f>'23 days'!$C55-'23 days'!$C$3</f>
        <v>37.5</v>
      </c>
      <c r="Q120" s="154">
        <f t="shared" si="26"/>
        <v>0.9375</v>
      </c>
      <c r="R120" s="155">
        <f t="shared" si="27"/>
        <v>23.060000000000002</v>
      </c>
      <c r="S120" s="328">
        <f t="shared" si="42"/>
        <v>0.57650000000000001</v>
      </c>
      <c r="T120" s="336">
        <f>IF((IF(('23 days'!$D55-'23 days'!$D$3)&lt;0, 0, ('23 days'!$D55-'23 days'!$D$3)))+(IF(('23 days'!$E55-'23 days'!$E$3)&lt;0, 0, ('23 days'!$E55-'23 days'!$E$3)))+('23 days'!$G55*'23 days'!$F55)+('23 days'!$H55)&lt;0, 0, (IF(('23 days'!$D55-'23 days'!$D$3)&lt;0, 0, ('23 days'!$D55-'23 days'!$D$3)))+(IF(('23 days'!$E55-'23 days'!$E$3)&lt;0, 0, ('23 days'!$E55-'23 days'!$E$3)))+('23 days'!$G55*'23 days'!$F55)+('23 days'!$H55))</f>
        <v>63.664999999999999</v>
      </c>
      <c r="U120" s="158">
        <f t="shared" si="40"/>
        <v>32.335000000000001</v>
      </c>
      <c r="V120" s="154">
        <f t="shared" si="29"/>
        <v>0.80837500000000007</v>
      </c>
      <c r="W120" s="155">
        <f t="shared" si="43"/>
        <v>1.2956000000000001</v>
      </c>
      <c r="X120" s="196">
        <f t="shared" si="41"/>
        <v>40</v>
      </c>
      <c r="Y120" s="213">
        <f t="shared" si="31"/>
        <v>40</v>
      </c>
      <c r="Z120" s="163">
        <f>'23 days'!I55</f>
        <v>0</v>
      </c>
      <c r="AA120" s="154">
        <f>'23 days'!J55</f>
        <v>0</v>
      </c>
      <c r="AB120" s="163">
        <f>'23 days'!K55</f>
        <v>0</v>
      </c>
      <c r="AC120" s="154">
        <f>'23 days'!L55</f>
        <v>0</v>
      </c>
      <c r="AD120" s="213">
        <f>'23 days'!M55</f>
        <v>0</v>
      </c>
      <c r="AE120" s="154">
        <f>'23 days'!N55</f>
        <v>0</v>
      </c>
      <c r="AF120" s="163">
        <f t="shared" si="38"/>
        <v>0</v>
      </c>
      <c r="AG120" s="160">
        <f t="shared" si="39"/>
        <v>0</v>
      </c>
      <c r="AI120" s="319"/>
      <c r="AJ120" s="162"/>
      <c r="AK120" s="163"/>
      <c r="AL120" s="165"/>
      <c r="AM120" s="319"/>
      <c r="AN120" s="150"/>
      <c r="AO120" s="151"/>
      <c r="AP120" s="150"/>
      <c r="AQ120" s="151"/>
      <c r="AR120" s="149"/>
      <c r="AS120" s="320"/>
    </row>
    <row r="121" spans="11:45" x14ac:dyDescent="0.25">
      <c r="K121" s="164" t="s">
        <v>88</v>
      </c>
      <c r="L121" s="162">
        <f>'23 days'!$A56</f>
        <v>52</v>
      </c>
      <c r="M121" s="163">
        <f t="shared" si="30"/>
        <v>39</v>
      </c>
      <c r="N121" s="163" t="str">
        <f>INDEX(Map!$W$2:$W$67, MATCH('Raw data'!L121, Map!$V$2:$V$67,0))</f>
        <v>T2</v>
      </c>
      <c r="O121" s="165" t="str">
        <f>INDEX(Map!$X$2:$X$67, MATCH('Raw data'!L121, Map!$V$2:$V$67,0))</f>
        <v>R7</v>
      </c>
      <c r="P121" s="158">
        <f>'23 days'!$C56-'23 days'!$C$3</f>
        <v>38.25</v>
      </c>
      <c r="Q121" s="154">
        <f t="shared" si="26"/>
        <v>0.98076923076923073</v>
      </c>
      <c r="R121" s="155">
        <f t="shared" si="27"/>
        <v>23.360000000000003</v>
      </c>
      <c r="S121" s="328">
        <f t="shared" si="42"/>
        <v>0.59897435897435902</v>
      </c>
      <c r="T121" s="336">
        <f>IF((IF(('23 days'!$D56-'23 days'!$D$3)&lt;0, 0, ('23 days'!$D56-'23 days'!$D$3)))+(IF(('23 days'!$E56-'23 days'!$E$3)&lt;0, 0, ('23 days'!$E56-'23 days'!$E$3)))+('23 days'!$G56*'23 days'!$F56)+('23 days'!$H56)&lt;0, 0, (IF(('23 days'!$D56-'23 days'!$D$3)&lt;0, 0, ('23 days'!$D56-'23 days'!$D$3)))+(IF(('23 days'!$E56-'23 days'!$E$3)&lt;0, 0, ('23 days'!$E56-'23 days'!$E$3)))+('23 days'!$G56*'23 days'!$F56)+('23 days'!$H56))</f>
        <v>62.865000000000002</v>
      </c>
      <c r="U121" s="158">
        <f t="shared" si="40"/>
        <v>33.134999999999998</v>
      </c>
      <c r="V121" s="154">
        <f t="shared" si="29"/>
        <v>0.84961538461538455</v>
      </c>
      <c r="W121" s="155">
        <f t="shared" si="43"/>
        <v>1.3009090909090908</v>
      </c>
      <c r="X121" s="196">
        <f t="shared" si="41"/>
        <v>39</v>
      </c>
      <c r="Y121" s="213">
        <f t="shared" si="31"/>
        <v>39</v>
      </c>
      <c r="Z121" s="163">
        <f>'23 days'!I56</f>
        <v>0</v>
      </c>
      <c r="AA121" s="154">
        <f>'23 days'!J56</f>
        <v>0</v>
      </c>
      <c r="AB121" s="163">
        <f>'23 days'!K56</f>
        <v>0</v>
      </c>
      <c r="AC121" s="154">
        <f>'23 days'!L56</f>
        <v>0</v>
      </c>
      <c r="AD121" s="213">
        <f>'23 days'!M56</f>
        <v>0</v>
      </c>
      <c r="AE121" s="154">
        <f>'23 days'!N56</f>
        <v>0</v>
      </c>
      <c r="AF121" s="163">
        <f t="shared" si="38"/>
        <v>0</v>
      </c>
      <c r="AG121" s="160">
        <f t="shared" si="39"/>
        <v>0</v>
      </c>
      <c r="AI121" s="319"/>
      <c r="AJ121" s="162"/>
      <c r="AK121" s="163"/>
      <c r="AL121" s="165"/>
      <c r="AM121" s="319"/>
      <c r="AN121" s="150"/>
      <c r="AO121" s="151"/>
      <c r="AP121" s="150"/>
      <c r="AQ121" s="151"/>
      <c r="AR121" s="149"/>
      <c r="AS121" s="320"/>
    </row>
    <row r="122" spans="11:45" x14ac:dyDescent="0.25">
      <c r="K122" s="164" t="s">
        <v>88</v>
      </c>
      <c r="L122" s="162">
        <f>'23 days'!$A57</f>
        <v>53</v>
      </c>
      <c r="M122" s="163">
        <f t="shared" si="30"/>
        <v>39</v>
      </c>
      <c r="N122" s="163" t="str">
        <f>INDEX(Map!$W$2:$W$67, MATCH('Raw data'!L122, Map!$V$2:$V$67,0))</f>
        <v>T5</v>
      </c>
      <c r="O122" s="165" t="str">
        <f>INDEX(Map!$X$2:$X$67, MATCH('Raw data'!L122, Map!$V$2:$V$67,0))</f>
        <v>R8</v>
      </c>
      <c r="P122" s="158">
        <f>'23 days'!$C57-'23 days'!$C$3</f>
        <v>37.5</v>
      </c>
      <c r="Q122" s="154">
        <f t="shared" si="26"/>
        <v>0.96153846153846156</v>
      </c>
      <c r="R122" s="155">
        <f t="shared" si="27"/>
        <v>23.96</v>
      </c>
      <c r="S122" s="328">
        <f t="shared" si="42"/>
        <v>0.61435897435897435</v>
      </c>
      <c r="T122" s="336">
        <f>IF((IF(('23 days'!$D57-'23 days'!$D$3)&lt;0, 0, ('23 days'!$D57-'23 days'!$D$3)))+(IF(('23 days'!$E57-'23 days'!$E$3)&lt;0, 0, ('23 days'!$E57-'23 days'!$E$3)))+('23 days'!$G57*'23 days'!$F57)+('23 days'!$H57)&lt;0, 0, (IF(('23 days'!$D57-'23 days'!$D$3)&lt;0, 0, ('23 days'!$D57-'23 days'!$D$3)))+(IF(('23 days'!$E57-'23 days'!$E$3)&lt;0, 0, ('23 days'!$E57-'23 days'!$E$3)))+('23 days'!$G57*'23 days'!$F57)+('23 days'!$H57))</f>
        <v>63.664999999999999</v>
      </c>
      <c r="U122" s="158">
        <f t="shared" si="40"/>
        <v>32.335000000000001</v>
      </c>
      <c r="V122" s="154">
        <f t="shared" si="29"/>
        <v>0.82910256410256411</v>
      </c>
      <c r="W122" s="155">
        <f t="shared" si="43"/>
        <v>1.2711258278145696</v>
      </c>
      <c r="X122" s="196">
        <f t="shared" si="41"/>
        <v>39</v>
      </c>
      <c r="Y122" s="213">
        <f t="shared" si="31"/>
        <v>39</v>
      </c>
      <c r="Z122" s="163">
        <f>'23 days'!I57</f>
        <v>0</v>
      </c>
      <c r="AA122" s="154">
        <f>'23 days'!J57</f>
        <v>0</v>
      </c>
      <c r="AB122" s="163">
        <f>'23 days'!K57</f>
        <v>0</v>
      </c>
      <c r="AC122" s="154">
        <f>'23 days'!L57</f>
        <v>0</v>
      </c>
      <c r="AD122" s="213">
        <f>'23 days'!M57</f>
        <v>0</v>
      </c>
      <c r="AE122" s="154">
        <f>'23 days'!N57</f>
        <v>0</v>
      </c>
      <c r="AF122" s="163">
        <f t="shared" si="38"/>
        <v>0</v>
      </c>
      <c r="AG122" s="160">
        <f t="shared" si="39"/>
        <v>0</v>
      </c>
      <c r="AI122" s="319"/>
      <c r="AJ122" s="162"/>
      <c r="AK122" s="163"/>
      <c r="AL122" s="165"/>
      <c r="AM122" s="319"/>
      <c r="AN122" s="150"/>
      <c r="AO122" s="151"/>
      <c r="AP122" s="150"/>
      <c r="AQ122" s="151"/>
      <c r="AR122" s="149"/>
      <c r="AS122" s="320"/>
    </row>
    <row r="123" spans="11:45" x14ac:dyDescent="0.25">
      <c r="K123" s="164" t="s">
        <v>88</v>
      </c>
      <c r="L123" s="162">
        <f>'23 days'!$A58</f>
        <v>54</v>
      </c>
      <c r="M123" s="163">
        <f t="shared" si="30"/>
        <v>37</v>
      </c>
      <c r="N123" s="163" t="str">
        <f>INDEX(Map!$W$2:$W$67, MATCH('Raw data'!L123, Map!$V$2:$V$67,0))</f>
        <v>T4</v>
      </c>
      <c r="O123" s="165" t="str">
        <f>INDEX(Map!$X$2:$X$67, MATCH('Raw data'!L123, Map!$V$2:$V$67,0))</f>
        <v>R8</v>
      </c>
      <c r="P123" s="158">
        <f>'23 days'!$C58-'23 days'!$C$3</f>
        <v>36.599999999999994</v>
      </c>
      <c r="Q123" s="154">
        <f t="shared" si="26"/>
        <v>0.98918918918918908</v>
      </c>
      <c r="R123" s="155">
        <f t="shared" si="27"/>
        <v>23.075526315789467</v>
      </c>
      <c r="S123" s="328">
        <f t="shared" si="42"/>
        <v>0.62366287339971538</v>
      </c>
      <c r="T123" s="336">
        <f>IF((IF(('23 days'!$D58-'23 days'!$D$3)&lt;0, 0, ('23 days'!$D58-'23 days'!$D$3)))+(IF(('23 days'!$E58-'23 days'!$E$3)&lt;0, 0, ('23 days'!$E58-'23 days'!$E$3)))+('23 days'!$G58*'23 days'!$F58)+('23 days'!$H58)&lt;0, 0, (IF(('23 days'!$D58-'23 days'!$D$3)&lt;0, 0, ('23 days'!$D58-'23 days'!$D$3)))+(IF(('23 days'!$E58-'23 days'!$E$3)&lt;0, 0, ('23 days'!$E58-'23 days'!$E$3)))+('23 days'!$G58*'23 days'!$F58)+('23 days'!$H58))</f>
        <v>64.814999999999998</v>
      </c>
      <c r="U123" s="158">
        <f t="shared" si="40"/>
        <v>31.185000000000002</v>
      </c>
      <c r="V123" s="154">
        <f t="shared" si="29"/>
        <v>0.84283783783783794</v>
      </c>
      <c r="W123" s="155">
        <f t="shared" si="43"/>
        <v>1.2572763684913222</v>
      </c>
      <c r="X123" s="196">
        <f t="shared" si="41"/>
        <v>38</v>
      </c>
      <c r="Y123" s="213">
        <f t="shared" si="31"/>
        <v>37</v>
      </c>
      <c r="Z123" s="163">
        <f>'23 days'!I58</f>
        <v>0</v>
      </c>
      <c r="AA123" s="154">
        <f>'23 days'!J58</f>
        <v>0</v>
      </c>
      <c r="AB123" s="163">
        <f>'23 days'!K58</f>
        <v>1</v>
      </c>
      <c r="AC123" s="154">
        <f>'23 days'!L58</f>
        <v>0.45</v>
      </c>
      <c r="AD123" s="213">
        <f>'23 days'!M58</f>
        <v>0</v>
      </c>
      <c r="AE123" s="154">
        <f>'23 days'!N58</f>
        <v>0</v>
      </c>
      <c r="AF123" s="163">
        <f t="shared" si="38"/>
        <v>1</v>
      </c>
      <c r="AG123" s="160">
        <f t="shared" si="39"/>
        <v>0.45</v>
      </c>
      <c r="AI123" s="319"/>
      <c r="AJ123" s="162"/>
      <c r="AK123" s="163"/>
      <c r="AL123" s="165"/>
      <c r="AM123" s="319"/>
      <c r="AN123" s="150"/>
      <c r="AO123" s="151"/>
      <c r="AP123" s="150"/>
      <c r="AQ123" s="151"/>
      <c r="AR123" s="149"/>
      <c r="AS123" s="320"/>
    </row>
    <row r="124" spans="11:45" x14ac:dyDescent="0.25">
      <c r="K124" s="164" t="s">
        <v>88</v>
      </c>
      <c r="L124" s="162">
        <f>'23 days'!$A59</f>
        <v>55</v>
      </c>
      <c r="M124" s="163">
        <f t="shared" si="30"/>
        <v>39</v>
      </c>
      <c r="N124" s="163" t="str">
        <f>INDEX(Map!$W$2:$W$67, MATCH('Raw data'!L124, Map!$V$2:$V$67,0))</f>
        <v>T6</v>
      </c>
      <c r="O124" s="165" t="str">
        <f>INDEX(Map!$X$2:$X$67, MATCH('Raw data'!L124, Map!$V$2:$V$67,0))</f>
        <v>R8</v>
      </c>
      <c r="P124" s="158">
        <f>'23 days'!$C59-'23 days'!$C$3</f>
        <v>38.049999999999997</v>
      </c>
      <c r="Q124" s="154">
        <f t="shared" si="26"/>
        <v>0.97564102564102562</v>
      </c>
      <c r="R124" s="155">
        <f t="shared" si="27"/>
        <v>24.263499999999997</v>
      </c>
      <c r="S124" s="328">
        <f t="shared" si="42"/>
        <v>0.62214102564102558</v>
      </c>
      <c r="T124" s="336">
        <f>IF((IF(('23 days'!$D59-'23 days'!$D$3)&lt;0, 0, ('23 days'!$D59-'23 days'!$D$3)))+(IF(('23 days'!$E59-'23 days'!$E$3)&lt;0, 0, ('23 days'!$E59-'23 days'!$E$3)))+('23 days'!$G59*'23 days'!$F59)+('23 days'!$H59)&lt;0, 0, (IF(('23 days'!$D59-'23 days'!$D$3)&lt;0, 0, ('23 days'!$D59-'23 days'!$D$3)))+(IF(('23 days'!$E59-'23 days'!$E$3)&lt;0, 0, ('23 days'!$E59-'23 days'!$E$3)))+('23 days'!$G59*'23 days'!$F59)+('23 days'!$H59))</f>
        <v>62.465000000000003</v>
      </c>
      <c r="U124" s="158">
        <f t="shared" si="40"/>
        <v>33.534999999999997</v>
      </c>
      <c r="V124" s="154">
        <f t="shared" si="29"/>
        <v>0.85987179487179477</v>
      </c>
      <c r="W124" s="155">
        <f t="shared" si="43"/>
        <v>1.2976871101871104</v>
      </c>
      <c r="X124" s="196">
        <f t="shared" si="41"/>
        <v>40</v>
      </c>
      <c r="Y124" s="213">
        <f t="shared" si="31"/>
        <v>39</v>
      </c>
      <c r="Z124" s="163">
        <f>'23 days'!I59</f>
        <v>1</v>
      </c>
      <c r="AA124" s="154">
        <f>'23 days'!J59</f>
        <v>0.43</v>
      </c>
      <c r="AB124" s="163">
        <f>'23 days'!K59</f>
        <v>0</v>
      </c>
      <c r="AC124" s="154">
        <f>'23 days'!L59</f>
        <v>0</v>
      </c>
      <c r="AD124" s="213">
        <f>'23 days'!M59</f>
        <v>0</v>
      </c>
      <c r="AE124" s="154">
        <f>'23 days'!N59</f>
        <v>0</v>
      </c>
      <c r="AF124" s="163">
        <f t="shared" si="38"/>
        <v>1</v>
      </c>
      <c r="AG124" s="160">
        <f t="shared" si="39"/>
        <v>0.43</v>
      </c>
      <c r="AI124" s="319"/>
      <c r="AJ124" s="162"/>
      <c r="AK124" s="163"/>
      <c r="AL124" s="165"/>
      <c r="AM124" s="319"/>
      <c r="AN124" s="150"/>
      <c r="AO124" s="151"/>
      <c r="AP124" s="150"/>
      <c r="AQ124" s="151"/>
      <c r="AR124" s="149"/>
      <c r="AS124" s="320"/>
    </row>
    <row r="125" spans="11:45" x14ac:dyDescent="0.25">
      <c r="K125" s="164" t="s">
        <v>88</v>
      </c>
      <c r="L125" s="162">
        <f>'23 days'!$A60</f>
        <v>56</v>
      </c>
      <c r="M125" s="163">
        <f t="shared" si="30"/>
        <v>38</v>
      </c>
      <c r="N125" s="163" t="str">
        <f>INDEX(Map!$W$2:$W$67, MATCH('Raw data'!L125, Map!$V$2:$V$67,0))</f>
        <v>T3</v>
      </c>
      <c r="O125" s="165" t="str">
        <f>INDEX(Map!$X$2:$X$67, MATCH('Raw data'!L125, Map!$V$2:$V$67,0))</f>
        <v>R8</v>
      </c>
      <c r="P125" s="158">
        <f>'23 days'!$C60-'23 days'!$C$3</f>
        <v>37.099999999999994</v>
      </c>
      <c r="Q125" s="154">
        <f t="shared" si="26"/>
        <v>0.97631578947368403</v>
      </c>
      <c r="R125" s="155">
        <f t="shared" si="27"/>
        <v>23.712307692307686</v>
      </c>
      <c r="S125" s="328">
        <f t="shared" si="42"/>
        <v>0.6240080971659917</v>
      </c>
      <c r="T125" s="336">
        <f>IF((IF(('23 days'!$D60-'23 days'!$D$3)&lt;0, 0, ('23 days'!$D60-'23 days'!$D$3)))+(IF(('23 days'!$E60-'23 days'!$E$3)&lt;0, 0, ('23 days'!$E60-'23 days'!$E$3)))+('23 days'!$G60*'23 days'!$F60)+('23 days'!$H60)&lt;0, 0, (IF(('23 days'!$D60-'23 days'!$D$3)&lt;0, 0, ('23 days'!$D60-'23 days'!$D$3)))+(IF(('23 days'!$E60-'23 days'!$E$3)&lt;0, 0, ('23 days'!$E60-'23 days'!$E$3)))+('23 days'!$G60*'23 days'!$F60)+('23 days'!$H60))</f>
        <v>64.215000000000003</v>
      </c>
      <c r="U125" s="158">
        <f t="shared" si="40"/>
        <v>31.784999999999997</v>
      </c>
      <c r="V125" s="154">
        <f t="shared" si="29"/>
        <v>0.8364473684210525</v>
      </c>
      <c r="W125" s="155">
        <f t="shared" si="43"/>
        <v>1.2429894179894181</v>
      </c>
      <c r="X125" s="196">
        <f t="shared" si="41"/>
        <v>39</v>
      </c>
      <c r="Y125" s="213">
        <f t="shared" si="31"/>
        <v>38</v>
      </c>
      <c r="Z125" s="163">
        <f>'23 days'!I60</f>
        <v>0</v>
      </c>
      <c r="AA125" s="154">
        <f>'23 days'!J60</f>
        <v>0</v>
      </c>
      <c r="AB125" s="163">
        <f>'23 days'!K60</f>
        <v>1</v>
      </c>
      <c r="AC125" s="154">
        <f>'23 days'!L60</f>
        <v>0.45</v>
      </c>
      <c r="AD125" s="213">
        <f>'23 days'!M60</f>
        <v>0</v>
      </c>
      <c r="AE125" s="154">
        <f>'23 days'!N60</f>
        <v>0</v>
      </c>
      <c r="AF125" s="163">
        <f t="shared" si="38"/>
        <v>1</v>
      </c>
      <c r="AG125" s="160">
        <f t="shared" si="39"/>
        <v>0.45</v>
      </c>
      <c r="AI125" s="319"/>
      <c r="AJ125" s="162"/>
      <c r="AK125" s="163"/>
      <c r="AL125" s="165"/>
      <c r="AM125" s="319"/>
      <c r="AN125" s="150"/>
      <c r="AO125" s="151"/>
      <c r="AP125" s="150"/>
      <c r="AQ125" s="151"/>
      <c r="AR125" s="149"/>
      <c r="AS125" s="320"/>
    </row>
    <row r="126" spans="11:45" x14ac:dyDescent="0.25">
      <c r="K126" s="164" t="s">
        <v>88</v>
      </c>
      <c r="L126" s="162">
        <f>'23 days'!$A61</f>
        <v>57</v>
      </c>
      <c r="M126" s="163">
        <f t="shared" si="30"/>
        <v>37</v>
      </c>
      <c r="N126" s="163" t="str">
        <f>INDEX(Map!$W$2:$W$67, MATCH('Raw data'!L126, Map!$V$2:$V$67,0))</f>
        <v>T2</v>
      </c>
      <c r="O126" s="165" t="str">
        <f>INDEX(Map!$X$2:$X$67, MATCH('Raw data'!L126, Map!$V$2:$V$67,0))</f>
        <v>R8</v>
      </c>
      <c r="P126" s="158">
        <f>'23 days'!$C61-'23 days'!$C$3</f>
        <v>36.349999999999994</v>
      </c>
      <c r="Q126" s="154">
        <f t="shared" si="26"/>
        <v>0.98243243243243228</v>
      </c>
      <c r="R126" s="155">
        <f t="shared" si="27"/>
        <v>22.959999999999994</v>
      </c>
      <c r="S126" s="328">
        <f t="shared" si="42"/>
        <v>0.62054054054054042</v>
      </c>
      <c r="T126" s="336">
        <f>IF((IF(('23 days'!$D61-'23 days'!$D$3)&lt;0, 0, ('23 days'!$D61-'23 days'!$D$3)))+(IF(('23 days'!$E61-'23 days'!$E$3)&lt;0, 0, ('23 days'!$E61-'23 days'!$E$3)))+('23 days'!$G61*'23 days'!$F61)+('23 days'!$H61)&lt;0, 0, (IF(('23 days'!$D61-'23 days'!$D$3)&lt;0, 0, ('23 days'!$D61-'23 days'!$D$3)))+(IF(('23 days'!$E61-'23 days'!$E$3)&lt;0, 0, ('23 days'!$E61-'23 days'!$E$3)))+('23 days'!$G61*'23 days'!$F61)+('23 days'!$H61))</f>
        <v>64.914999999999992</v>
      </c>
      <c r="U126" s="158">
        <f t="shared" si="40"/>
        <v>31.085000000000008</v>
      </c>
      <c r="V126" s="154">
        <f t="shared" si="29"/>
        <v>0.84013513513513538</v>
      </c>
      <c r="W126" s="155">
        <f t="shared" si="43"/>
        <v>1.2847382262831117</v>
      </c>
      <c r="X126" s="196">
        <f t="shared" si="41"/>
        <v>37</v>
      </c>
      <c r="Y126" s="213">
        <f t="shared" si="31"/>
        <v>37</v>
      </c>
      <c r="Z126" s="163">
        <f>'23 days'!I61</f>
        <v>0</v>
      </c>
      <c r="AA126" s="154">
        <f>'23 days'!J61</f>
        <v>0</v>
      </c>
      <c r="AB126" s="163">
        <f>'23 days'!K61</f>
        <v>0</v>
      </c>
      <c r="AC126" s="154">
        <f>'23 days'!L61</f>
        <v>0</v>
      </c>
      <c r="AD126" s="213">
        <f>'23 days'!M61</f>
        <v>0</v>
      </c>
      <c r="AE126" s="154">
        <f>'23 days'!N61</f>
        <v>0</v>
      </c>
      <c r="AF126" s="163">
        <f t="shared" si="38"/>
        <v>0</v>
      </c>
      <c r="AG126" s="160">
        <f t="shared" si="39"/>
        <v>0</v>
      </c>
      <c r="AI126" s="319"/>
      <c r="AJ126" s="162"/>
      <c r="AK126" s="163"/>
      <c r="AL126" s="165"/>
      <c r="AM126" s="319"/>
      <c r="AN126" s="150"/>
      <c r="AO126" s="151"/>
      <c r="AP126" s="150"/>
      <c r="AQ126" s="151"/>
      <c r="AR126" s="149"/>
      <c r="AS126" s="320"/>
    </row>
    <row r="127" spans="11:45" x14ac:dyDescent="0.25">
      <c r="K127" s="164" t="s">
        <v>88</v>
      </c>
      <c r="L127" s="162">
        <f>'23 days'!$A62</f>
        <v>58</v>
      </c>
      <c r="M127" s="163">
        <f t="shared" si="30"/>
        <v>39</v>
      </c>
      <c r="N127" s="163" t="str">
        <f>INDEX(Map!$W$2:$W$67, MATCH('Raw data'!L127, Map!$V$2:$V$67,0))</f>
        <v>T1</v>
      </c>
      <c r="O127" s="165" t="str">
        <f>INDEX(Map!$X$2:$X$67, MATCH('Raw data'!L127, Map!$V$2:$V$67,0))</f>
        <v>R8</v>
      </c>
      <c r="P127" s="158">
        <f>'23 days'!$C62-'23 days'!$C$3</f>
        <v>38.549999999999997</v>
      </c>
      <c r="Q127" s="154">
        <f t="shared" si="26"/>
        <v>0.98846153846153839</v>
      </c>
      <c r="R127" s="155">
        <f t="shared" si="27"/>
        <v>24.259999999999998</v>
      </c>
      <c r="S127" s="328">
        <f t="shared" si="42"/>
        <v>0.62205128205128202</v>
      </c>
      <c r="T127" s="336">
        <f>IF((IF(('23 days'!$D62-'23 days'!$D$3)&lt;0, 0, ('23 days'!$D62-'23 days'!$D$3)))+(IF(('23 days'!$E62-'23 days'!$E$3)&lt;0, 0, ('23 days'!$E62-'23 days'!$E$3)))+('23 days'!$G62*'23 days'!$F62)+('23 days'!$H62)&lt;0, 0, (IF(('23 days'!$D62-'23 days'!$D$3)&lt;0, 0, ('23 days'!$D62-'23 days'!$D$3)))+(IF(('23 days'!$E62-'23 days'!$E$3)&lt;0, 0, ('23 days'!$E62-'23 days'!$E$3)))+('23 days'!$G62*'23 days'!$F62)+('23 days'!$H62))</f>
        <v>63.564999999999998</v>
      </c>
      <c r="U127" s="158">
        <f t="shared" si="40"/>
        <v>32.435000000000002</v>
      </c>
      <c r="V127" s="154">
        <f t="shared" si="29"/>
        <v>0.83166666666666678</v>
      </c>
      <c r="W127" s="155">
        <f t="shared" si="43"/>
        <v>1.2625000000000002</v>
      </c>
      <c r="X127" s="196">
        <f t="shared" si="41"/>
        <v>39</v>
      </c>
      <c r="Y127" s="213">
        <f t="shared" si="31"/>
        <v>39</v>
      </c>
      <c r="Z127" s="163">
        <f>'23 days'!I62</f>
        <v>0</v>
      </c>
      <c r="AA127" s="154">
        <f>'23 days'!J62</f>
        <v>0</v>
      </c>
      <c r="AB127" s="163">
        <f>'23 days'!K62</f>
        <v>0</v>
      </c>
      <c r="AC127" s="154">
        <f>'23 days'!L62</f>
        <v>0</v>
      </c>
      <c r="AD127" s="213">
        <f>'23 days'!M62</f>
        <v>0</v>
      </c>
      <c r="AE127" s="154">
        <f>'23 days'!N62</f>
        <v>0</v>
      </c>
      <c r="AF127" s="163">
        <f t="shared" si="38"/>
        <v>0</v>
      </c>
      <c r="AG127" s="160">
        <f t="shared" si="39"/>
        <v>0</v>
      </c>
      <c r="AI127" s="319"/>
      <c r="AJ127" s="162"/>
      <c r="AK127" s="163"/>
      <c r="AL127" s="165"/>
      <c r="AM127" s="319"/>
      <c r="AN127" s="150"/>
      <c r="AO127" s="151"/>
      <c r="AP127" s="150"/>
      <c r="AQ127" s="151"/>
      <c r="AR127" s="149"/>
      <c r="AS127" s="320"/>
    </row>
    <row r="128" spans="11:45" x14ac:dyDescent="0.25">
      <c r="K128" s="164" t="s">
        <v>88</v>
      </c>
      <c r="L128" s="162">
        <f>'23 days'!$A63</f>
        <v>59</v>
      </c>
      <c r="M128" s="163">
        <f t="shared" si="30"/>
        <v>40</v>
      </c>
      <c r="N128" s="163" t="str">
        <f>INDEX(Map!$W$2:$W$67, MATCH('Raw data'!L128, Map!$V$2:$V$67,0))</f>
        <v>T3</v>
      </c>
      <c r="O128" s="165" t="str">
        <f>INDEX(Map!$X$2:$X$67, MATCH('Raw data'!L128, Map!$V$2:$V$67,0))</f>
        <v>R9</v>
      </c>
      <c r="P128" s="158">
        <f>'23 days'!$C63-'23 days'!$C$3</f>
        <v>38.5</v>
      </c>
      <c r="Q128" s="154">
        <f t="shared" si="26"/>
        <v>0.96250000000000002</v>
      </c>
      <c r="R128" s="155">
        <f t="shared" si="27"/>
        <v>24.51</v>
      </c>
      <c r="S128" s="328">
        <f t="shared" si="42"/>
        <v>0.61275000000000002</v>
      </c>
      <c r="T128" s="336">
        <f>IF((IF(('23 days'!$D63-'23 days'!$D$3)&lt;0, 0, ('23 days'!$D63-'23 days'!$D$3)))+(IF(('23 days'!$E63-'23 days'!$E$3)&lt;0, 0, ('23 days'!$E63-'23 days'!$E$3)))+('23 days'!$G63*'23 days'!$F63)+('23 days'!$H63)&lt;0, 0, (IF(('23 days'!$D63-'23 days'!$D$3)&lt;0, 0, ('23 days'!$D63-'23 days'!$D$3)))+(IF(('23 days'!$E63-'23 days'!$E$3)&lt;0, 0, ('23 days'!$E63-'23 days'!$E$3)))+('23 days'!$G63*'23 days'!$F63)+('23 days'!$H63))</f>
        <v>63.265000000000001</v>
      </c>
      <c r="U128" s="158">
        <f t="shared" si="40"/>
        <v>32.734999999999999</v>
      </c>
      <c r="V128" s="154">
        <f t="shared" si="29"/>
        <v>0.81837499999999996</v>
      </c>
      <c r="W128" s="155">
        <f t="shared" si="43"/>
        <v>1.2762337662337662</v>
      </c>
      <c r="X128" s="196">
        <f t="shared" si="41"/>
        <v>40</v>
      </c>
      <c r="Y128" s="213">
        <f t="shared" si="31"/>
        <v>40</v>
      </c>
      <c r="Z128" s="163">
        <f>'23 days'!I63</f>
        <v>0</v>
      </c>
      <c r="AA128" s="154">
        <f>'23 days'!J63</f>
        <v>0</v>
      </c>
      <c r="AB128" s="163">
        <f>'23 days'!K63</f>
        <v>0</v>
      </c>
      <c r="AC128" s="154">
        <f>'23 days'!L63</f>
        <v>0</v>
      </c>
      <c r="AD128" s="213">
        <f>'23 days'!M63</f>
        <v>0</v>
      </c>
      <c r="AE128" s="154">
        <f>'23 days'!N63</f>
        <v>0</v>
      </c>
      <c r="AF128" s="163">
        <f t="shared" si="38"/>
        <v>0</v>
      </c>
      <c r="AG128" s="160">
        <f t="shared" si="39"/>
        <v>0</v>
      </c>
      <c r="AI128" s="319"/>
      <c r="AJ128" s="162"/>
      <c r="AK128" s="163"/>
      <c r="AL128" s="165"/>
      <c r="AM128" s="319"/>
      <c r="AN128" s="150"/>
      <c r="AO128" s="151"/>
      <c r="AP128" s="150"/>
      <c r="AQ128" s="151"/>
      <c r="AR128" s="149"/>
      <c r="AS128" s="320"/>
    </row>
    <row r="129" spans="11:45" x14ac:dyDescent="0.25">
      <c r="K129" s="164" t="s">
        <v>88</v>
      </c>
      <c r="L129" s="162">
        <f>'23 days'!$A64</f>
        <v>60</v>
      </c>
      <c r="M129" s="163">
        <f t="shared" si="30"/>
        <v>39</v>
      </c>
      <c r="N129" s="163" t="str">
        <f>INDEX(Map!$W$2:$W$67, MATCH('Raw data'!L129, Map!$V$2:$V$67,0))</f>
        <v>T5</v>
      </c>
      <c r="O129" s="165" t="str">
        <f>INDEX(Map!$X$2:$X$67, MATCH('Raw data'!L129, Map!$V$2:$V$67,0))</f>
        <v>R9</v>
      </c>
      <c r="P129" s="158">
        <f>'23 days'!$C64-'23 days'!$C$3</f>
        <v>38.799999999999997</v>
      </c>
      <c r="Q129" s="154">
        <f t="shared" si="26"/>
        <v>0.99487179487179478</v>
      </c>
      <c r="R129" s="155">
        <f t="shared" si="27"/>
        <v>24.477249999999998</v>
      </c>
      <c r="S129" s="328">
        <f t="shared" si="42"/>
        <v>0.62762179487179481</v>
      </c>
      <c r="T129" s="336">
        <f>IF((IF(('23 days'!$D64-'23 days'!$D$3)&lt;0, 0, ('23 days'!$D64-'23 days'!$D$3)))+(IF(('23 days'!$E64-'23 days'!$E$3)&lt;0, 0, ('23 days'!$E64-'23 days'!$E$3)))+('23 days'!$G64*'23 days'!$F64)+('23 days'!$H64)&lt;0, 0, (IF(('23 days'!$D64-'23 days'!$D$3)&lt;0, 0, ('23 days'!$D64-'23 days'!$D$3)))+(IF(('23 days'!$E64-'23 days'!$E$3)&lt;0, 0, ('23 days'!$E64-'23 days'!$E$3)))+('23 days'!$G64*'23 days'!$F64)+('23 days'!$H64))</f>
        <v>62.465000000000003</v>
      </c>
      <c r="U129" s="158">
        <f t="shared" si="40"/>
        <v>33.534999999999997</v>
      </c>
      <c r="V129" s="154">
        <f t="shared" si="29"/>
        <v>0.85987179487179477</v>
      </c>
      <c r="W129" s="155">
        <f t="shared" si="43"/>
        <v>1.2738520408163265</v>
      </c>
      <c r="X129" s="196">
        <f t="shared" si="41"/>
        <v>40</v>
      </c>
      <c r="Y129" s="213">
        <f t="shared" si="31"/>
        <v>39</v>
      </c>
      <c r="Z129" s="163">
        <f>'23 days'!I64</f>
        <v>0</v>
      </c>
      <c r="AA129" s="154">
        <f>'23 days'!J64</f>
        <v>0</v>
      </c>
      <c r="AB129" s="163">
        <f>'23 days'!K64</f>
        <v>1</v>
      </c>
      <c r="AC129" s="154">
        <f>'23 days'!L64</f>
        <v>0.4</v>
      </c>
      <c r="AD129" s="213">
        <f>'23 days'!M64</f>
        <v>0</v>
      </c>
      <c r="AE129" s="154">
        <f>'23 days'!N64</f>
        <v>0</v>
      </c>
      <c r="AF129" s="163">
        <f t="shared" si="38"/>
        <v>1</v>
      </c>
      <c r="AG129" s="160">
        <f t="shared" si="39"/>
        <v>0.4</v>
      </c>
      <c r="AI129" s="319"/>
      <c r="AJ129" s="162"/>
      <c r="AK129" s="163"/>
      <c r="AL129" s="165"/>
      <c r="AM129" s="319"/>
      <c r="AN129" s="150"/>
      <c r="AO129" s="151"/>
      <c r="AP129" s="150"/>
      <c r="AQ129" s="151"/>
      <c r="AR129" s="149"/>
      <c r="AS129" s="320"/>
    </row>
    <row r="130" spans="11:45" x14ac:dyDescent="0.25">
      <c r="K130" s="164" t="s">
        <v>88</v>
      </c>
      <c r="L130" s="162">
        <f>'23 days'!$A65</f>
        <v>61</v>
      </c>
      <c r="M130" s="163">
        <f t="shared" si="30"/>
        <v>37</v>
      </c>
      <c r="N130" s="163" t="str">
        <f>INDEX(Map!$W$2:$W$67, MATCH('Raw data'!L130, Map!$V$2:$V$67,0))</f>
        <v>T2</v>
      </c>
      <c r="O130" s="165" t="str">
        <f>INDEX(Map!$X$2:$X$67, MATCH('Raw data'!L130, Map!$V$2:$V$67,0))</f>
        <v>R9</v>
      </c>
      <c r="P130" s="158">
        <f>'23 days'!$C65-'23 days'!$C$3</f>
        <v>37.75</v>
      </c>
      <c r="Q130" s="154">
        <f t="shared" si="26"/>
        <v>1.0202702702702702</v>
      </c>
      <c r="R130" s="155">
        <f t="shared" si="27"/>
        <v>24.209999999999994</v>
      </c>
      <c r="S130" s="328">
        <f t="shared" si="42"/>
        <v>0.65432432432432419</v>
      </c>
      <c r="T130" s="336">
        <f>IF((IF(('23 days'!$D65-'23 days'!$D$3)&lt;0, 0, ('23 days'!$D65-'23 days'!$D$3)))+(IF(('23 days'!$E65-'23 days'!$E$3)&lt;0, 0, ('23 days'!$E65-'23 days'!$E$3)))+('23 days'!$G65*'23 days'!$F65)+('23 days'!$H65)&lt;0, 0, (IF(('23 days'!$D65-'23 days'!$D$3)&lt;0, 0, ('23 days'!$D65-'23 days'!$D$3)))+(IF(('23 days'!$E65-'23 days'!$E$3)&lt;0, 0, ('23 days'!$E65-'23 days'!$E$3)))+('23 days'!$G65*'23 days'!$F65)+('23 days'!$H65))</f>
        <v>63.515000000000001</v>
      </c>
      <c r="U130" s="158">
        <f t="shared" si="40"/>
        <v>32.484999999999999</v>
      </c>
      <c r="V130" s="154">
        <f t="shared" si="29"/>
        <v>0.87797297297297294</v>
      </c>
      <c r="W130" s="155">
        <f t="shared" si="43"/>
        <v>1.2690082969089433</v>
      </c>
      <c r="X130" s="196">
        <f t="shared" si="41"/>
        <v>37</v>
      </c>
      <c r="Y130" s="213">
        <f t="shared" si="31"/>
        <v>37</v>
      </c>
      <c r="Z130" s="163">
        <f>'23 days'!I65</f>
        <v>0</v>
      </c>
      <c r="AA130" s="154">
        <f>'23 days'!J65</f>
        <v>0</v>
      </c>
      <c r="AB130" s="163">
        <f>'23 days'!K65</f>
        <v>0</v>
      </c>
      <c r="AC130" s="154">
        <f>'23 days'!L65</f>
        <v>0</v>
      </c>
      <c r="AD130" s="213">
        <f>'23 days'!M65</f>
        <v>0</v>
      </c>
      <c r="AE130" s="154">
        <f>'23 days'!N65</f>
        <v>0</v>
      </c>
      <c r="AF130" s="163">
        <f t="shared" si="38"/>
        <v>0</v>
      </c>
      <c r="AG130" s="160">
        <f t="shared" si="39"/>
        <v>0</v>
      </c>
      <c r="AI130" s="319"/>
      <c r="AJ130" s="162"/>
      <c r="AK130" s="163"/>
      <c r="AL130" s="165"/>
      <c r="AM130" s="319"/>
      <c r="AN130" s="150"/>
      <c r="AO130" s="151"/>
      <c r="AP130" s="150"/>
      <c r="AQ130" s="151"/>
      <c r="AR130" s="149"/>
      <c r="AS130" s="320"/>
    </row>
    <row r="131" spans="11:45" x14ac:dyDescent="0.25">
      <c r="K131" s="164" t="s">
        <v>88</v>
      </c>
      <c r="L131" s="162">
        <f>'23 days'!$A66</f>
        <v>62</v>
      </c>
      <c r="M131" s="163">
        <f t="shared" si="30"/>
        <v>38</v>
      </c>
      <c r="N131" s="163" t="str">
        <f>INDEX(Map!$W$2:$W$67, MATCH('Raw data'!L131, Map!$V$2:$V$67,0))</f>
        <v>T6</v>
      </c>
      <c r="O131" s="165" t="str">
        <f>INDEX(Map!$X$2:$X$67, MATCH('Raw data'!L131, Map!$V$2:$V$67,0))</f>
        <v>R9</v>
      </c>
      <c r="P131" s="158">
        <f>'23 days'!$C66-'23 days'!$C$3</f>
        <v>38.099999999999994</v>
      </c>
      <c r="Q131" s="154">
        <f t="shared" si="26"/>
        <v>1.0026315789473683</v>
      </c>
      <c r="R131" s="155">
        <f t="shared" si="27"/>
        <v>25.236999999999995</v>
      </c>
      <c r="S131" s="328">
        <f t="shared" si="42"/>
        <v>0.6641315789473683</v>
      </c>
      <c r="T131" s="336">
        <f>IF((IF(('23 days'!$D66-'23 days'!$D$3)&lt;0, 0, ('23 days'!$D66-'23 days'!$D$3)))+(IF(('23 days'!$E66-'23 days'!$E$3)&lt;0, 0, ('23 days'!$E66-'23 days'!$E$3)))+('23 days'!$G66*'23 days'!$F66)+('23 days'!$H66)&lt;0, 0, (IF(('23 days'!$D66-'23 days'!$D$3)&lt;0, 0, ('23 days'!$D66-'23 days'!$D$3)))+(IF(('23 days'!$E66-'23 days'!$E$3)&lt;0, 0, ('23 days'!$E66-'23 days'!$E$3)))+('23 days'!$G66*'23 days'!$F66)+('23 days'!$H66))</f>
        <v>63.365000000000002</v>
      </c>
      <c r="U131" s="158">
        <f t="shared" si="40"/>
        <v>32.634999999999998</v>
      </c>
      <c r="V131" s="154">
        <f t="shared" si="29"/>
        <v>0.8588157894736842</v>
      </c>
      <c r="W131" s="155">
        <f t="shared" si="43"/>
        <v>1.2315911431513904</v>
      </c>
      <c r="X131" s="196">
        <f t="shared" si="41"/>
        <v>40</v>
      </c>
      <c r="Y131" s="213">
        <f t="shared" si="31"/>
        <v>38</v>
      </c>
      <c r="Z131" s="163">
        <f>'23 days'!I66</f>
        <v>2</v>
      </c>
      <c r="AA131" s="154">
        <f>'23 days'!J66</f>
        <v>0.74</v>
      </c>
      <c r="AB131" s="163">
        <f>'23 days'!K66</f>
        <v>0</v>
      </c>
      <c r="AC131" s="154">
        <f>'23 days'!L66</f>
        <v>0</v>
      </c>
      <c r="AD131" s="213">
        <f>'23 days'!M66</f>
        <v>0</v>
      </c>
      <c r="AE131" s="154">
        <f>'23 days'!N66</f>
        <v>0</v>
      </c>
      <c r="AF131" s="163">
        <f t="shared" si="38"/>
        <v>2</v>
      </c>
      <c r="AG131" s="160">
        <f t="shared" si="39"/>
        <v>0.74</v>
      </c>
      <c r="AI131" s="319"/>
      <c r="AJ131" s="162"/>
      <c r="AK131" s="163"/>
      <c r="AL131" s="165"/>
      <c r="AM131" s="319"/>
      <c r="AN131" s="150"/>
      <c r="AO131" s="151"/>
      <c r="AP131" s="150"/>
      <c r="AQ131" s="151"/>
      <c r="AR131" s="149"/>
      <c r="AS131" s="320"/>
    </row>
    <row r="132" spans="11:45" x14ac:dyDescent="0.25">
      <c r="K132" s="164" t="s">
        <v>88</v>
      </c>
      <c r="L132" s="162">
        <f>'23 days'!$A67</f>
        <v>63</v>
      </c>
      <c r="M132" s="163">
        <f t="shared" si="30"/>
        <v>39</v>
      </c>
      <c r="N132" s="163" t="str">
        <f>INDEX(Map!$W$2:$W$67, MATCH('Raw data'!L132, Map!$V$2:$V$67,0))</f>
        <v>T1</v>
      </c>
      <c r="O132" s="165" t="str">
        <f>INDEX(Map!$X$2:$X$67, MATCH('Raw data'!L132, Map!$V$2:$V$67,0))</f>
        <v>R9</v>
      </c>
      <c r="P132" s="158">
        <f>'23 days'!$C67-'23 days'!$C$3</f>
        <v>39.650000000000006</v>
      </c>
      <c r="Q132" s="154">
        <f t="shared" ref="Q132:Q195" si="44">P132/M132</f>
        <v>1.0166666666666668</v>
      </c>
      <c r="R132" s="155">
        <f t="shared" ref="R132:R195" si="45">S132*M132</f>
        <v>25.410000000000004</v>
      </c>
      <c r="S132" s="328">
        <f t="shared" si="42"/>
        <v>0.65153846153846162</v>
      </c>
      <c r="T132" s="336">
        <f>IF((IF(('23 days'!$D67-'23 days'!$D$3)&lt;0, 0, ('23 days'!$D67-'23 days'!$D$3)))+(IF(('23 days'!$E67-'23 days'!$E$3)&lt;0, 0, ('23 days'!$E67-'23 days'!$E$3)))+('23 days'!$G67*'23 days'!$F67)+('23 days'!$H67)&lt;0, 0, (IF(('23 days'!$D67-'23 days'!$D$3)&lt;0, 0, ('23 days'!$D67-'23 days'!$D$3)))+(IF(('23 days'!$E67-'23 days'!$E$3)&lt;0, 0, ('23 days'!$E67-'23 days'!$E$3)))+('23 days'!$G67*'23 days'!$F67)+('23 days'!$H67))</f>
        <v>62.414999999999999</v>
      </c>
      <c r="U132" s="158">
        <f t="shared" si="40"/>
        <v>33.585000000000001</v>
      </c>
      <c r="V132" s="154">
        <f t="shared" ref="V132:V195" si="46">U132/M132</f>
        <v>0.86115384615384616</v>
      </c>
      <c r="W132" s="155">
        <f t="shared" si="43"/>
        <v>1.2577694235588972</v>
      </c>
      <c r="X132" s="196">
        <f t="shared" si="41"/>
        <v>39</v>
      </c>
      <c r="Y132" s="213">
        <f t="shared" si="31"/>
        <v>39</v>
      </c>
      <c r="Z132" s="163">
        <f>'23 days'!I67</f>
        <v>0</v>
      </c>
      <c r="AA132" s="154">
        <f>'23 days'!J67</f>
        <v>0</v>
      </c>
      <c r="AB132" s="163">
        <f>'23 days'!K67</f>
        <v>0</v>
      </c>
      <c r="AC132" s="154">
        <f>'23 days'!L67</f>
        <v>0</v>
      </c>
      <c r="AD132" s="213">
        <f>'23 days'!M67</f>
        <v>0</v>
      </c>
      <c r="AE132" s="154">
        <f>'23 days'!N67</f>
        <v>0</v>
      </c>
      <c r="AF132" s="163">
        <f t="shared" si="38"/>
        <v>0</v>
      </c>
      <c r="AG132" s="160">
        <f t="shared" si="39"/>
        <v>0</v>
      </c>
      <c r="AI132" s="319"/>
      <c r="AJ132" s="162"/>
      <c r="AK132" s="163"/>
      <c r="AL132" s="165"/>
      <c r="AM132" s="319"/>
      <c r="AN132" s="150"/>
      <c r="AO132" s="151"/>
      <c r="AP132" s="150"/>
      <c r="AQ132" s="151"/>
      <c r="AR132" s="149"/>
      <c r="AS132" s="320"/>
    </row>
    <row r="133" spans="11:45" x14ac:dyDescent="0.25">
      <c r="K133" s="164" t="s">
        <v>88</v>
      </c>
      <c r="L133" s="162">
        <f>'23 days'!$A68</f>
        <v>64</v>
      </c>
      <c r="M133" s="163">
        <f t="shared" ref="M133:M196" si="47">Y133</f>
        <v>37</v>
      </c>
      <c r="N133" s="163" t="str">
        <f>INDEX(Map!$W$2:$W$67, MATCH('Raw data'!L133, Map!$V$2:$V$67,0))</f>
        <v>T4</v>
      </c>
      <c r="O133" s="165" t="str">
        <f>INDEX(Map!$X$2:$X$67, MATCH('Raw data'!L133, Map!$V$2:$V$67,0))</f>
        <v>R9</v>
      </c>
      <c r="P133" s="158">
        <f>'23 days'!$C68-'23 days'!$C$3</f>
        <v>36.950000000000003</v>
      </c>
      <c r="Q133" s="154">
        <f t="shared" si="44"/>
        <v>0.99864864864864877</v>
      </c>
      <c r="R133" s="155">
        <f t="shared" si="45"/>
        <v>23.668947368421055</v>
      </c>
      <c r="S133" s="328">
        <f t="shared" si="42"/>
        <v>0.63970128022759609</v>
      </c>
      <c r="T133" s="336">
        <f>IF((IF(('23 days'!$D68-'23 days'!$D$3)&lt;0, 0, ('23 days'!$D68-'23 days'!$D$3)))+(IF(('23 days'!$E68-'23 days'!$E$3)&lt;0, 0, ('23 days'!$E68-'23 days'!$E$3)))+('23 days'!$G68*'23 days'!$F68)+('23 days'!$H68)&lt;0, 0, (IF(('23 days'!$D68-'23 days'!$D$3)&lt;0, 0, ('23 days'!$D68-'23 days'!$D$3)))+(IF(('23 days'!$E68-'23 days'!$E$3)&lt;0, 0, ('23 days'!$E68-'23 days'!$E$3)))+('23 days'!$G68*'23 days'!$F68)+('23 days'!$H68))</f>
        <v>63.914999999999999</v>
      </c>
      <c r="U133" s="158">
        <f t="shared" si="40"/>
        <v>32.085000000000001</v>
      </c>
      <c r="V133" s="154">
        <f t="shared" si="46"/>
        <v>0.86716216216216213</v>
      </c>
      <c r="W133" s="155">
        <f t="shared" si="43"/>
        <v>1.2578392621870882</v>
      </c>
      <c r="X133" s="196">
        <f t="shared" si="41"/>
        <v>38</v>
      </c>
      <c r="Y133" s="213">
        <f t="shared" ref="Y133:Y196" si="48">X133-AF133</f>
        <v>37</v>
      </c>
      <c r="Z133" s="163">
        <f>'23 days'!I68</f>
        <v>0</v>
      </c>
      <c r="AA133" s="154">
        <f>'23 days'!J68</f>
        <v>0</v>
      </c>
      <c r="AB133" s="163">
        <f>'23 days'!K68</f>
        <v>1</v>
      </c>
      <c r="AC133" s="154">
        <f>'23 days'!L68</f>
        <v>0.7</v>
      </c>
      <c r="AD133" s="213">
        <f>'23 days'!M68</f>
        <v>0</v>
      </c>
      <c r="AE133" s="154">
        <f>'23 days'!N68</f>
        <v>0</v>
      </c>
      <c r="AF133" s="163">
        <f t="shared" ref="AF133:AF196" si="49">SUM(Z133,AB133,AD133)</f>
        <v>1</v>
      </c>
      <c r="AG133" s="160">
        <f t="shared" ref="AG133:AG196" si="50">SUM(AA133,AC133,AE133)</f>
        <v>0.7</v>
      </c>
      <c r="AI133" s="319"/>
      <c r="AJ133" s="162"/>
      <c r="AK133" s="163"/>
      <c r="AL133" s="165"/>
      <c r="AM133" s="319"/>
      <c r="AN133" s="150"/>
      <c r="AO133" s="151"/>
      <c r="AP133" s="150"/>
      <c r="AQ133" s="151"/>
      <c r="AR133" s="149"/>
      <c r="AS133" s="320"/>
    </row>
    <row r="134" spans="11:45" x14ac:dyDescent="0.25">
      <c r="K134" s="164" t="s">
        <v>88</v>
      </c>
      <c r="L134" s="162">
        <f>'23 days'!$A69</f>
        <v>65</v>
      </c>
      <c r="M134" s="163">
        <f t="shared" si="47"/>
        <v>38</v>
      </c>
      <c r="N134" s="163" t="str">
        <f>INDEX(Map!$W$2:$W$67, MATCH('Raw data'!L134, Map!$V$2:$V$67,0))</f>
        <v>T3</v>
      </c>
      <c r="O134" s="165" t="str">
        <f>INDEX(Map!$X$2:$X$67, MATCH('Raw data'!L134, Map!$V$2:$V$67,0))</f>
        <v>R11</v>
      </c>
      <c r="P134" s="158">
        <f>'23 days'!$C69-'23 days'!$C$3</f>
        <v>38.900000000000006</v>
      </c>
      <c r="Q134" s="154">
        <f t="shared" si="44"/>
        <v>1.023684210526316</v>
      </c>
      <c r="R134" s="155">
        <f t="shared" si="45"/>
        <v>24.660000000000007</v>
      </c>
      <c r="S134" s="328">
        <f t="shared" ref="S134:S165" si="51">Q134-Q68</f>
        <v>0.64894736842105283</v>
      </c>
      <c r="T134" s="336">
        <f>IF((IF(('23 days'!$D69-'23 days'!$D$3)&lt;0, 0, ('23 days'!$D69-'23 days'!$D$3)))+(IF(('23 days'!$E69-'23 days'!$E$3)&lt;0, 0, ('23 days'!$E69-'23 days'!$E$3)))+('23 days'!$G69*'23 days'!$F69)+('23 days'!$H69)&lt;0, 0, (IF(('23 days'!$D69-'23 days'!$D$3)&lt;0, 0, ('23 days'!$D69-'23 days'!$D$3)))+(IF(('23 days'!$E69-'23 days'!$E$3)&lt;0, 0, ('23 days'!$E69-'23 days'!$E$3)))+('23 days'!$G69*'23 days'!$F69)+('23 days'!$H69))</f>
        <v>61.015000000000001</v>
      </c>
      <c r="U134" s="158">
        <f t="shared" si="40"/>
        <v>33.334999999999994</v>
      </c>
      <c r="V134" s="154">
        <f t="shared" si="46"/>
        <v>0.87723684210526298</v>
      </c>
      <c r="W134" s="155">
        <f t="shared" ref="W134:W135" si="52">(U134+U68)/(P134+AG68+AG134)</f>
        <v>1.2629770992366409</v>
      </c>
      <c r="X134" s="196">
        <f t="shared" si="41"/>
        <v>38</v>
      </c>
      <c r="Y134" s="213">
        <f t="shared" si="48"/>
        <v>38</v>
      </c>
      <c r="Z134" s="163">
        <f>'23 days'!I69</f>
        <v>0</v>
      </c>
      <c r="AA134" s="154">
        <f>'23 days'!J69</f>
        <v>0</v>
      </c>
      <c r="AB134" s="163">
        <f>'23 days'!K69</f>
        <v>0</v>
      </c>
      <c r="AC134" s="154">
        <f>'23 days'!L69</f>
        <v>0</v>
      </c>
      <c r="AD134" s="213">
        <f>'23 days'!M69</f>
        <v>0</v>
      </c>
      <c r="AE134" s="154">
        <f>'23 days'!N69</f>
        <v>0</v>
      </c>
      <c r="AF134" s="163">
        <f t="shared" si="49"/>
        <v>0</v>
      </c>
      <c r="AG134" s="160">
        <f t="shared" si="50"/>
        <v>0</v>
      </c>
      <c r="AI134" s="319"/>
      <c r="AJ134" s="162"/>
      <c r="AK134" s="163"/>
      <c r="AL134" s="165"/>
      <c r="AM134" s="319"/>
      <c r="AN134" s="150"/>
      <c r="AO134" s="151"/>
      <c r="AP134" s="150"/>
      <c r="AQ134" s="151"/>
      <c r="AR134" s="149"/>
      <c r="AS134" s="320"/>
    </row>
    <row r="135" spans="11:45" ht="15.75" thickBot="1" x14ac:dyDescent="0.3">
      <c r="K135" s="166" t="s">
        <v>88</v>
      </c>
      <c r="L135" s="167">
        <f>'23 days'!$A70</f>
        <v>66</v>
      </c>
      <c r="M135" s="168">
        <f t="shared" si="47"/>
        <v>38</v>
      </c>
      <c r="N135" s="168" t="str">
        <f>INDEX(Map!$W$2:$W$67, MATCH('Raw data'!L135, Map!$V$2:$V$67,0))</f>
        <v>T1</v>
      </c>
      <c r="O135" s="169" t="str">
        <f>INDEX(Map!$X$2:$X$67, MATCH('Raw data'!L135, Map!$V$2:$V$67,0))</f>
        <v>R11</v>
      </c>
      <c r="P135" s="159">
        <f>'23 days'!$C70-'23 days'!$C$3</f>
        <v>39.200000000000003</v>
      </c>
      <c r="Q135" s="157">
        <f t="shared" si="44"/>
        <v>1.0315789473684212</v>
      </c>
      <c r="R135" s="156">
        <f t="shared" si="45"/>
        <v>24.789230769230773</v>
      </c>
      <c r="S135" s="329">
        <f t="shared" si="51"/>
        <v>0.65234817813765189</v>
      </c>
      <c r="T135" s="337">
        <f>IF((IF(('23 days'!$D70-'23 days'!$D$3)&lt;0, 0, ('23 days'!$D70-'23 days'!$D$3)))+(IF(('23 days'!$E70-'23 days'!$E$3)&lt;0, 0, ('23 days'!$E70-'23 days'!$E$3)))+('23 days'!$G70*'23 days'!$F70)+('23 days'!$H70)&lt;0, 0, (IF(('23 days'!$D70-'23 days'!$D$3)&lt;0, 0, ('23 days'!$D70-'23 days'!$D$3)))+(IF(('23 days'!$E70-'23 days'!$E$3)&lt;0, 0, ('23 days'!$E70-'23 days'!$E$3)))+('23 days'!$G70*'23 days'!$F70)+('23 days'!$H70))</f>
        <v>62.265000000000001</v>
      </c>
      <c r="U135" s="159">
        <f t="shared" ref="U135" si="53">H69-T135</f>
        <v>32.135000000000005</v>
      </c>
      <c r="V135" s="157">
        <f t="shared" si="46"/>
        <v>0.84565789473684227</v>
      </c>
      <c r="W135" s="156">
        <f t="shared" si="52"/>
        <v>1.2189534301452178</v>
      </c>
      <c r="X135" s="197">
        <f t="shared" ref="X135:X198" si="54">X69-AF69</f>
        <v>39</v>
      </c>
      <c r="Y135" s="214">
        <f t="shared" si="48"/>
        <v>38</v>
      </c>
      <c r="Z135" s="168">
        <f>'23 days'!I70</f>
        <v>1</v>
      </c>
      <c r="AA135" s="157">
        <f>'23 days'!J70</f>
        <v>0.49</v>
      </c>
      <c r="AB135" s="168">
        <f>'23 days'!K70</f>
        <v>0</v>
      </c>
      <c r="AC135" s="157">
        <f>'23 days'!L70</f>
        <v>0</v>
      </c>
      <c r="AD135" s="214">
        <f>'23 days'!M70</f>
        <v>0</v>
      </c>
      <c r="AE135" s="157">
        <f>'23 days'!N70</f>
        <v>0</v>
      </c>
      <c r="AF135" s="168">
        <f t="shared" si="49"/>
        <v>1</v>
      </c>
      <c r="AG135" s="161">
        <f t="shared" si="50"/>
        <v>0.49</v>
      </c>
      <c r="AI135" s="321"/>
      <c r="AJ135" s="167"/>
      <c r="AK135" s="168"/>
      <c r="AL135" s="169"/>
      <c r="AM135" s="321"/>
      <c r="AN135" s="313"/>
      <c r="AO135" s="312"/>
      <c r="AP135" s="313"/>
      <c r="AQ135" s="312"/>
      <c r="AR135" s="314"/>
      <c r="AS135" s="322"/>
    </row>
    <row r="136" spans="11:45" x14ac:dyDescent="0.25">
      <c r="K136" s="171" t="s">
        <v>89</v>
      </c>
      <c r="L136" s="172">
        <f>'32 days'!$A5</f>
        <v>1</v>
      </c>
      <c r="M136" s="173">
        <f t="shared" si="47"/>
        <v>39</v>
      </c>
      <c r="N136" s="173" t="str">
        <f>INDEX(Map!$W$2:$W$67, MATCH('Raw data'!L136, Map!$V$2:$V$67,0))</f>
        <v>T6</v>
      </c>
      <c r="O136" s="174" t="str">
        <f>INDEX(Map!$X$2:$X$67, MATCH('Raw data'!L136, Map!$V$2:$V$67,0))</f>
        <v>R10</v>
      </c>
      <c r="P136" s="144">
        <f>('32 days'!$C5-'32 days'!$C$3)+('32 days'!$D5-'32 days'!$C$3)</f>
        <v>56.01</v>
      </c>
      <c r="Q136" s="146">
        <f t="shared" si="44"/>
        <v>1.4361538461538461</v>
      </c>
      <c r="R136" s="11">
        <f t="shared" si="45"/>
        <v>19.544999999999991</v>
      </c>
      <c r="S136" s="330">
        <f t="shared" si="51"/>
        <v>0.50115384615384595</v>
      </c>
      <c r="T136" s="338">
        <f>IF((IF(('32 days'!$E5-'32 days'!$E$3)&lt;0, 0, ('32 days'!$E5-'32 days'!$E$3)))+(IF(('32 days'!$F5-'32 days'!$F$3)&lt;0, 0, ('32 days'!$F5-'32 days'!$F$3)))+('32 days'!$H5*'32 days'!$G5)+('32 days'!$I5)&lt;0, 0, (IF(('32 days'!$E5-'32 days'!$E$3)&lt;0, 0, ('32 days'!$E5-'32 days'!$E$3)))+(IF(('32 days'!$F5-'32 days'!$F$3)&lt;0, 0, ('32 days'!$F5-'32 days'!$F$3)))+('32 days'!$H5*'32 days'!$G5)+('32 days'!$I5))</f>
        <v>9.25</v>
      </c>
      <c r="U136" s="144">
        <f t="shared" ref="U136:U165" si="55">T70-T136</f>
        <v>53.865000000000002</v>
      </c>
      <c r="V136" s="146">
        <f t="shared" si="46"/>
        <v>1.3811538461538462</v>
      </c>
      <c r="W136" s="11">
        <f>(U136+U70+U4)/(P136+AG136+AG70+AG4)</f>
        <v>1.7989835261128639</v>
      </c>
      <c r="X136" s="198">
        <f t="shared" si="54"/>
        <v>40</v>
      </c>
      <c r="Y136" s="212">
        <f t="shared" si="48"/>
        <v>39</v>
      </c>
      <c r="Z136" s="181">
        <f>'32 days'!J5</f>
        <v>0</v>
      </c>
      <c r="AA136" s="145">
        <f>'32 days'!K5</f>
        <v>0</v>
      </c>
      <c r="AB136" s="181">
        <f>'32 days'!L5</f>
        <v>1</v>
      </c>
      <c r="AC136" s="145">
        <f>'32 days'!M5</f>
        <v>1.05</v>
      </c>
      <c r="AD136" s="212">
        <f>'32 days'!N5</f>
        <v>0</v>
      </c>
      <c r="AE136" s="145">
        <f>'32 days'!O5</f>
        <v>0</v>
      </c>
      <c r="AF136" s="181">
        <f t="shared" si="49"/>
        <v>1</v>
      </c>
      <c r="AG136" s="10">
        <f t="shared" si="50"/>
        <v>1.05</v>
      </c>
      <c r="AI136" s="18" t="s">
        <v>117</v>
      </c>
      <c r="AJ136" s="172">
        <f>L136</f>
        <v>1</v>
      </c>
      <c r="AK136" s="173" t="str">
        <f>INDEX(Map!$W$2:$W$67, MATCH('Raw data'!AJ136, Map!$V$2:$V$67,0))</f>
        <v>T6</v>
      </c>
      <c r="AL136" s="174" t="str">
        <f>INDEX(Map!$X$2:$X$67, MATCH('Raw data'!AJ136, Map!$V$2:$V$67,0))</f>
        <v>R10</v>
      </c>
      <c r="AM136" s="18">
        <f>P136</f>
        <v>56.01</v>
      </c>
      <c r="AN136" s="12">
        <f>Q136</f>
        <v>1.4361538461538461</v>
      </c>
      <c r="AO136" s="176">
        <f>R136+R70</f>
        <v>42.855000000000004</v>
      </c>
      <c r="AP136" s="177">
        <f>S136+S70</f>
        <v>1.0839038461538462</v>
      </c>
      <c r="AQ136" s="178">
        <f>U136+U70</f>
        <v>86.75</v>
      </c>
      <c r="AR136" s="170">
        <f>V136+V70</f>
        <v>2.2032788461538462</v>
      </c>
      <c r="AS136" s="177">
        <f>AQ136/(AO136+AG136+AG70)</f>
        <v>1.975856963899328</v>
      </c>
    </row>
    <row r="137" spans="11:45" x14ac:dyDescent="0.25">
      <c r="K137" s="164" t="s">
        <v>89</v>
      </c>
      <c r="L137" s="162">
        <f>'32 days'!$A6</f>
        <v>2</v>
      </c>
      <c r="M137" s="163">
        <f t="shared" si="47"/>
        <v>39</v>
      </c>
      <c r="N137" s="163" t="str">
        <f>INDEX(Map!$W$2:$W$67, MATCH('Raw data'!L137, Map!$V$2:$V$67,0))</f>
        <v>T2</v>
      </c>
      <c r="O137" s="165" t="str">
        <f>INDEX(Map!$X$2:$X$67, MATCH('Raw data'!L137, Map!$V$2:$V$67,0))</f>
        <v>R10</v>
      </c>
      <c r="P137" s="158">
        <f>('32 days'!$C6-'32 days'!$C$3)+('32 days'!$D6-'32 days'!$C$3)</f>
        <v>56.599999999999994</v>
      </c>
      <c r="Q137" s="154">
        <f t="shared" si="44"/>
        <v>1.4512820512820512</v>
      </c>
      <c r="R137" s="155">
        <f t="shared" si="45"/>
        <v>18.867499999999996</v>
      </c>
      <c r="S137" s="328">
        <f t="shared" si="51"/>
        <v>0.48378205128205121</v>
      </c>
      <c r="T137" s="336">
        <f>IF((IF(('32 days'!$E6-'32 days'!$E$3)&lt;0, 0, ('32 days'!$E6-'32 days'!$E$3)))+(IF(('32 days'!$F6-'32 days'!$F$3)&lt;0, 0, ('32 days'!$F6-'32 days'!$F$3)))+('32 days'!$H6*'32 days'!$G6)+('32 days'!$I6)&lt;0, 0, (IF(('32 days'!$E6-'32 days'!$E$3)&lt;0, 0, ('32 days'!$E6-'32 days'!$E$3)))+(IF(('32 days'!$F6-'32 days'!$F$3)&lt;0, 0, ('32 days'!$F6-'32 days'!$F$3)))+('32 days'!$H6*'32 days'!$G6)+('32 days'!$I6))</f>
        <v>9.7000000000000011</v>
      </c>
      <c r="U137" s="158">
        <f t="shared" si="55"/>
        <v>53.515000000000001</v>
      </c>
      <c r="V137" s="154">
        <f t="shared" si="46"/>
        <v>1.3721794871794872</v>
      </c>
      <c r="W137" s="155">
        <f t="shared" ref="W137:W167" si="56">(U137+U71+U5)/(P137+AG137+AG71+AG5)</f>
        <v>1.7986111111111112</v>
      </c>
      <c r="X137" s="196">
        <f t="shared" si="54"/>
        <v>40</v>
      </c>
      <c r="Y137" s="213">
        <f t="shared" si="48"/>
        <v>39</v>
      </c>
      <c r="Z137" s="163">
        <f>'32 days'!J6</f>
        <v>0</v>
      </c>
      <c r="AA137" s="154">
        <f>'32 days'!K6</f>
        <v>0</v>
      </c>
      <c r="AB137" s="163">
        <f>'32 days'!L6</f>
        <v>1</v>
      </c>
      <c r="AC137" s="154">
        <f>'32 days'!M6</f>
        <v>1</v>
      </c>
      <c r="AD137" s="213">
        <f>'32 days'!N6</f>
        <v>0</v>
      </c>
      <c r="AE137" s="154">
        <f>'32 days'!O6</f>
        <v>0</v>
      </c>
      <c r="AF137" s="163">
        <f t="shared" si="49"/>
        <v>1</v>
      </c>
      <c r="AG137" s="160">
        <f t="shared" si="50"/>
        <v>1</v>
      </c>
      <c r="AI137" s="325" t="s">
        <v>117</v>
      </c>
      <c r="AJ137" s="162">
        <f t="shared" ref="AJ137:AJ200" si="57">L137</f>
        <v>2</v>
      </c>
      <c r="AK137" s="163" t="str">
        <f>INDEX(Map!$W$2:$W$67, MATCH('Raw data'!AJ137, Map!$V$2:$V$67,0))</f>
        <v>T2</v>
      </c>
      <c r="AL137" s="165" t="str">
        <f>INDEX(Map!$X$2:$X$67, MATCH('Raw data'!AJ137, Map!$V$2:$V$67,0))</f>
        <v>R10</v>
      </c>
      <c r="AM137" s="325">
        <f t="shared" ref="AM137:AM168" si="58">P137</f>
        <v>56.599999999999994</v>
      </c>
      <c r="AN137" s="160">
        <f t="shared" ref="AN137:AN200" si="59">Q137</f>
        <v>1.4512820512820512</v>
      </c>
      <c r="AO137" s="148">
        <f t="shared" ref="AO137:AP137" si="60">R137+R71</f>
        <v>43.077500000000001</v>
      </c>
      <c r="AP137" s="150">
        <f t="shared" si="60"/>
        <v>1.0890320512820513</v>
      </c>
      <c r="AQ137" s="151">
        <f t="shared" ref="AQ137:AR137" si="61">U137+U71</f>
        <v>86.3</v>
      </c>
      <c r="AR137" s="149">
        <f t="shared" si="61"/>
        <v>2.1918044871794873</v>
      </c>
      <c r="AS137" s="150">
        <f t="shared" ref="AS137:AS200" si="62">AQ137/(AO137+AG137+AG71)</f>
        <v>1.9579150360161079</v>
      </c>
    </row>
    <row r="138" spans="11:45" x14ac:dyDescent="0.25">
      <c r="K138" s="164" t="s">
        <v>89</v>
      </c>
      <c r="L138" s="162">
        <f>'32 days'!$A7</f>
        <v>3</v>
      </c>
      <c r="M138" s="163">
        <f t="shared" si="47"/>
        <v>36</v>
      </c>
      <c r="N138" s="163" t="str">
        <f>INDEX(Map!$W$2:$W$67, MATCH('Raw data'!L138, Map!$V$2:$V$67,0))</f>
        <v>T5</v>
      </c>
      <c r="O138" s="165" t="str">
        <f>INDEX(Map!$X$2:$X$67, MATCH('Raw data'!L138, Map!$V$2:$V$67,0))</f>
        <v>R1</v>
      </c>
      <c r="P138" s="158">
        <f>('32 days'!$C7-'32 days'!$C$3)+('32 days'!$D7-'32 days'!$C$3)</f>
        <v>51.55</v>
      </c>
      <c r="Q138" s="154">
        <f t="shared" si="44"/>
        <v>1.4319444444444445</v>
      </c>
      <c r="R138" s="155">
        <f t="shared" si="45"/>
        <v>17.5</v>
      </c>
      <c r="S138" s="328">
        <f t="shared" si="51"/>
        <v>0.48611111111111116</v>
      </c>
      <c r="T138" s="336">
        <f>IF((IF(('32 days'!$E7-'32 days'!$E$3)&lt;0, 0, ('32 days'!$E7-'32 days'!$E$3)))+(IF(('32 days'!$F7-'32 days'!$F$3)&lt;0, 0, ('32 days'!$F7-'32 days'!$F$3)))+('32 days'!$H7*'32 days'!$G7)+('32 days'!$I7)&lt;0, 0, (IF(('32 days'!$E7-'32 days'!$E$3)&lt;0, 0, ('32 days'!$E7-'32 days'!$E$3)))+(IF(('32 days'!$F7-'32 days'!$F$3)&lt;0, 0, ('32 days'!$F7-'32 days'!$F$3)))+('32 days'!$H7*'32 days'!$G7)+('32 days'!$I7))</f>
        <v>14.149999999999999</v>
      </c>
      <c r="U138" s="158">
        <f t="shared" si="55"/>
        <v>50.914999999999999</v>
      </c>
      <c r="V138" s="154">
        <f t="shared" si="46"/>
        <v>1.4143055555555555</v>
      </c>
      <c r="W138" s="155">
        <f t="shared" si="56"/>
        <v>1.8343508420435859</v>
      </c>
      <c r="X138" s="196">
        <f t="shared" si="54"/>
        <v>36</v>
      </c>
      <c r="Y138" s="213">
        <f t="shared" si="48"/>
        <v>36</v>
      </c>
      <c r="Z138" s="163">
        <f>'32 days'!J7</f>
        <v>0</v>
      </c>
      <c r="AA138" s="154">
        <f>'32 days'!K7</f>
        <v>0</v>
      </c>
      <c r="AB138" s="163">
        <f>'32 days'!L7</f>
        <v>0</v>
      </c>
      <c r="AC138" s="154">
        <f>'32 days'!M7</f>
        <v>0</v>
      </c>
      <c r="AD138" s="213">
        <f>'32 days'!N7</f>
        <v>0</v>
      </c>
      <c r="AE138" s="154">
        <f>'32 days'!O7</f>
        <v>0</v>
      </c>
      <c r="AF138" s="163">
        <f t="shared" si="49"/>
        <v>0</v>
      </c>
      <c r="AG138" s="160">
        <f t="shared" si="50"/>
        <v>0</v>
      </c>
      <c r="AI138" s="325" t="s">
        <v>117</v>
      </c>
      <c r="AJ138" s="162">
        <f t="shared" si="57"/>
        <v>3</v>
      </c>
      <c r="AK138" s="163" t="str">
        <f>INDEX(Map!$W$2:$W$67, MATCH('Raw data'!AJ138, Map!$V$2:$V$67,0))</f>
        <v>T5</v>
      </c>
      <c r="AL138" s="165" t="str">
        <f>INDEX(Map!$X$2:$X$67, MATCH('Raw data'!AJ138, Map!$V$2:$V$67,0))</f>
        <v>R1</v>
      </c>
      <c r="AM138" s="325">
        <f t="shared" si="58"/>
        <v>51.55</v>
      </c>
      <c r="AN138" s="160">
        <f t="shared" si="59"/>
        <v>1.4319444444444445</v>
      </c>
      <c r="AO138" s="148">
        <f t="shared" ref="AO138:AP138" si="63">R138+R72</f>
        <v>39.202972972972972</v>
      </c>
      <c r="AP138" s="150">
        <f t="shared" si="63"/>
        <v>1.0889714714714716</v>
      </c>
      <c r="AQ138" s="151">
        <f t="shared" ref="AQ138:AR138" si="64">U138+U72</f>
        <v>81.849999999999994</v>
      </c>
      <c r="AR138" s="149">
        <f t="shared" si="64"/>
        <v>2.2736111111111112</v>
      </c>
      <c r="AS138" s="150">
        <f t="shared" si="62"/>
        <v>2.0501980164505973</v>
      </c>
    </row>
    <row r="139" spans="11:45" x14ac:dyDescent="0.25">
      <c r="K139" s="164" t="s">
        <v>89</v>
      </c>
      <c r="L139" s="162">
        <f>'32 days'!$A8</f>
        <v>4</v>
      </c>
      <c r="M139" s="163">
        <f t="shared" si="47"/>
        <v>39</v>
      </c>
      <c r="N139" s="163" t="str">
        <f>INDEX(Map!$W$2:$W$67, MATCH('Raw data'!L139, Map!$V$2:$V$67,0))</f>
        <v>T3</v>
      </c>
      <c r="O139" s="165" t="str">
        <f>INDEX(Map!$X$2:$X$67, MATCH('Raw data'!L139, Map!$V$2:$V$67,0))</f>
        <v>R1</v>
      </c>
      <c r="P139" s="158">
        <f>('32 days'!$C8-'32 days'!$C$3)+('32 days'!$D8-'32 days'!$C$3)</f>
        <v>59.4</v>
      </c>
      <c r="Q139" s="154">
        <f t="shared" si="44"/>
        <v>1.523076923076923</v>
      </c>
      <c r="R139" s="155">
        <f t="shared" si="45"/>
        <v>20.399999999999999</v>
      </c>
      <c r="S139" s="328">
        <f t="shared" si="51"/>
        <v>0.52307692307692299</v>
      </c>
      <c r="T139" s="336">
        <f>IF((IF(('32 days'!$E8-'32 days'!$E$3)&lt;0, 0, ('32 days'!$E8-'32 days'!$E$3)))+(IF(('32 days'!$F8-'32 days'!$F$3)&lt;0, 0, ('32 days'!$F8-'32 days'!$F$3)))+('32 days'!$H8*'32 days'!$G8)+('32 days'!$I8)&lt;0, 0, (IF(('32 days'!$E8-'32 days'!$E$3)&lt;0, 0, ('32 days'!$E8-'32 days'!$E$3)))+(IF(('32 days'!$F8-'32 days'!$F$3)&lt;0, 0, ('32 days'!$F8-'32 days'!$F$3)))+('32 days'!$H8*'32 days'!$G8)+('32 days'!$I8))</f>
        <v>6.2000000000000011</v>
      </c>
      <c r="U139" s="158">
        <f t="shared" si="55"/>
        <v>56.015000000000001</v>
      </c>
      <c r="V139" s="154">
        <f t="shared" si="46"/>
        <v>1.4362820512820513</v>
      </c>
      <c r="W139" s="155">
        <f t="shared" si="56"/>
        <v>1.7807370184254607</v>
      </c>
      <c r="X139" s="196">
        <f t="shared" si="54"/>
        <v>39</v>
      </c>
      <c r="Y139" s="213">
        <f t="shared" si="48"/>
        <v>39</v>
      </c>
      <c r="Z139" s="163">
        <f>'32 days'!J8</f>
        <v>0</v>
      </c>
      <c r="AA139" s="154">
        <f>'32 days'!K8</f>
        <v>0</v>
      </c>
      <c r="AB139" s="163">
        <f>'32 days'!L8</f>
        <v>0</v>
      </c>
      <c r="AC139" s="154">
        <f>'32 days'!M8</f>
        <v>0</v>
      </c>
      <c r="AD139" s="213">
        <f>'32 days'!N8</f>
        <v>0</v>
      </c>
      <c r="AE139" s="154">
        <f>'32 days'!O8</f>
        <v>0</v>
      </c>
      <c r="AF139" s="163">
        <f t="shared" si="49"/>
        <v>0</v>
      </c>
      <c r="AG139" s="160">
        <f t="shared" si="50"/>
        <v>0</v>
      </c>
      <c r="AI139" s="325" t="s">
        <v>117</v>
      </c>
      <c r="AJ139" s="162">
        <f t="shared" si="57"/>
        <v>4</v>
      </c>
      <c r="AK139" s="163" t="str">
        <f>INDEX(Map!$W$2:$W$67, MATCH('Raw data'!AJ139, Map!$V$2:$V$67,0))</f>
        <v>T3</v>
      </c>
      <c r="AL139" s="165" t="str">
        <f>INDEX(Map!$X$2:$X$67, MATCH('Raw data'!AJ139, Map!$V$2:$V$67,0))</f>
        <v>R1</v>
      </c>
      <c r="AM139" s="325">
        <f t="shared" si="58"/>
        <v>59.4</v>
      </c>
      <c r="AN139" s="160">
        <f t="shared" si="59"/>
        <v>1.523076923076923</v>
      </c>
      <c r="AO139" s="148">
        <f t="shared" ref="AO139:AP139" si="65">R139+R73</f>
        <v>45.41</v>
      </c>
      <c r="AP139" s="150">
        <f t="shared" si="65"/>
        <v>1.1643589743589744</v>
      </c>
      <c r="AQ139" s="151">
        <f t="shared" ref="AQ139:AR139" si="66">U139+U73</f>
        <v>89.8</v>
      </c>
      <c r="AR139" s="149">
        <f t="shared" si="66"/>
        <v>2.3025641025641024</v>
      </c>
      <c r="AS139" s="150">
        <f t="shared" si="62"/>
        <v>1.977537987227483</v>
      </c>
    </row>
    <row r="140" spans="11:45" x14ac:dyDescent="0.25">
      <c r="K140" s="164" t="s">
        <v>89</v>
      </c>
      <c r="L140" s="162">
        <f>'32 days'!$A9</f>
        <v>5</v>
      </c>
      <c r="M140" s="163">
        <f t="shared" si="47"/>
        <v>39</v>
      </c>
      <c r="N140" s="163" t="str">
        <f>INDEX(Map!$W$2:$W$67, MATCH('Raw data'!L140, Map!$V$2:$V$67,0))</f>
        <v>T6</v>
      </c>
      <c r="O140" s="165" t="str">
        <f>INDEX(Map!$X$2:$X$67, MATCH('Raw data'!L140, Map!$V$2:$V$67,0))</f>
        <v>R1</v>
      </c>
      <c r="P140" s="158">
        <f>('32 days'!$C9-'32 days'!$C$3)+('32 days'!$D9-'32 days'!$C$3)</f>
        <v>57.4</v>
      </c>
      <c r="Q140" s="154">
        <f t="shared" si="44"/>
        <v>1.4717948717948717</v>
      </c>
      <c r="R140" s="155">
        <f t="shared" si="45"/>
        <v>19.716249999999988</v>
      </c>
      <c r="S140" s="328">
        <f t="shared" si="51"/>
        <v>0.50554487179487151</v>
      </c>
      <c r="T140" s="336">
        <f>IF((IF(('32 days'!$E9-'32 days'!$E$3)&lt;0, 0, ('32 days'!$E9-'32 days'!$E$3)))+(IF(('32 days'!$F9-'32 days'!$F$3)&lt;0, 0, ('32 days'!$F9-'32 days'!$F$3)))+('32 days'!$H9*'32 days'!$G9)+('32 days'!$I9)&lt;0, 0, (IF(('32 days'!$E9-'32 days'!$E$3)&lt;0, 0, ('32 days'!$E9-'32 days'!$E$3)))+(IF(('32 days'!$F9-'32 days'!$F$3)&lt;0, 0, ('32 days'!$F9-'32 days'!$F$3)))+('32 days'!$H9*'32 days'!$G9)+('32 days'!$I9))</f>
        <v>7.25</v>
      </c>
      <c r="U140" s="158">
        <f t="shared" si="55"/>
        <v>54.965000000000003</v>
      </c>
      <c r="V140" s="154">
        <f t="shared" si="46"/>
        <v>1.4093589743589745</v>
      </c>
      <c r="W140" s="155">
        <f t="shared" si="56"/>
        <v>1.7880341880341879</v>
      </c>
      <c r="X140" s="196">
        <f t="shared" si="54"/>
        <v>40</v>
      </c>
      <c r="Y140" s="213">
        <f t="shared" si="48"/>
        <v>39</v>
      </c>
      <c r="Z140" s="163">
        <f>'32 days'!J9</f>
        <v>0</v>
      </c>
      <c r="AA140" s="154">
        <f>'32 days'!K9</f>
        <v>0</v>
      </c>
      <c r="AB140" s="163">
        <f>'32 days'!L9</f>
        <v>1</v>
      </c>
      <c r="AC140" s="154">
        <f>'32 days'!M9</f>
        <v>1.1000000000000001</v>
      </c>
      <c r="AD140" s="213">
        <f>'32 days'!N9</f>
        <v>0</v>
      </c>
      <c r="AE140" s="154">
        <f>'32 days'!O9</f>
        <v>0</v>
      </c>
      <c r="AF140" s="163">
        <f t="shared" si="49"/>
        <v>1</v>
      </c>
      <c r="AG140" s="160">
        <f t="shared" si="50"/>
        <v>1.1000000000000001</v>
      </c>
      <c r="AI140" s="325" t="s">
        <v>117</v>
      </c>
      <c r="AJ140" s="162">
        <f t="shared" si="57"/>
        <v>5</v>
      </c>
      <c r="AK140" s="163" t="str">
        <f>INDEX(Map!$W$2:$W$67, MATCH('Raw data'!AJ140, Map!$V$2:$V$67,0))</f>
        <v>T6</v>
      </c>
      <c r="AL140" s="165" t="str">
        <f>INDEX(Map!$X$2:$X$67, MATCH('Raw data'!AJ140, Map!$V$2:$V$67,0))</f>
        <v>R1</v>
      </c>
      <c r="AM140" s="325">
        <f t="shared" si="58"/>
        <v>57.4</v>
      </c>
      <c r="AN140" s="160">
        <f t="shared" si="59"/>
        <v>1.4717948717948717</v>
      </c>
      <c r="AO140" s="148">
        <f t="shared" ref="AO140:AP140" si="67">R140+R74</f>
        <v>44.626249999999992</v>
      </c>
      <c r="AP140" s="150">
        <f t="shared" si="67"/>
        <v>1.1282948717948718</v>
      </c>
      <c r="AQ140" s="151">
        <f t="shared" ref="AQ140:AR140" si="68">U140+U74</f>
        <v>88.75</v>
      </c>
      <c r="AR140" s="149">
        <f t="shared" si="68"/>
        <v>2.2539839743589747</v>
      </c>
      <c r="AS140" s="150">
        <f t="shared" si="62"/>
        <v>1.9408982805281434</v>
      </c>
    </row>
    <row r="141" spans="11:45" x14ac:dyDescent="0.25">
      <c r="K141" s="164" t="s">
        <v>89</v>
      </c>
      <c r="L141" s="162">
        <f>'32 days'!$A10</f>
        <v>6</v>
      </c>
      <c r="M141" s="163">
        <f t="shared" si="47"/>
        <v>36</v>
      </c>
      <c r="N141" s="163" t="str">
        <f>INDEX(Map!$W$2:$W$67, MATCH('Raw data'!L141, Map!$V$2:$V$67,0))</f>
        <v>T4</v>
      </c>
      <c r="O141" s="165" t="str">
        <f>INDEX(Map!$X$2:$X$67, MATCH('Raw data'!L141, Map!$V$2:$V$67,0))</f>
        <v>R1</v>
      </c>
      <c r="P141" s="158">
        <f>('32 days'!$C10-'32 days'!$C$3)+('32 days'!$D10-'32 days'!$C$3)</f>
        <v>49.449999999999996</v>
      </c>
      <c r="Q141" s="154">
        <f t="shared" si="44"/>
        <v>1.3736111111111109</v>
      </c>
      <c r="R141" s="155">
        <f t="shared" si="45"/>
        <v>15.723684210526315</v>
      </c>
      <c r="S141" s="328">
        <f t="shared" si="51"/>
        <v>0.4367690058479532</v>
      </c>
      <c r="T141" s="336">
        <f>IF((IF(('32 days'!$E10-'32 days'!$E$3)&lt;0, 0, ('32 days'!$E10-'32 days'!$E$3)))+(IF(('32 days'!$F10-'32 days'!$F$3)&lt;0, 0, ('32 days'!$F10-'32 days'!$F$3)))+('32 days'!$H10*'32 days'!$G10)+('32 days'!$I10)&lt;0, 0, (IF(('32 days'!$E10-'32 days'!$E$3)&lt;0, 0, ('32 days'!$E10-'32 days'!$E$3)))+(IF(('32 days'!$F10-'32 days'!$F$3)&lt;0, 0, ('32 days'!$F10-'32 days'!$F$3)))+('32 days'!$H10*'32 days'!$G10)+('32 days'!$I10))</f>
        <v>14.649999999999999</v>
      </c>
      <c r="U141" s="158">
        <f t="shared" si="55"/>
        <v>49.365000000000002</v>
      </c>
      <c r="V141" s="154">
        <f t="shared" si="46"/>
        <v>1.3712500000000001</v>
      </c>
      <c r="W141" s="155">
        <f t="shared" si="56"/>
        <v>1.8501770320197044</v>
      </c>
      <c r="X141" s="196">
        <f t="shared" si="54"/>
        <v>38</v>
      </c>
      <c r="Y141" s="213">
        <f t="shared" si="48"/>
        <v>36</v>
      </c>
      <c r="Z141" s="163">
        <f>'32 days'!J10</f>
        <v>1</v>
      </c>
      <c r="AA141" s="154">
        <f>'32 days'!K10</f>
        <v>1.1100000000000001</v>
      </c>
      <c r="AB141" s="163">
        <f>'32 days'!L10</f>
        <v>1</v>
      </c>
      <c r="AC141" s="154">
        <f>'32 days'!M10</f>
        <v>1.1000000000000001</v>
      </c>
      <c r="AD141" s="213">
        <f>'32 days'!N10</f>
        <v>0</v>
      </c>
      <c r="AE141" s="154">
        <f>'32 days'!O10</f>
        <v>0</v>
      </c>
      <c r="AF141" s="163">
        <f t="shared" si="49"/>
        <v>2</v>
      </c>
      <c r="AG141" s="160">
        <f t="shared" si="50"/>
        <v>2.21</v>
      </c>
      <c r="AI141" s="325" t="s">
        <v>117</v>
      </c>
      <c r="AJ141" s="162">
        <f t="shared" si="57"/>
        <v>6</v>
      </c>
      <c r="AK141" s="163" t="str">
        <f>INDEX(Map!$W$2:$W$67, MATCH('Raw data'!AJ141, Map!$V$2:$V$67,0))</f>
        <v>T4</v>
      </c>
      <c r="AL141" s="165" t="str">
        <f>INDEX(Map!$X$2:$X$67, MATCH('Raw data'!AJ141, Map!$V$2:$V$67,0))</f>
        <v>R1</v>
      </c>
      <c r="AM141" s="325">
        <f t="shared" si="58"/>
        <v>49.449999999999996</v>
      </c>
      <c r="AN141" s="160">
        <f t="shared" si="59"/>
        <v>1.3736111111111109</v>
      </c>
      <c r="AO141" s="148">
        <f t="shared" ref="AO141:AP141" si="69">R141+R75</f>
        <v>38.833684210526307</v>
      </c>
      <c r="AP141" s="150">
        <f t="shared" si="69"/>
        <v>1.044926900584795</v>
      </c>
      <c r="AQ141" s="151">
        <f t="shared" ref="AQ141:AR141" si="70">U141+U75</f>
        <v>81.349999999999994</v>
      </c>
      <c r="AR141" s="149">
        <f t="shared" si="70"/>
        <v>2.2129605263157894</v>
      </c>
      <c r="AS141" s="150">
        <f t="shared" si="62"/>
        <v>1.9820345459907931</v>
      </c>
    </row>
    <row r="142" spans="11:45" x14ac:dyDescent="0.25">
      <c r="K142" s="164" t="s">
        <v>89</v>
      </c>
      <c r="L142" s="162">
        <f>'32 days'!$A11</f>
        <v>7</v>
      </c>
      <c r="M142" s="163">
        <f t="shared" si="47"/>
        <v>38</v>
      </c>
      <c r="N142" s="163" t="str">
        <f>INDEX(Map!$W$2:$W$67, MATCH('Raw data'!L142, Map!$V$2:$V$67,0))</f>
        <v>T2</v>
      </c>
      <c r="O142" s="165" t="str">
        <f>INDEX(Map!$X$2:$X$67, MATCH('Raw data'!L142, Map!$V$2:$V$67,0))</f>
        <v>R1</v>
      </c>
      <c r="P142" s="158">
        <f>('32 days'!$C11-'32 days'!$C$3)+('32 days'!$D11-'32 days'!$C$3)</f>
        <v>58.05</v>
      </c>
      <c r="Q142" s="154">
        <f t="shared" si="44"/>
        <v>1.5276315789473685</v>
      </c>
      <c r="R142" s="155">
        <f t="shared" si="45"/>
        <v>20.293589743589745</v>
      </c>
      <c r="S142" s="328">
        <f t="shared" si="51"/>
        <v>0.53404183535762484</v>
      </c>
      <c r="T142" s="336">
        <f>IF((IF(('32 days'!$E11-'32 days'!$E$3)&lt;0, 0, ('32 days'!$E11-'32 days'!$E$3)))+(IF(('32 days'!$F11-'32 days'!$F$3)&lt;0, 0, ('32 days'!$F11-'32 days'!$F$3)))+('32 days'!$H11*'32 days'!$G11)+('32 days'!$I11)&lt;0, 0, (IF(('32 days'!$E11-'32 days'!$E$3)&lt;0, 0, ('32 days'!$E11-'32 days'!$E$3)))+(IF(('32 days'!$F11-'32 days'!$F$3)&lt;0, 0, ('32 days'!$F11-'32 days'!$F$3)))+('32 days'!$H11*'32 days'!$G11)+('32 days'!$I11))</f>
        <v>8.1999999999999993</v>
      </c>
      <c r="U142" s="158">
        <f t="shared" si="55"/>
        <v>54.715000000000003</v>
      </c>
      <c r="V142" s="154">
        <f t="shared" si="46"/>
        <v>1.4398684210526316</v>
      </c>
      <c r="W142" s="155">
        <f t="shared" si="56"/>
        <v>1.7544749252066327</v>
      </c>
      <c r="X142" s="196">
        <f t="shared" si="54"/>
        <v>39</v>
      </c>
      <c r="Y142" s="213">
        <f t="shared" si="48"/>
        <v>38</v>
      </c>
      <c r="Z142" s="163">
        <f>'32 days'!J11</f>
        <v>0</v>
      </c>
      <c r="AA142" s="154">
        <f>'32 days'!K11</f>
        <v>0</v>
      </c>
      <c r="AB142" s="163">
        <f>'32 days'!L11</f>
        <v>1</v>
      </c>
      <c r="AC142" s="154">
        <f>'32 days'!M11</f>
        <v>1.05</v>
      </c>
      <c r="AD142" s="213">
        <f>'32 days'!N11</f>
        <v>0</v>
      </c>
      <c r="AE142" s="154">
        <f>'32 days'!O11</f>
        <v>0</v>
      </c>
      <c r="AF142" s="163">
        <f t="shared" si="49"/>
        <v>1</v>
      </c>
      <c r="AG142" s="160">
        <f t="shared" si="50"/>
        <v>1.05</v>
      </c>
      <c r="AI142" s="325" t="s">
        <v>117</v>
      </c>
      <c r="AJ142" s="162">
        <f t="shared" si="57"/>
        <v>7</v>
      </c>
      <c r="AK142" s="163" t="str">
        <f>INDEX(Map!$W$2:$W$67, MATCH('Raw data'!AJ142, Map!$V$2:$V$67,0))</f>
        <v>T2</v>
      </c>
      <c r="AL142" s="165" t="str">
        <f>INDEX(Map!$X$2:$X$67, MATCH('Raw data'!AJ142, Map!$V$2:$V$67,0))</f>
        <v>R1</v>
      </c>
      <c r="AM142" s="325">
        <f t="shared" si="58"/>
        <v>58.05</v>
      </c>
      <c r="AN142" s="160">
        <f t="shared" si="59"/>
        <v>1.5276315789473685</v>
      </c>
      <c r="AO142" s="148">
        <f t="shared" ref="AO142:AP142" si="71">R142+R76</f>
        <v>45.003589743589743</v>
      </c>
      <c r="AP142" s="150">
        <f t="shared" si="71"/>
        <v>1.1676315789473684</v>
      </c>
      <c r="AQ142" s="151">
        <f t="shared" ref="AQ142:AR142" si="72">U142+U76</f>
        <v>87.800000000000011</v>
      </c>
      <c r="AR142" s="149">
        <f t="shared" si="72"/>
        <v>2.2882017543859652</v>
      </c>
      <c r="AS142" s="150">
        <f t="shared" si="62"/>
        <v>1.9064746198687152</v>
      </c>
    </row>
    <row r="143" spans="11:45" x14ac:dyDescent="0.25">
      <c r="K143" s="164" t="s">
        <v>89</v>
      </c>
      <c r="L143" s="162">
        <f>'32 days'!$A12</f>
        <v>8</v>
      </c>
      <c r="M143" s="163">
        <f t="shared" si="47"/>
        <v>38</v>
      </c>
      <c r="N143" s="163" t="str">
        <f>INDEX(Map!$W$2:$W$67, MATCH('Raw data'!L143, Map!$V$2:$V$67,0))</f>
        <v>T1</v>
      </c>
      <c r="O143" s="165" t="str">
        <f>INDEX(Map!$X$2:$X$67, MATCH('Raw data'!L143, Map!$V$2:$V$67,0))</f>
        <v>R1</v>
      </c>
      <c r="P143" s="158">
        <f>('32 days'!$C12-'32 days'!$C$3)+('32 days'!$D12-'32 days'!$C$3)</f>
        <v>54.05</v>
      </c>
      <c r="Q143" s="154">
        <f t="shared" si="44"/>
        <v>1.4223684210526315</v>
      </c>
      <c r="R143" s="155">
        <f t="shared" si="45"/>
        <v>17.219230769230769</v>
      </c>
      <c r="S143" s="328">
        <f t="shared" si="51"/>
        <v>0.45313765182186239</v>
      </c>
      <c r="T143" s="336">
        <f>IF((IF(('32 days'!$E12-'32 days'!$E$3)&lt;0, 0, ('32 days'!$E12-'32 days'!$E$3)))+(IF(('32 days'!$F12-'32 days'!$F$3)&lt;0, 0, ('32 days'!$F12-'32 days'!$F$3)))+('32 days'!$H12*'32 days'!$G12)+('32 days'!$I12)&lt;0, 0, (IF(('32 days'!$E12-'32 days'!$E$3)&lt;0, 0, ('32 days'!$E12-'32 days'!$E$3)))+(IF(('32 days'!$F12-'32 days'!$F$3)&lt;0, 0, ('32 days'!$F12-'32 days'!$F$3)))+('32 days'!$H12*'32 days'!$G12)+('32 days'!$I12))</f>
        <v>11.75</v>
      </c>
      <c r="U143" s="158">
        <f t="shared" si="55"/>
        <v>51.515000000000001</v>
      </c>
      <c r="V143" s="154">
        <f t="shared" si="46"/>
        <v>1.3556578947368421</v>
      </c>
      <c r="W143" s="155">
        <f t="shared" si="56"/>
        <v>1.8173879823173065</v>
      </c>
      <c r="X143" s="196">
        <f t="shared" si="54"/>
        <v>39</v>
      </c>
      <c r="Y143" s="213">
        <f t="shared" si="48"/>
        <v>38</v>
      </c>
      <c r="Z143" s="163">
        <f>'32 days'!J12</f>
        <v>0</v>
      </c>
      <c r="AA143" s="154">
        <f>'32 days'!K12</f>
        <v>0</v>
      </c>
      <c r="AB143" s="163">
        <f>'32 days'!L12</f>
        <v>1</v>
      </c>
      <c r="AC143" s="154">
        <f>'32 days'!M12</f>
        <v>0.75</v>
      </c>
      <c r="AD143" s="213">
        <f>'32 days'!N12</f>
        <v>0</v>
      </c>
      <c r="AE143" s="154">
        <f>'32 days'!O12</f>
        <v>0</v>
      </c>
      <c r="AF143" s="163">
        <f t="shared" si="49"/>
        <v>1</v>
      </c>
      <c r="AG143" s="160">
        <f t="shared" si="50"/>
        <v>0.75</v>
      </c>
      <c r="AI143" s="325" t="s">
        <v>117</v>
      </c>
      <c r="AJ143" s="162">
        <f t="shared" si="57"/>
        <v>8</v>
      </c>
      <c r="AK143" s="163" t="str">
        <f>INDEX(Map!$W$2:$W$67, MATCH('Raw data'!AJ143, Map!$V$2:$V$67,0))</f>
        <v>T1</v>
      </c>
      <c r="AL143" s="165" t="str">
        <f>INDEX(Map!$X$2:$X$67, MATCH('Raw data'!AJ143, Map!$V$2:$V$67,0))</f>
        <v>R1</v>
      </c>
      <c r="AM143" s="325">
        <f t="shared" si="58"/>
        <v>54.05</v>
      </c>
      <c r="AN143" s="160">
        <f t="shared" si="59"/>
        <v>1.4223684210526315</v>
      </c>
      <c r="AO143" s="148">
        <f t="shared" ref="AO143:AP143" si="73">R143+R77</f>
        <v>41.379230769230773</v>
      </c>
      <c r="AP143" s="150">
        <f t="shared" si="73"/>
        <v>1.0726248313090418</v>
      </c>
      <c r="AQ143" s="151">
        <f t="shared" ref="AQ143:AR143" si="74">U143+U77</f>
        <v>84.25</v>
      </c>
      <c r="AR143" s="149">
        <f t="shared" si="74"/>
        <v>2.1950168690958165</v>
      </c>
      <c r="AS143" s="150">
        <f t="shared" si="62"/>
        <v>1.9997991527899501</v>
      </c>
    </row>
    <row r="144" spans="11:45" x14ac:dyDescent="0.25">
      <c r="K144" s="164" t="s">
        <v>89</v>
      </c>
      <c r="L144" s="162">
        <f>'32 days'!$A13</f>
        <v>9</v>
      </c>
      <c r="M144" s="163">
        <f t="shared" si="47"/>
        <v>39</v>
      </c>
      <c r="N144" s="163" t="str">
        <f>INDEX(Map!$W$2:$W$67, MATCH('Raw data'!L144, Map!$V$2:$V$67,0))</f>
        <v>T4</v>
      </c>
      <c r="O144" s="165" t="str">
        <f>INDEX(Map!$X$2:$X$67, MATCH('Raw data'!L144, Map!$V$2:$V$67,0))</f>
        <v>R2</v>
      </c>
      <c r="P144" s="158">
        <f>('32 days'!$C13-'32 days'!$C$3)+('32 days'!$D13-'32 days'!$C$3)</f>
        <v>53.35</v>
      </c>
      <c r="Q144" s="154">
        <f t="shared" si="44"/>
        <v>1.367948717948718</v>
      </c>
      <c r="R144" s="155">
        <f t="shared" si="45"/>
        <v>17.957500000000003</v>
      </c>
      <c r="S144" s="328">
        <f t="shared" si="51"/>
        <v>0.460448717948718</v>
      </c>
      <c r="T144" s="336">
        <f>IF((IF(('32 days'!$E13-'32 days'!$E$3)&lt;0, 0, ('32 days'!$E13-'32 days'!$E$3)))+(IF(('32 days'!$F13-'32 days'!$F$3)&lt;0, 0, ('32 days'!$F13-'32 days'!$F$3)))+('32 days'!$H13*'32 days'!$G13)+('32 days'!$I13)&lt;0, 0, (IF(('32 days'!$E13-'32 days'!$E$3)&lt;0, 0, ('32 days'!$E13-'32 days'!$E$3)))+(IF(('32 days'!$F13-'32 days'!$F$3)&lt;0, 0, ('32 days'!$F13-'32 days'!$F$3)))+('32 days'!$H13*'32 days'!$G13)+('32 days'!$I13))</f>
        <v>12</v>
      </c>
      <c r="U144" s="158">
        <f t="shared" si="55"/>
        <v>52.164999999999992</v>
      </c>
      <c r="V144" s="154">
        <f t="shared" si="46"/>
        <v>1.3375641025641023</v>
      </c>
      <c r="W144" s="155">
        <f t="shared" si="56"/>
        <v>1.8170955882352942</v>
      </c>
      <c r="X144" s="196">
        <f t="shared" si="54"/>
        <v>40</v>
      </c>
      <c r="Y144" s="213">
        <f t="shared" si="48"/>
        <v>39</v>
      </c>
      <c r="Z144" s="163">
        <f>'32 days'!J13</f>
        <v>0</v>
      </c>
      <c r="AA144" s="154">
        <f>'32 days'!K13</f>
        <v>0</v>
      </c>
      <c r="AB144" s="163">
        <f>'32 days'!L13</f>
        <v>1</v>
      </c>
      <c r="AC144" s="154">
        <f>'32 days'!M13</f>
        <v>1.05</v>
      </c>
      <c r="AD144" s="213">
        <f>'32 days'!N13</f>
        <v>0</v>
      </c>
      <c r="AE144" s="154">
        <f>'32 days'!O13</f>
        <v>0</v>
      </c>
      <c r="AF144" s="163">
        <f t="shared" si="49"/>
        <v>1</v>
      </c>
      <c r="AG144" s="160">
        <f t="shared" si="50"/>
        <v>1.05</v>
      </c>
      <c r="AI144" s="325" t="s">
        <v>117</v>
      </c>
      <c r="AJ144" s="162">
        <f t="shared" si="57"/>
        <v>9</v>
      </c>
      <c r="AK144" s="163" t="str">
        <f>INDEX(Map!$W$2:$W$67, MATCH('Raw data'!AJ144, Map!$V$2:$V$67,0))</f>
        <v>T4</v>
      </c>
      <c r="AL144" s="165" t="str">
        <f>INDEX(Map!$X$2:$X$67, MATCH('Raw data'!AJ144, Map!$V$2:$V$67,0))</f>
        <v>R2</v>
      </c>
      <c r="AM144" s="325">
        <f t="shared" si="58"/>
        <v>53.35</v>
      </c>
      <c r="AN144" s="160">
        <f t="shared" si="59"/>
        <v>1.367948717948718</v>
      </c>
      <c r="AO144" s="148">
        <f t="shared" ref="AO144:AP144" si="75">R144+R78</f>
        <v>41.267499999999998</v>
      </c>
      <c r="AP144" s="150">
        <f t="shared" si="75"/>
        <v>1.0431987179487181</v>
      </c>
      <c r="AQ144" s="151">
        <f t="shared" ref="AQ144:AR144" si="76">U144+U78</f>
        <v>84</v>
      </c>
      <c r="AR144" s="149">
        <f t="shared" si="76"/>
        <v>2.1334391025641026</v>
      </c>
      <c r="AS144" s="150">
        <f t="shared" si="62"/>
        <v>1.9849943876646778</v>
      </c>
    </row>
    <row r="145" spans="11:45" x14ac:dyDescent="0.25">
      <c r="K145" s="164" t="s">
        <v>89</v>
      </c>
      <c r="L145" s="162">
        <f>'32 days'!$A14</f>
        <v>10</v>
      </c>
      <c r="M145" s="163">
        <f t="shared" si="47"/>
        <v>37</v>
      </c>
      <c r="N145" s="163" t="str">
        <f>INDEX(Map!$W$2:$W$67, MATCH('Raw data'!L145, Map!$V$2:$V$67,0))</f>
        <v>T6</v>
      </c>
      <c r="O145" s="165" t="str">
        <f>INDEX(Map!$X$2:$X$67, MATCH('Raw data'!L145, Map!$V$2:$V$67,0))</f>
        <v>R2</v>
      </c>
      <c r="P145" s="158">
        <f>('32 days'!$C14-'32 days'!$C$3)+('32 days'!$D14-'32 days'!$C$3)</f>
        <v>61.55</v>
      </c>
      <c r="Q145" s="154">
        <f t="shared" si="44"/>
        <v>1.6635135135135135</v>
      </c>
      <c r="R145" s="155">
        <f t="shared" si="45"/>
        <v>22.261842105263163</v>
      </c>
      <c r="S145" s="328">
        <f t="shared" si="51"/>
        <v>0.60167140825035581</v>
      </c>
      <c r="T145" s="336">
        <f>IF((IF(('32 days'!$E14-'32 days'!$E$3)&lt;0, 0, ('32 days'!$E14-'32 days'!$E$3)))+(IF(('32 days'!$F14-'32 days'!$F$3)&lt;0, 0, ('32 days'!$F14-'32 days'!$F$3)))+('32 days'!$H14*'32 days'!$G14)+('32 days'!$I14)&lt;0, 0, (IF(('32 days'!$E14-'32 days'!$E$3)&lt;0, 0, ('32 days'!$E14-'32 days'!$E$3)))+(IF(('32 days'!$F14-'32 days'!$F$3)&lt;0, 0, ('32 days'!$F14-'32 days'!$F$3)))+('32 days'!$H14*'32 days'!$G14)+('32 days'!$I14))</f>
        <v>2.4499999999999997</v>
      </c>
      <c r="U145" s="158">
        <f t="shared" si="55"/>
        <v>58.314999999999998</v>
      </c>
      <c r="V145" s="154">
        <f t="shared" si="46"/>
        <v>1.576081081081081</v>
      </c>
      <c r="W145" s="155">
        <f t="shared" si="56"/>
        <v>1.7568881169027775</v>
      </c>
      <c r="X145" s="196">
        <f t="shared" si="54"/>
        <v>38</v>
      </c>
      <c r="Y145" s="213">
        <f t="shared" si="48"/>
        <v>37</v>
      </c>
      <c r="Z145" s="163">
        <f>'32 days'!J14</f>
        <v>0</v>
      </c>
      <c r="AA145" s="154">
        <f>'32 days'!K14</f>
        <v>0</v>
      </c>
      <c r="AB145" s="163">
        <f>'32 days'!L14</f>
        <v>1</v>
      </c>
      <c r="AC145" s="154">
        <f>'32 days'!M14</f>
        <v>1</v>
      </c>
      <c r="AD145" s="213">
        <f>'32 days'!N14</f>
        <v>0</v>
      </c>
      <c r="AE145" s="154">
        <f>'32 days'!O14</f>
        <v>0</v>
      </c>
      <c r="AF145" s="163">
        <f t="shared" si="49"/>
        <v>1</v>
      </c>
      <c r="AG145" s="160">
        <f t="shared" si="50"/>
        <v>1</v>
      </c>
      <c r="AI145" s="325" t="s">
        <v>117</v>
      </c>
      <c r="AJ145" s="162">
        <f t="shared" si="57"/>
        <v>10</v>
      </c>
      <c r="AK145" s="163" t="str">
        <f>INDEX(Map!$W$2:$W$67, MATCH('Raw data'!AJ145, Map!$V$2:$V$67,0))</f>
        <v>T6</v>
      </c>
      <c r="AL145" s="165" t="str">
        <f>INDEX(Map!$X$2:$X$67, MATCH('Raw data'!AJ145, Map!$V$2:$V$67,0))</f>
        <v>R2</v>
      </c>
      <c r="AM145" s="325">
        <f t="shared" si="58"/>
        <v>61.55</v>
      </c>
      <c r="AN145" s="160">
        <f t="shared" si="59"/>
        <v>1.6635135135135135</v>
      </c>
      <c r="AO145" s="148">
        <f t="shared" ref="AO145:AP145" si="77">R145+R79</f>
        <v>47.921842105263153</v>
      </c>
      <c r="AP145" s="150">
        <f t="shared" si="77"/>
        <v>1.2769345661450924</v>
      </c>
      <c r="AQ145" s="151">
        <f t="shared" ref="AQ145:AR145" si="78">U145+U79</f>
        <v>93.55</v>
      </c>
      <c r="AR145" s="149">
        <f t="shared" si="78"/>
        <v>2.5033179231863443</v>
      </c>
      <c r="AS145" s="150">
        <f t="shared" si="62"/>
        <v>1.9122337993469714</v>
      </c>
    </row>
    <row r="146" spans="11:45" x14ac:dyDescent="0.25">
      <c r="K146" s="164" t="s">
        <v>89</v>
      </c>
      <c r="L146" s="162">
        <f>'32 days'!$A15</f>
        <v>11</v>
      </c>
      <c r="M146" s="163">
        <f t="shared" si="47"/>
        <v>38</v>
      </c>
      <c r="N146" s="163" t="str">
        <f>INDEX(Map!$W$2:$W$67, MATCH('Raw data'!L146, Map!$V$2:$V$67,0))</f>
        <v>T2</v>
      </c>
      <c r="O146" s="165" t="str">
        <f>INDEX(Map!$X$2:$X$67, MATCH('Raw data'!L146, Map!$V$2:$V$67,0))</f>
        <v>R2</v>
      </c>
      <c r="P146" s="158">
        <f>('32 days'!$C15-'32 days'!$C$3)+('32 days'!$D15-'32 days'!$C$3)</f>
        <v>50.199999999999996</v>
      </c>
      <c r="Q146" s="154">
        <f t="shared" si="44"/>
        <v>1.3210526315789473</v>
      </c>
      <c r="R146" s="155">
        <f t="shared" si="45"/>
        <v>17.266666666666666</v>
      </c>
      <c r="S146" s="328">
        <f t="shared" si="51"/>
        <v>0.45438596491228067</v>
      </c>
      <c r="T146" s="336">
        <f>IF((IF(('32 days'!$E15-'32 days'!$E$3)&lt;0, 0, ('32 days'!$E15-'32 days'!$E$3)))+(IF(('32 days'!$F15-'32 days'!$F$3)&lt;0, 0, ('32 days'!$F15-'32 days'!$F$3)))+('32 days'!$H15*'32 days'!$G15)+('32 days'!$I15)&lt;0, 0, (IF(('32 days'!$E15-'32 days'!$E$3)&lt;0, 0, ('32 days'!$E15-'32 days'!$E$3)))+(IF(('32 days'!$F15-'32 days'!$F$3)&lt;0, 0, ('32 days'!$F15-'32 days'!$F$3)))+('32 days'!$H15*'32 days'!$G15)+('32 days'!$I15))</f>
        <v>17.45</v>
      </c>
      <c r="U146" s="158">
        <f t="shared" si="55"/>
        <v>49.714999999999989</v>
      </c>
      <c r="V146" s="154">
        <f t="shared" si="46"/>
        <v>1.3082894736842103</v>
      </c>
      <c r="W146" s="155">
        <f t="shared" si="56"/>
        <v>1.8117284552528428</v>
      </c>
      <c r="X146" s="196">
        <f t="shared" si="54"/>
        <v>39</v>
      </c>
      <c r="Y146" s="213">
        <f t="shared" si="48"/>
        <v>38</v>
      </c>
      <c r="Z146" s="163">
        <f>'32 days'!J15</f>
        <v>0</v>
      </c>
      <c r="AA146" s="154">
        <f>'32 days'!K15</f>
        <v>0</v>
      </c>
      <c r="AB146" s="163">
        <f>'32 days'!L15</f>
        <v>1</v>
      </c>
      <c r="AC146" s="154">
        <f>'32 days'!M15</f>
        <v>1</v>
      </c>
      <c r="AD146" s="213">
        <f>'32 days'!N15</f>
        <v>0</v>
      </c>
      <c r="AE146" s="154">
        <f>'32 days'!O15</f>
        <v>0</v>
      </c>
      <c r="AF146" s="163">
        <f t="shared" si="49"/>
        <v>1</v>
      </c>
      <c r="AG146" s="160">
        <f t="shared" si="50"/>
        <v>1</v>
      </c>
      <c r="AI146" s="325" t="s">
        <v>117</v>
      </c>
      <c r="AJ146" s="162">
        <f t="shared" si="57"/>
        <v>11</v>
      </c>
      <c r="AK146" s="163" t="str">
        <f>INDEX(Map!$W$2:$W$67, MATCH('Raw data'!AJ146, Map!$V$2:$V$67,0))</f>
        <v>T2</v>
      </c>
      <c r="AL146" s="165" t="str">
        <f>INDEX(Map!$X$2:$X$67, MATCH('Raw data'!AJ146, Map!$V$2:$V$67,0))</f>
        <v>R2</v>
      </c>
      <c r="AM146" s="325">
        <f t="shared" si="58"/>
        <v>50.199999999999996</v>
      </c>
      <c r="AN146" s="160">
        <f t="shared" si="59"/>
        <v>1.3210526315789473</v>
      </c>
      <c r="AO146" s="148">
        <f t="shared" ref="AO146:AP146" si="79">R146+R80</f>
        <v>38.526666666666671</v>
      </c>
      <c r="AP146" s="150">
        <f t="shared" si="79"/>
        <v>0.99951417004048582</v>
      </c>
      <c r="AQ146" s="151">
        <f t="shared" ref="AQ146:AR146" si="80">U146+U80</f>
        <v>78.55</v>
      </c>
      <c r="AR146" s="149">
        <f t="shared" si="80"/>
        <v>2.0476484480431849</v>
      </c>
      <c r="AS146" s="150">
        <f t="shared" si="62"/>
        <v>1.987265980772474</v>
      </c>
    </row>
    <row r="147" spans="11:45" x14ac:dyDescent="0.25">
      <c r="K147" s="164" t="s">
        <v>89</v>
      </c>
      <c r="L147" s="162">
        <f>'32 days'!$A16</f>
        <v>12</v>
      </c>
      <c r="M147" s="163">
        <f t="shared" si="47"/>
        <v>38</v>
      </c>
      <c r="N147" s="163" t="str">
        <f>INDEX(Map!$W$2:$W$67, MATCH('Raw data'!L147, Map!$V$2:$V$67,0))</f>
        <v>T1</v>
      </c>
      <c r="O147" s="165" t="str">
        <f>INDEX(Map!$X$2:$X$67, MATCH('Raw data'!L147, Map!$V$2:$V$67,0))</f>
        <v>R2</v>
      </c>
      <c r="P147" s="158">
        <f>('32 days'!$C16-'32 days'!$C$3)+('32 days'!$D16-'32 days'!$C$3)</f>
        <v>53.05</v>
      </c>
      <c r="Q147" s="154">
        <f t="shared" si="44"/>
        <v>1.3960526315789472</v>
      </c>
      <c r="R147" s="155">
        <f t="shared" si="45"/>
        <v>16.852564102564092</v>
      </c>
      <c r="S147" s="328">
        <f t="shared" si="51"/>
        <v>0.44348852901484448</v>
      </c>
      <c r="T147" s="336">
        <f>IF((IF(('32 days'!$E16-'32 days'!$E$3)&lt;0, 0, ('32 days'!$E16-'32 days'!$E$3)))+(IF(('32 days'!$F16-'32 days'!$F$3)&lt;0, 0, ('32 days'!$F16-'32 days'!$F$3)))+('32 days'!$H16*'32 days'!$G16)+('32 days'!$I16)&lt;0, 0, (IF(('32 days'!$E16-'32 days'!$E$3)&lt;0, 0, ('32 days'!$E16-'32 days'!$E$3)))+(IF(('32 days'!$F16-'32 days'!$F$3)&lt;0, 0, ('32 days'!$F16-'32 days'!$F$3)))+('32 days'!$H16*'32 days'!$G16)+('32 days'!$I16))</f>
        <v>11.499999999999998</v>
      </c>
      <c r="U147" s="158">
        <f t="shared" si="55"/>
        <v>52.064999999999998</v>
      </c>
      <c r="V147" s="154">
        <f t="shared" si="46"/>
        <v>1.3701315789473683</v>
      </c>
      <c r="W147" s="155">
        <f t="shared" si="56"/>
        <v>1.8322039133041439</v>
      </c>
      <c r="X147" s="196">
        <f t="shared" si="54"/>
        <v>39</v>
      </c>
      <c r="Y147" s="213">
        <f t="shared" si="48"/>
        <v>38</v>
      </c>
      <c r="Z147" s="163">
        <f>'32 days'!J16</f>
        <v>0</v>
      </c>
      <c r="AA147" s="154">
        <f>'32 days'!K16</f>
        <v>0</v>
      </c>
      <c r="AB147" s="163">
        <f>'32 days'!L16</f>
        <v>1</v>
      </c>
      <c r="AC147" s="154">
        <f>'32 days'!M16</f>
        <v>1.95</v>
      </c>
      <c r="AD147" s="213">
        <f>'32 days'!N16</f>
        <v>0</v>
      </c>
      <c r="AE147" s="154">
        <f>'32 days'!O16</f>
        <v>0</v>
      </c>
      <c r="AF147" s="163">
        <f t="shared" si="49"/>
        <v>1</v>
      </c>
      <c r="AG147" s="160">
        <f t="shared" si="50"/>
        <v>1.95</v>
      </c>
      <c r="AI147" s="325" t="s">
        <v>117</v>
      </c>
      <c r="AJ147" s="162">
        <f t="shared" si="57"/>
        <v>12</v>
      </c>
      <c r="AK147" s="163" t="str">
        <f>INDEX(Map!$W$2:$W$67, MATCH('Raw data'!AJ147, Map!$V$2:$V$67,0))</f>
        <v>T1</v>
      </c>
      <c r="AL147" s="165" t="str">
        <f>INDEX(Map!$X$2:$X$67, MATCH('Raw data'!AJ147, Map!$V$2:$V$67,0))</f>
        <v>R2</v>
      </c>
      <c r="AM147" s="325">
        <f t="shared" si="58"/>
        <v>53.05</v>
      </c>
      <c r="AN147" s="160">
        <f t="shared" si="59"/>
        <v>1.3960526315789472</v>
      </c>
      <c r="AO147" s="148">
        <f t="shared" ref="AO147:AP147" si="81">R147+R81</f>
        <v>40.112564102564107</v>
      </c>
      <c r="AP147" s="150">
        <f t="shared" si="81"/>
        <v>1.0398987854251012</v>
      </c>
      <c r="AQ147" s="151">
        <f t="shared" ref="AQ147:AR147" si="82">U147+U81</f>
        <v>84.5</v>
      </c>
      <c r="AR147" s="149">
        <f t="shared" si="82"/>
        <v>2.201798245614035</v>
      </c>
      <c r="AS147" s="150">
        <f t="shared" si="62"/>
        <v>2.0089122430567405</v>
      </c>
    </row>
    <row r="148" spans="11:45" x14ac:dyDescent="0.25">
      <c r="K148" s="164" t="s">
        <v>89</v>
      </c>
      <c r="L148" s="162">
        <f>'32 days'!$A17</f>
        <v>13</v>
      </c>
      <c r="M148" s="163">
        <f t="shared" si="47"/>
        <v>38</v>
      </c>
      <c r="N148" s="163" t="str">
        <f>INDEX(Map!$W$2:$W$67, MATCH('Raw data'!L148, Map!$V$2:$V$67,0))</f>
        <v>T3</v>
      </c>
      <c r="O148" s="165" t="str">
        <f>INDEX(Map!$X$2:$X$67, MATCH('Raw data'!L148, Map!$V$2:$V$67,0))</f>
        <v>R2</v>
      </c>
      <c r="P148" s="158">
        <f>('32 days'!$C17-'32 days'!$C$3)+('32 days'!$D17-'32 days'!$C$3)</f>
        <v>54.999999999999993</v>
      </c>
      <c r="Q148" s="154">
        <f t="shared" si="44"/>
        <v>1.4473684210526314</v>
      </c>
      <c r="R148" s="155">
        <f t="shared" si="45"/>
        <v>18.749999999999993</v>
      </c>
      <c r="S148" s="328">
        <f t="shared" si="51"/>
        <v>0.49342105263157876</v>
      </c>
      <c r="T148" s="336">
        <f>IF((IF(('32 days'!$E17-'32 days'!$E$3)&lt;0, 0, ('32 days'!$E17-'32 days'!$E$3)))+(IF(('32 days'!$F17-'32 days'!$F$3)&lt;0, 0, ('32 days'!$F17-'32 days'!$F$3)))+('32 days'!$H17*'32 days'!$G17)+('32 days'!$I17)&lt;0, 0, (IF(('32 days'!$E17-'32 days'!$E$3)&lt;0, 0, ('32 days'!$E17-'32 days'!$E$3)))+(IF(('32 days'!$F17-'32 days'!$F$3)&lt;0, 0, ('32 days'!$F17-'32 days'!$F$3)))+('32 days'!$H17*'32 days'!$G17)+('32 days'!$I17))</f>
        <v>10.799999999999999</v>
      </c>
      <c r="U148" s="158">
        <f t="shared" si="55"/>
        <v>53.315000000000012</v>
      </c>
      <c r="V148" s="154">
        <f t="shared" si="46"/>
        <v>1.403026315789474</v>
      </c>
      <c r="W148" s="155">
        <f t="shared" si="56"/>
        <v>1.8176914778856528</v>
      </c>
      <c r="X148" s="196">
        <f t="shared" si="54"/>
        <v>38</v>
      </c>
      <c r="Y148" s="213">
        <f t="shared" si="48"/>
        <v>38</v>
      </c>
      <c r="Z148" s="163">
        <f>'32 days'!J17</f>
        <v>0</v>
      </c>
      <c r="AA148" s="154">
        <f>'32 days'!K17</f>
        <v>0</v>
      </c>
      <c r="AB148" s="163">
        <f>'32 days'!L17</f>
        <v>0</v>
      </c>
      <c r="AC148" s="154">
        <f>'32 days'!M17</f>
        <v>0</v>
      </c>
      <c r="AD148" s="213">
        <f>'32 days'!N17</f>
        <v>0</v>
      </c>
      <c r="AE148" s="154">
        <f>'32 days'!O17</f>
        <v>0</v>
      </c>
      <c r="AF148" s="163">
        <f t="shared" si="49"/>
        <v>0</v>
      </c>
      <c r="AG148" s="160">
        <f t="shared" si="50"/>
        <v>0</v>
      </c>
      <c r="AI148" s="325" t="s">
        <v>117</v>
      </c>
      <c r="AJ148" s="162">
        <f t="shared" si="57"/>
        <v>13</v>
      </c>
      <c r="AK148" s="163" t="str">
        <f>INDEX(Map!$W$2:$W$67, MATCH('Raw data'!AJ148, Map!$V$2:$V$67,0))</f>
        <v>T3</v>
      </c>
      <c r="AL148" s="165" t="str">
        <f>INDEX(Map!$X$2:$X$67, MATCH('Raw data'!AJ148, Map!$V$2:$V$67,0))</f>
        <v>R2</v>
      </c>
      <c r="AM148" s="325">
        <f t="shared" si="58"/>
        <v>54.999999999999993</v>
      </c>
      <c r="AN148" s="160">
        <f t="shared" si="59"/>
        <v>1.4473684210526314</v>
      </c>
      <c r="AO148" s="148">
        <f t="shared" ref="AO148:AP148" si="83">R148+R82</f>
        <v>41.612307692307681</v>
      </c>
      <c r="AP148" s="150">
        <f t="shared" si="83"/>
        <v>1.0950607287449392</v>
      </c>
      <c r="AQ148" s="151">
        <f t="shared" ref="AQ148:AR148" si="84">U148+U82</f>
        <v>85.2</v>
      </c>
      <c r="AR148" s="149">
        <f t="shared" si="84"/>
        <v>2.242105263157895</v>
      </c>
      <c r="AS148" s="150">
        <f t="shared" si="62"/>
        <v>2.0270121884264856</v>
      </c>
    </row>
    <row r="149" spans="11:45" x14ac:dyDescent="0.25">
      <c r="K149" s="164" t="s">
        <v>89</v>
      </c>
      <c r="L149" s="162">
        <f>'32 days'!$A18</f>
        <v>14</v>
      </c>
      <c r="M149" s="163">
        <f t="shared" si="47"/>
        <v>37</v>
      </c>
      <c r="N149" s="163" t="str">
        <f>INDEX(Map!$W$2:$W$67, MATCH('Raw data'!L149, Map!$V$2:$V$67,0))</f>
        <v>T5</v>
      </c>
      <c r="O149" s="165" t="str">
        <f>INDEX(Map!$X$2:$X$67, MATCH('Raw data'!L149, Map!$V$2:$V$67,0))</f>
        <v>R2</v>
      </c>
      <c r="P149" s="158">
        <f>('32 days'!$C18-'32 days'!$C$3)+('32 days'!$D18-'32 days'!$C$3)</f>
        <v>53.6</v>
      </c>
      <c r="Q149" s="154">
        <f t="shared" si="44"/>
        <v>1.4486486486486487</v>
      </c>
      <c r="R149" s="155">
        <f t="shared" si="45"/>
        <v>17.691025641025647</v>
      </c>
      <c r="S149" s="328">
        <f t="shared" si="51"/>
        <v>0.47813582813582833</v>
      </c>
      <c r="T149" s="336">
        <f>IF((IF(('32 days'!$E18-'32 days'!$E$3)&lt;0, 0, ('32 days'!$E18-'32 days'!$E$3)))+(IF(('32 days'!$F18-'32 days'!$F$3)&lt;0, 0, ('32 days'!$F18-'32 days'!$F$3)))+('32 days'!$H18*'32 days'!$G18)+('32 days'!$I18)&lt;0, 0, (IF(('32 days'!$E18-'32 days'!$E$3)&lt;0, 0, ('32 days'!$E18-'32 days'!$E$3)))+(IF(('32 days'!$F18-'32 days'!$F$3)&lt;0, 0, ('32 days'!$F18-'32 days'!$F$3)))+('32 days'!$H18*'32 days'!$G18)+('32 days'!$I18))</f>
        <v>10.199999999999999</v>
      </c>
      <c r="U149" s="158">
        <f t="shared" si="55"/>
        <v>53.265000000000001</v>
      </c>
      <c r="V149" s="154">
        <f t="shared" si="46"/>
        <v>1.4395945945945947</v>
      </c>
      <c r="W149" s="155">
        <f t="shared" si="56"/>
        <v>1.7717973697028737</v>
      </c>
      <c r="X149" s="196">
        <f t="shared" si="54"/>
        <v>39</v>
      </c>
      <c r="Y149" s="213">
        <f t="shared" si="48"/>
        <v>37</v>
      </c>
      <c r="Z149" s="163">
        <f>'32 days'!J18</f>
        <v>2</v>
      </c>
      <c r="AA149" s="154">
        <f>'32 days'!K18</f>
        <v>3.77</v>
      </c>
      <c r="AB149" s="163">
        <f>'32 days'!L18</f>
        <v>0</v>
      </c>
      <c r="AC149" s="154">
        <f>'32 days'!M18</f>
        <v>0</v>
      </c>
      <c r="AD149" s="213">
        <f>'32 days'!N18</f>
        <v>0</v>
      </c>
      <c r="AE149" s="154">
        <f>'32 days'!O18</f>
        <v>0</v>
      </c>
      <c r="AF149" s="163">
        <f t="shared" si="49"/>
        <v>2</v>
      </c>
      <c r="AG149" s="160">
        <f t="shared" si="50"/>
        <v>3.77</v>
      </c>
      <c r="AI149" s="325" t="s">
        <v>117</v>
      </c>
      <c r="AJ149" s="162">
        <f t="shared" si="57"/>
        <v>14</v>
      </c>
      <c r="AK149" s="163" t="str">
        <f>INDEX(Map!$W$2:$W$67, MATCH('Raw data'!AJ149, Map!$V$2:$V$67,0))</f>
        <v>T5</v>
      </c>
      <c r="AL149" s="165" t="str">
        <f>INDEX(Map!$X$2:$X$67, MATCH('Raw data'!AJ149, Map!$V$2:$V$67,0))</f>
        <v>R2</v>
      </c>
      <c r="AM149" s="325">
        <f t="shared" si="58"/>
        <v>53.6</v>
      </c>
      <c r="AN149" s="160">
        <f t="shared" si="59"/>
        <v>1.4486486486486487</v>
      </c>
      <c r="AO149" s="148">
        <f t="shared" ref="AO149:AP149" si="85">R149+R83</f>
        <v>41.451025641025652</v>
      </c>
      <c r="AP149" s="150">
        <f t="shared" si="85"/>
        <v>1.0873665973665976</v>
      </c>
      <c r="AQ149" s="151">
        <f t="shared" ref="AQ149:AR149" si="86">U149+U83</f>
        <v>85.8</v>
      </c>
      <c r="AR149" s="149">
        <f t="shared" si="86"/>
        <v>2.273825363825364</v>
      </c>
      <c r="AS149" s="150">
        <f t="shared" si="62"/>
        <v>1.8973475011623813</v>
      </c>
    </row>
    <row r="150" spans="11:45" x14ac:dyDescent="0.25">
      <c r="K150" s="164" t="s">
        <v>89</v>
      </c>
      <c r="L150" s="162">
        <f>'32 days'!$A19</f>
        <v>15</v>
      </c>
      <c r="M150" s="163">
        <f t="shared" si="47"/>
        <v>37</v>
      </c>
      <c r="N150" s="163" t="str">
        <f>INDEX(Map!$W$2:$W$67, MATCH('Raw data'!L150, Map!$V$2:$V$67,0))</f>
        <v>T4</v>
      </c>
      <c r="O150" s="165" t="str">
        <f>INDEX(Map!$X$2:$X$67, MATCH('Raw data'!L150, Map!$V$2:$V$67,0))</f>
        <v>R3</v>
      </c>
      <c r="P150" s="158">
        <f>('32 days'!$C19-'32 days'!$C$3)+('32 days'!$D19-'32 days'!$C$3)</f>
        <v>54.5</v>
      </c>
      <c r="Q150" s="154">
        <f t="shared" si="44"/>
        <v>1.472972972972973</v>
      </c>
      <c r="R150" s="155">
        <f t="shared" si="45"/>
        <v>18.619736842105272</v>
      </c>
      <c r="S150" s="328">
        <f t="shared" si="51"/>
        <v>0.50323613086771002</v>
      </c>
      <c r="T150" s="336">
        <f>IF((IF(('32 days'!$E19-'32 days'!$E$3)&lt;0, 0, ('32 days'!$E19-'32 days'!$E$3)))+(IF(('32 days'!$F19-'32 days'!$F$3)&lt;0, 0, ('32 days'!$F19-'32 days'!$F$3)))+('32 days'!$H19*'32 days'!$G19)+('32 days'!$I19)&lt;0, 0, (IF(('32 days'!$E19-'32 days'!$E$3)&lt;0, 0, ('32 days'!$E19-'32 days'!$E$3)))+(IF(('32 days'!$F19-'32 days'!$F$3)&lt;0, 0, ('32 days'!$F19-'32 days'!$F$3)))+('32 days'!$H19*'32 days'!$G19)+('32 days'!$I19))</f>
        <v>11.7</v>
      </c>
      <c r="U150" s="158">
        <f t="shared" si="55"/>
        <v>52.265000000000001</v>
      </c>
      <c r="V150" s="154">
        <f t="shared" si="46"/>
        <v>1.4125675675675675</v>
      </c>
      <c r="W150" s="155">
        <f t="shared" si="56"/>
        <v>1.7962633451957293</v>
      </c>
      <c r="X150" s="196">
        <f t="shared" si="54"/>
        <v>38</v>
      </c>
      <c r="Y150" s="213">
        <f t="shared" si="48"/>
        <v>37</v>
      </c>
      <c r="Z150" s="163">
        <f>'32 days'!J19</f>
        <v>0</v>
      </c>
      <c r="AA150" s="154">
        <f>'32 days'!K19</f>
        <v>0</v>
      </c>
      <c r="AB150" s="163">
        <f>'32 days'!L19</f>
        <v>1</v>
      </c>
      <c r="AC150" s="154">
        <f>'32 days'!M19</f>
        <v>1</v>
      </c>
      <c r="AD150" s="213">
        <f>'32 days'!N19</f>
        <v>0</v>
      </c>
      <c r="AE150" s="154">
        <f>'32 days'!O19</f>
        <v>0</v>
      </c>
      <c r="AF150" s="163">
        <f t="shared" si="49"/>
        <v>1</v>
      </c>
      <c r="AG150" s="160">
        <f t="shared" si="50"/>
        <v>1</v>
      </c>
      <c r="AI150" s="325" t="s">
        <v>117</v>
      </c>
      <c r="AJ150" s="162">
        <f t="shared" si="57"/>
        <v>15</v>
      </c>
      <c r="AK150" s="163" t="str">
        <f>INDEX(Map!$W$2:$W$67, MATCH('Raw data'!AJ150, Map!$V$2:$V$67,0))</f>
        <v>T4</v>
      </c>
      <c r="AL150" s="165" t="str">
        <f>INDEX(Map!$X$2:$X$67, MATCH('Raw data'!AJ150, Map!$V$2:$V$67,0))</f>
        <v>R3</v>
      </c>
      <c r="AM150" s="325">
        <f t="shared" si="58"/>
        <v>54.5</v>
      </c>
      <c r="AN150" s="160">
        <f t="shared" si="59"/>
        <v>1.472972972972973</v>
      </c>
      <c r="AO150" s="148">
        <f t="shared" ref="AO150:AP150" si="87">R150+R84</f>
        <v>41.546147098515519</v>
      </c>
      <c r="AP150" s="150">
        <f t="shared" si="87"/>
        <v>1.1065627165627165</v>
      </c>
      <c r="AQ150" s="151">
        <f t="shared" ref="AQ150:AR150" si="88">U150+U84</f>
        <v>84.3</v>
      </c>
      <c r="AR150" s="149">
        <f t="shared" si="88"/>
        <v>2.255593883357041</v>
      </c>
      <c r="AS150" s="150">
        <f t="shared" si="62"/>
        <v>1.9606407943215574</v>
      </c>
    </row>
    <row r="151" spans="11:45" x14ac:dyDescent="0.25">
      <c r="K151" s="164" t="s">
        <v>89</v>
      </c>
      <c r="L151" s="162">
        <f>'32 days'!$A20</f>
        <v>16</v>
      </c>
      <c r="M151" s="163">
        <f t="shared" si="47"/>
        <v>38</v>
      </c>
      <c r="N151" s="163" t="str">
        <f>INDEX(Map!$W$2:$W$67, MATCH('Raw data'!L151, Map!$V$2:$V$67,0))</f>
        <v>T2</v>
      </c>
      <c r="O151" s="165" t="str">
        <f>INDEX(Map!$X$2:$X$67, MATCH('Raw data'!L151, Map!$V$2:$V$67,0))</f>
        <v>R3</v>
      </c>
      <c r="P151" s="158">
        <f>('32 days'!$C20-'32 days'!$C$3)+('32 days'!$D20-'32 days'!$C$3)</f>
        <v>57.8</v>
      </c>
      <c r="Q151" s="154">
        <f t="shared" si="44"/>
        <v>1.5210526315789472</v>
      </c>
      <c r="R151" s="155">
        <f t="shared" si="45"/>
        <v>19.751282051282047</v>
      </c>
      <c r="S151" s="328">
        <f t="shared" si="51"/>
        <v>0.51977058029689593</v>
      </c>
      <c r="T151" s="336">
        <f>IF((IF(('32 days'!$E20-'32 days'!$E$3)&lt;0, 0, ('32 days'!$E20-'32 days'!$E$3)))+(IF(('32 days'!$F20-'32 days'!$F$3)&lt;0, 0, ('32 days'!$F20-'32 days'!$F$3)))+('32 days'!$H20*'32 days'!$G20)+('32 days'!$I20)&lt;0, 0, (IF(('32 days'!$E20-'32 days'!$E$3)&lt;0, 0, ('32 days'!$E20-'32 days'!$E$3)))+(IF(('32 days'!$F20-'32 days'!$F$3)&lt;0, 0, ('32 days'!$F20-'32 days'!$F$3)))+('32 days'!$H20*'32 days'!$G20)+('32 days'!$I20))</f>
        <v>8.3000000000000007</v>
      </c>
      <c r="U151" s="158">
        <f t="shared" si="55"/>
        <v>54.715000000000003</v>
      </c>
      <c r="V151" s="154">
        <f t="shared" si="46"/>
        <v>1.4398684210526316</v>
      </c>
      <c r="W151" s="155">
        <f t="shared" si="56"/>
        <v>1.7763303345181205</v>
      </c>
      <c r="X151" s="196">
        <f t="shared" si="54"/>
        <v>39</v>
      </c>
      <c r="Y151" s="213">
        <f t="shared" si="48"/>
        <v>38</v>
      </c>
      <c r="Z151" s="163">
        <f>'32 days'!J20</f>
        <v>0</v>
      </c>
      <c r="AA151" s="154">
        <f>'32 days'!K20</f>
        <v>0</v>
      </c>
      <c r="AB151" s="163">
        <f>'32 days'!L20</f>
        <v>1</v>
      </c>
      <c r="AC151" s="154">
        <f>'32 days'!M20</f>
        <v>0.95</v>
      </c>
      <c r="AD151" s="213">
        <f>'32 days'!N20</f>
        <v>0</v>
      </c>
      <c r="AE151" s="154">
        <f>'32 days'!O20</f>
        <v>0</v>
      </c>
      <c r="AF151" s="163">
        <f t="shared" si="49"/>
        <v>1</v>
      </c>
      <c r="AG151" s="160">
        <f t="shared" si="50"/>
        <v>0.95</v>
      </c>
      <c r="AI151" s="325" t="s">
        <v>117</v>
      </c>
      <c r="AJ151" s="162">
        <f t="shared" si="57"/>
        <v>16</v>
      </c>
      <c r="AK151" s="163" t="str">
        <f>INDEX(Map!$W$2:$W$67, MATCH('Raw data'!AJ151, Map!$V$2:$V$67,0))</f>
        <v>T2</v>
      </c>
      <c r="AL151" s="165" t="str">
        <f>INDEX(Map!$X$2:$X$67, MATCH('Raw data'!AJ151, Map!$V$2:$V$67,0))</f>
        <v>R3</v>
      </c>
      <c r="AM151" s="325">
        <f t="shared" si="58"/>
        <v>57.8</v>
      </c>
      <c r="AN151" s="160">
        <f t="shared" si="59"/>
        <v>1.5210526315789472</v>
      </c>
      <c r="AO151" s="148">
        <f t="shared" ref="AO151:AP151" si="89">R151+R85</f>
        <v>43.961282051282041</v>
      </c>
      <c r="AP151" s="150">
        <f t="shared" si="89"/>
        <v>1.1405398110661267</v>
      </c>
      <c r="AQ151" s="151">
        <f t="shared" ref="AQ151:AR151" si="90">U151+U85</f>
        <v>87.7</v>
      </c>
      <c r="AR151" s="149">
        <f t="shared" si="90"/>
        <v>2.2856376518218622</v>
      </c>
      <c r="AS151" s="150">
        <f t="shared" si="62"/>
        <v>1.9527387327723036</v>
      </c>
    </row>
    <row r="152" spans="11:45" x14ac:dyDescent="0.25">
      <c r="K152" s="164" t="s">
        <v>89</v>
      </c>
      <c r="L152" s="162">
        <f>'32 days'!$A21</f>
        <v>17</v>
      </c>
      <c r="M152" s="163">
        <f t="shared" si="47"/>
        <v>39</v>
      </c>
      <c r="N152" s="163" t="str">
        <f>INDEX(Map!$W$2:$W$67, MATCH('Raw data'!L152, Map!$V$2:$V$67,0))</f>
        <v>T6</v>
      </c>
      <c r="O152" s="165" t="str">
        <f>INDEX(Map!$X$2:$X$67, MATCH('Raw data'!L152, Map!$V$2:$V$67,0))</f>
        <v>R3</v>
      </c>
      <c r="P152" s="158">
        <f>('32 days'!$C21-'32 days'!$C$3)+('32 days'!$D21-'32 days'!$C$3)</f>
        <v>54.75</v>
      </c>
      <c r="Q152" s="154">
        <f t="shared" si="44"/>
        <v>1.4038461538461537</v>
      </c>
      <c r="R152" s="155">
        <f t="shared" si="45"/>
        <v>19.065000000000005</v>
      </c>
      <c r="S152" s="328">
        <f t="shared" si="51"/>
        <v>0.48884615384615393</v>
      </c>
      <c r="T152" s="336">
        <f>IF((IF(('32 days'!$E21-'32 days'!$E$3)&lt;0, 0, ('32 days'!$E21-'32 days'!$E$3)))+(IF(('32 days'!$F21-'32 days'!$F$3)&lt;0, 0, ('32 days'!$F21-'32 days'!$F$3)))+('32 days'!$H21*'32 days'!$G21)+('32 days'!$I21)&lt;0, 0, (IF(('32 days'!$E21-'32 days'!$E$3)&lt;0, 0, ('32 days'!$E21-'32 days'!$E$3)))+(IF(('32 days'!$F21-'32 days'!$F$3)&lt;0, 0, ('32 days'!$F21-'32 days'!$F$3)))+('32 days'!$H21*'32 days'!$G21)+('32 days'!$I21))</f>
        <v>11.25</v>
      </c>
      <c r="U152" s="158">
        <f t="shared" si="55"/>
        <v>53.164999999999992</v>
      </c>
      <c r="V152" s="154">
        <f t="shared" si="46"/>
        <v>1.3632051282051281</v>
      </c>
      <c r="W152" s="155">
        <f t="shared" si="56"/>
        <v>1.8055555555555556</v>
      </c>
      <c r="X152" s="196">
        <f t="shared" si="54"/>
        <v>40</v>
      </c>
      <c r="Y152" s="213">
        <f t="shared" si="48"/>
        <v>39</v>
      </c>
      <c r="Z152" s="163">
        <f>'32 days'!J21</f>
        <v>0</v>
      </c>
      <c r="AA152" s="154">
        <f>'32 days'!K21</f>
        <v>0</v>
      </c>
      <c r="AB152" s="163">
        <f>'32 days'!L21</f>
        <v>1</v>
      </c>
      <c r="AC152" s="154">
        <f>'32 days'!M21</f>
        <v>1.05</v>
      </c>
      <c r="AD152" s="213">
        <f>'32 days'!N21</f>
        <v>0</v>
      </c>
      <c r="AE152" s="154">
        <f>'32 days'!O21</f>
        <v>0</v>
      </c>
      <c r="AF152" s="163">
        <f t="shared" si="49"/>
        <v>1</v>
      </c>
      <c r="AG152" s="160">
        <f t="shared" si="50"/>
        <v>1.05</v>
      </c>
      <c r="AI152" s="325" t="s">
        <v>117</v>
      </c>
      <c r="AJ152" s="162">
        <f t="shared" si="57"/>
        <v>17</v>
      </c>
      <c r="AK152" s="163" t="str">
        <f>INDEX(Map!$W$2:$W$67, MATCH('Raw data'!AJ152, Map!$V$2:$V$67,0))</f>
        <v>T6</v>
      </c>
      <c r="AL152" s="165" t="str">
        <f>INDEX(Map!$X$2:$X$67, MATCH('Raw data'!AJ152, Map!$V$2:$V$67,0))</f>
        <v>R3</v>
      </c>
      <c r="AM152" s="325">
        <f t="shared" si="58"/>
        <v>54.75</v>
      </c>
      <c r="AN152" s="160">
        <f t="shared" si="59"/>
        <v>1.4038461538461537</v>
      </c>
      <c r="AO152" s="148">
        <f t="shared" ref="AO152:AP152" si="91">R152+R86</f>
        <v>41.674999999999997</v>
      </c>
      <c r="AP152" s="150">
        <f t="shared" si="91"/>
        <v>1.0540961538461537</v>
      </c>
      <c r="AQ152" s="151">
        <f t="shared" ref="AQ152:AR152" si="92">U152+U86</f>
        <v>84.75</v>
      </c>
      <c r="AR152" s="149">
        <f t="shared" si="92"/>
        <v>2.1528301282051281</v>
      </c>
      <c r="AS152" s="150">
        <f t="shared" si="62"/>
        <v>1.9836161497952021</v>
      </c>
    </row>
    <row r="153" spans="11:45" x14ac:dyDescent="0.25">
      <c r="K153" s="164" t="s">
        <v>89</v>
      </c>
      <c r="L153" s="162">
        <f>'32 days'!$A22</f>
        <v>18</v>
      </c>
      <c r="M153" s="163">
        <f t="shared" si="47"/>
        <v>40</v>
      </c>
      <c r="N153" s="163" t="str">
        <f>INDEX(Map!$W$2:$W$67, MATCH('Raw data'!L153, Map!$V$2:$V$67,0))</f>
        <v>T5</v>
      </c>
      <c r="O153" s="165" t="str">
        <f>INDEX(Map!$X$2:$X$67, MATCH('Raw data'!L153, Map!$V$2:$V$67,0))</f>
        <v>R3</v>
      </c>
      <c r="P153" s="158">
        <f>('32 days'!$C22-'32 days'!$C$3)+('32 days'!$D22-'32 days'!$C$3)</f>
        <v>59.849999999999994</v>
      </c>
      <c r="Q153" s="154">
        <f t="shared" si="44"/>
        <v>1.4962499999999999</v>
      </c>
      <c r="R153" s="155">
        <f t="shared" si="45"/>
        <v>21.349999999999994</v>
      </c>
      <c r="S153" s="328">
        <f t="shared" si="51"/>
        <v>0.53374999999999984</v>
      </c>
      <c r="T153" s="336">
        <f>IF((IF(('32 days'!$E22-'32 days'!$E$3)&lt;0, 0, ('32 days'!$E22-'32 days'!$E$3)))+(IF(('32 days'!$F22-'32 days'!$F$3)&lt;0, 0, ('32 days'!$F22-'32 days'!$F$3)))+('32 days'!$H22*'32 days'!$G22)+('32 days'!$I22)&lt;0, 0, (IF(('32 days'!$E22-'32 days'!$E$3)&lt;0, 0, ('32 days'!$E22-'32 days'!$E$3)))+(IF(('32 days'!$F22-'32 days'!$F$3)&lt;0, 0, ('32 days'!$F22-'32 days'!$F$3)))+('32 days'!$H22*'32 days'!$G22)+('32 days'!$I22))</f>
        <v>6.5</v>
      </c>
      <c r="U153" s="158">
        <f t="shared" si="55"/>
        <v>56.465000000000003</v>
      </c>
      <c r="V153" s="154">
        <f t="shared" si="46"/>
        <v>1.4116250000000001</v>
      </c>
      <c r="W153" s="155">
        <f t="shared" si="56"/>
        <v>1.7644110275689224</v>
      </c>
      <c r="X153" s="196">
        <f t="shared" si="54"/>
        <v>40</v>
      </c>
      <c r="Y153" s="213">
        <f t="shared" si="48"/>
        <v>40</v>
      </c>
      <c r="Z153" s="163">
        <f>'32 days'!J22</f>
        <v>0</v>
      </c>
      <c r="AA153" s="154">
        <f>'32 days'!K22</f>
        <v>0</v>
      </c>
      <c r="AB153" s="163">
        <f>'32 days'!L22</f>
        <v>0</v>
      </c>
      <c r="AC153" s="154">
        <f>'32 days'!M22</f>
        <v>0</v>
      </c>
      <c r="AD153" s="213">
        <f>'32 days'!N22</f>
        <v>0</v>
      </c>
      <c r="AE153" s="154">
        <f>'32 days'!O22</f>
        <v>0</v>
      </c>
      <c r="AF153" s="163">
        <f t="shared" si="49"/>
        <v>0</v>
      </c>
      <c r="AG153" s="160">
        <f t="shared" si="50"/>
        <v>0</v>
      </c>
      <c r="AI153" s="325" t="s">
        <v>117</v>
      </c>
      <c r="AJ153" s="162">
        <f t="shared" si="57"/>
        <v>18</v>
      </c>
      <c r="AK153" s="163" t="str">
        <f>INDEX(Map!$W$2:$W$67, MATCH('Raw data'!AJ153, Map!$V$2:$V$67,0))</f>
        <v>T5</v>
      </c>
      <c r="AL153" s="165" t="str">
        <f>INDEX(Map!$X$2:$X$67, MATCH('Raw data'!AJ153, Map!$V$2:$V$67,0))</f>
        <v>R3</v>
      </c>
      <c r="AM153" s="325">
        <f t="shared" si="58"/>
        <v>59.849999999999994</v>
      </c>
      <c r="AN153" s="160">
        <f t="shared" si="59"/>
        <v>1.4962499999999999</v>
      </c>
      <c r="AO153" s="148">
        <f t="shared" ref="AO153:AP153" si="93">R153+R87</f>
        <v>45.61</v>
      </c>
      <c r="AP153" s="150">
        <f t="shared" si="93"/>
        <v>1.14025</v>
      </c>
      <c r="AQ153" s="151">
        <f t="shared" ref="AQ153:AR153" si="94">U153+U87</f>
        <v>89.5</v>
      </c>
      <c r="AR153" s="149">
        <f t="shared" si="94"/>
        <v>2.2374999999999998</v>
      </c>
      <c r="AS153" s="150">
        <f t="shared" si="62"/>
        <v>1.9622889717167289</v>
      </c>
    </row>
    <row r="154" spans="11:45" x14ac:dyDescent="0.25">
      <c r="K154" s="164" t="s">
        <v>89</v>
      </c>
      <c r="L154" s="162">
        <f>'32 days'!$A23</f>
        <v>19</v>
      </c>
      <c r="M154" s="163">
        <f t="shared" si="47"/>
        <v>34</v>
      </c>
      <c r="N154" s="163" t="str">
        <f>INDEX(Map!$W$2:$W$67, MATCH('Raw data'!L154, Map!$V$2:$V$67,0))</f>
        <v>T3</v>
      </c>
      <c r="O154" s="165" t="str">
        <f>INDEX(Map!$X$2:$X$67, MATCH('Raw data'!L154, Map!$V$2:$V$67,0))</f>
        <v>R3</v>
      </c>
      <c r="P154" s="158">
        <f>('32 days'!$C23-'32 days'!$C$3)+('32 days'!$D23-'32 days'!$C$3)</f>
        <v>45.65</v>
      </c>
      <c r="Q154" s="154">
        <f t="shared" si="44"/>
        <v>1.3426470588235293</v>
      </c>
      <c r="R154" s="155">
        <f t="shared" si="45"/>
        <v>14.499999999999993</v>
      </c>
      <c r="S154" s="328">
        <f t="shared" si="51"/>
        <v>0.42647058823529393</v>
      </c>
      <c r="T154" s="336">
        <f>IF((IF(('32 days'!$E23-'32 days'!$E$3)&lt;0, 0, ('32 days'!$E23-'32 days'!$E$3)))+(IF(('32 days'!$F23-'32 days'!$F$3)&lt;0, 0, ('32 days'!$F23-'32 days'!$F$3)))+('32 days'!$H23*'32 days'!$G23)+('32 days'!$I23)&lt;0, 0, (IF(('32 days'!$E23-'32 days'!$E$3)&lt;0, 0, ('32 days'!$E23-'32 days'!$E$3)))+(IF(('32 days'!$F23-'32 days'!$F$3)&lt;0, 0, ('32 days'!$F23-'32 days'!$F$3)))+('32 days'!$H23*'32 days'!$G23)+('32 days'!$I23))</f>
        <v>22</v>
      </c>
      <c r="U154" s="158">
        <f t="shared" si="55"/>
        <v>46.115000000000009</v>
      </c>
      <c r="V154" s="154">
        <f t="shared" si="46"/>
        <v>1.356323529411765</v>
      </c>
      <c r="W154" s="155">
        <f t="shared" si="56"/>
        <v>1.8600252206809584</v>
      </c>
      <c r="X154" s="196">
        <f t="shared" si="54"/>
        <v>34</v>
      </c>
      <c r="Y154" s="213">
        <f t="shared" si="48"/>
        <v>34</v>
      </c>
      <c r="Z154" s="163">
        <f>'32 days'!J23</f>
        <v>0</v>
      </c>
      <c r="AA154" s="154">
        <f>'32 days'!K23</f>
        <v>0</v>
      </c>
      <c r="AB154" s="163">
        <f>'32 days'!L23</f>
        <v>0</v>
      </c>
      <c r="AC154" s="154">
        <f>'32 days'!M23</f>
        <v>0</v>
      </c>
      <c r="AD154" s="213">
        <f>'32 days'!N23</f>
        <v>0</v>
      </c>
      <c r="AE154" s="154">
        <f>'32 days'!O23</f>
        <v>0</v>
      </c>
      <c r="AF154" s="163">
        <f t="shared" si="49"/>
        <v>0</v>
      </c>
      <c r="AG154" s="160">
        <f t="shared" si="50"/>
        <v>0</v>
      </c>
      <c r="AI154" s="325" t="s">
        <v>117</v>
      </c>
      <c r="AJ154" s="162">
        <f t="shared" si="57"/>
        <v>19</v>
      </c>
      <c r="AK154" s="163" t="str">
        <f>INDEX(Map!$W$2:$W$67, MATCH('Raw data'!AJ154, Map!$V$2:$V$67,0))</f>
        <v>T3</v>
      </c>
      <c r="AL154" s="165" t="str">
        <f>INDEX(Map!$X$2:$X$67, MATCH('Raw data'!AJ154, Map!$V$2:$V$67,0))</f>
        <v>R3</v>
      </c>
      <c r="AM154" s="325">
        <f t="shared" si="58"/>
        <v>45.65</v>
      </c>
      <c r="AN154" s="160">
        <f t="shared" si="59"/>
        <v>1.3426470588235293</v>
      </c>
      <c r="AO154" s="148">
        <f t="shared" ref="AO154:AP154" si="95">R154+R88</f>
        <v>34.373333333333328</v>
      </c>
      <c r="AP154" s="150">
        <f t="shared" si="95"/>
        <v>1.0109803921568625</v>
      </c>
      <c r="AQ154" s="151">
        <f t="shared" ref="AQ154:AR154" si="96">U154+U88</f>
        <v>74</v>
      </c>
      <c r="AR154" s="149">
        <f t="shared" si="96"/>
        <v>2.1764705882352944</v>
      </c>
      <c r="AS154" s="150">
        <f t="shared" si="62"/>
        <v>2.0890185376870241</v>
      </c>
    </row>
    <row r="155" spans="11:45" x14ac:dyDescent="0.25">
      <c r="K155" s="164" t="s">
        <v>89</v>
      </c>
      <c r="L155" s="162">
        <f>'32 days'!$A24</f>
        <v>20</v>
      </c>
      <c r="M155" s="163">
        <f t="shared" si="47"/>
        <v>39</v>
      </c>
      <c r="N155" s="163" t="str">
        <f>INDEX(Map!$W$2:$W$67, MATCH('Raw data'!L155, Map!$V$2:$V$67,0))</f>
        <v>T1</v>
      </c>
      <c r="O155" s="165" t="str">
        <f>INDEX(Map!$X$2:$X$67, MATCH('Raw data'!L155, Map!$V$2:$V$67,0))</f>
        <v>R3</v>
      </c>
      <c r="P155" s="158">
        <f>('32 days'!$C24-'32 days'!$C$3)+('32 days'!$D24-'32 days'!$C$3)</f>
        <v>57.05</v>
      </c>
      <c r="Q155" s="154">
        <f t="shared" si="44"/>
        <v>1.4628205128205127</v>
      </c>
      <c r="R155" s="155">
        <f t="shared" si="45"/>
        <v>20.292499999999993</v>
      </c>
      <c r="S155" s="328">
        <f t="shared" si="51"/>
        <v>0.52032051282051262</v>
      </c>
      <c r="T155" s="336">
        <f>IF((IF(('32 days'!$E24-'32 days'!$E$3)&lt;0, 0, ('32 days'!$E24-'32 days'!$E$3)))+(IF(('32 days'!$F24-'32 days'!$F$3)&lt;0, 0, ('32 days'!$F24-'32 days'!$F$3)))+('32 days'!$H24*'32 days'!$G24)+('32 days'!$I24)&lt;0, 0, (IF(('32 days'!$E24-'32 days'!$E$3)&lt;0, 0, ('32 days'!$E24-'32 days'!$E$3)))+(IF(('32 days'!$F24-'32 days'!$F$3)&lt;0, 0, ('32 days'!$F24-'32 days'!$F$3)))+('32 days'!$H24*'32 days'!$G24)+('32 days'!$I24))</f>
        <v>8</v>
      </c>
      <c r="U155" s="158">
        <f t="shared" si="55"/>
        <v>55.015000000000001</v>
      </c>
      <c r="V155" s="154">
        <f t="shared" si="46"/>
        <v>1.4106410256410256</v>
      </c>
      <c r="W155" s="155">
        <f t="shared" si="56"/>
        <v>1.7950043066322137</v>
      </c>
      <c r="X155" s="196">
        <f t="shared" si="54"/>
        <v>40</v>
      </c>
      <c r="Y155" s="213">
        <f t="shared" si="48"/>
        <v>39</v>
      </c>
      <c r="Z155" s="163">
        <f>'32 days'!J24</f>
        <v>0</v>
      </c>
      <c r="AA155" s="154">
        <f>'32 days'!K24</f>
        <v>0</v>
      </c>
      <c r="AB155" s="163">
        <f>'32 days'!L24</f>
        <v>1</v>
      </c>
      <c r="AC155" s="154">
        <f>'32 days'!M24</f>
        <v>1</v>
      </c>
      <c r="AD155" s="213">
        <f>'32 days'!N24</f>
        <v>0</v>
      </c>
      <c r="AE155" s="154">
        <f>'32 days'!O24</f>
        <v>0</v>
      </c>
      <c r="AF155" s="163">
        <f t="shared" si="49"/>
        <v>1</v>
      </c>
      <c r="AG155" s="160">
        <f t="shared" si="50"/>
        <v>1</v>
      </c>
      <c r="AI155" s="325" t="s">
        <v>117</v>
      </c>
      <c r="AJ155" s="162">
        <f t="shared" si="57"/>
        <v>20</v>
      </c>
      <c r="AK155" s="163" t="str">
        <f>INDEX(Map!$W$2:$W$67, MATCH('Raw data'!AJ155, Map!$V$2:$V$67,0))</f>
        <v>T1</v>
      </c>
      <c r="AL155" s="165" t="str">
        <f>INDEX(Map!$X$2:$X$67, MATCH('Raw data'!AJ155, Map!$V$2:$V$67,0))</f>
        <v>R3</v>
      </c>
      <c r="AM155" s="325">
        <f t="shared" si="58"/>
        <v>57.05</v>
      </c>
      <c r="AN155" s="160">
        <f t="shared" si="59"/>
        <v>1.4628205128205127</v>
      </c>
      <c r="AO155" s="148">
        <f t="shared" ref="AO155:AP155" si="97">R155+R89</f>
        <v>43.852500000000006</v>
      </c>
      <c r="AP155" s="150">
        <f t="shared" si="97"/>
        <v>1.1093205128205128</v>
      </c>
      <c r="AQ155" s="151">
        <f t="shared" ref="AQ155:AR155" si="98">U155+U89</f>
        <v>88</v>
      </c>
      <c r="AR155" s="149">
        <f t="shared" si="98"/>
        <v>2.2352660256410255</v>
      </c>
      <c r="AS155" s="150">
        <f t="shared" si="62"/>
        <v>1.9619865113427342</v>
      </c>
    </row>
    <row r="156" spans="11:45" x14ac:dyDescent="0.25">
      <c r="K156" s="164" t="s">
        <v>89</v>
      </c>
      <c r="L156" s="162">
        <f>'32 days'!$A25</f>
        <v>21</v>
      </c>
      <c r="M156" s="163">
        <f t="shared" si="47"/>
        <v>35</v>
      </c>
      <c r="N156" s="163" t="str">
        <f>INDEX(Map!$W$2:$W$67, MATCH('Raw data'!L156, Map!$V$2:$V$67,0))</f>
        <v>T2</v>
      </c>
      <c r="O156" s="165" t="str">
        <f>INDEX(Map!$X$2:$X$67, MATCH('Raw data'!L156, Map!$V$2:$V$67,0))</f>
        <v>R11</v>
      </c>
      <c r="P156" s="158">
        <f>('32 days'!$C25-'32 days'!$C$3)+('32 days'!$D25-'32 days'!$C$3)</f>
        <v>47.95</v>
      </c>
      <c r="Q156" s="154">
        <f t="shared" si="44"/>
        <v>1.37</v>
      </c>
      <c r="R156" s="155">
        <f t="shared" si="45"/>
        <v>15.693243243243254</v>
      </c>
      <c r="S156" s="328">
        <f t="shared" si="51"/>
        <v>0.44837837837837868</v>
      </c>
      <c r="T156" s="336">
        <f>IF((IF(('32 days'!$E25-'32 days'!$E$3)&lt;0, 0, ('32 days'!$E25-'32 days'!$E$3)))+(IF(('32 days'!$F25-'32 days'!$F$3)&lt;0, 0, ('32 days'!$F25-'32 days'!$F$3)))+('32 days'!$H25*'32 days'!$G25)+('32 days'!$I25)&lt;0, 0, (IF(('32 days'!$E25-'32 days'!$E$3)&lt;0, 0, ('32 days'!$E25-'32 days'!$E$3)))+(IF(('32 days'!$F25-'32 days'!$F$3)&lt;0, 0, ('32 days'!$F25-'32 days'!$F$3)))+('32 days'!$H25*'32 days'!$G25)+('32 days'!$I25))</f>
        <v>17.850000000000001</v>
      </c>
      <c r="U156" s="158">
        <f t="shared" si="55"/>
        <v>49.015000000000008</v>
      </c>
      <c r="V156" s="154">
        <f t="shared" si="46"/>
        <v>1.4004285714285716</v>
      </c>
      <c r="W156" s="155">
        <f t="shared" si="56"/>
        <v>1.8352846992895027</v>
      </c>
      <c r="X156" s="196">
        <f t="shared" si="54"/>
        <v>37</v>
      </c>
      <c r="Y156" s="213">
        <f t="shared" si="48"/>
        <v>35</v>
      </c>
      <c r="Z156" s="163">
        <f>'32 days'!J25</f>
        <v>1</v>
      </c>
      <c r="AA156" s="154">
        <f>'32 days'!K25</f>
        <v>0.62</v>
      </c>
      <c r="AB156" s="163">
        <f>'32 days'!L25</f>
        <v>1</v>
      </c>
      <c r="AC156" s="154">
        <f>'32 days'!M25</f>
        <v>1</v>
      </c>
      <c r="AD156" s="213">
        <f>'32 days'!N25</f>
        <v>0</v>
      </c>
      <c r="AE156" s="154">
        <f>'32 days'!O25</f>
        <v>0</v>
      </c>
      <c r="AF156" s="163">
        <f t="shared" si="49"/>
        <v>2</v>
      </c>
      <c r="AG156" s="160">
        <f t="shared" si="50"/>
        <v>1.62</v>
      </c>
      <c r="AI156" s="325" t="s">
        <v>117</v>
      </c>
      <c r="AJ156" s="162">
        <f t="shared" si="57"/>
        <v>21</v>
      </c>
      <c r="AK156" s="163" t="str">
        <f>INDEX(Map!$W$2:$W$67, MATCH('Raw data'!AJ156, Map!$V$2:$V$67,0))</f>
        <v>T2</v>
      </c>
      <c r="AL156" s="165" t="str">
        <f>INDEX(Map!$X$2:$X$67, MATCH('Raw data'!AJ156, Map!$V$2:$V$67,0))</f>
        <v>R11</v>
      </c>
      <c r="AM156" s="325">
        <f t="shared" si="58"/>
        <v>47.95</v>
      </c>
      <c r="AN156" s="160">
        <f t="shared" si="59"/>
        <v>1.37</v>
      </c>
      <c r="AO156" s="148">
        <f t="shared" ref="AO156:AP156" si="99">R156+R90</f>
        <v>37.203243243243243</v>
      </c>
      <c r="AP156" s="150">
        <f t="shared" si="99"/>
        <v>1.0297297297297296</v>
      </c>
      <c r="AQ156" s="151">
        <f t="shared" ref="AQ156:AR156" si="100">U156+U90</f>
        <v>76.5</v>
      </c>
      <c r="AR156" s="149">
        <f t="shared" si="100"/>
        <v>2.1432664092664089</v>
      </c>
      <c r="AS156" s="150">
        <f t="shared" si="62"/>
        <v>1.9704690697965834</v>
      </c>
    </row>
    <row r="157" spans="11:45" x14ac:dyDescent="0.25">
      <c r="K157" s="164" t="s">
        <v>89</v>
      </c>
      <c r="L157" s="162">
        <f>'32 days'!$A26</f>
        <v>22</v>
      </c>
      <c r="M157" s="163">
        <f t="shared" si="47"/>
        <v>39</v>
      </c>
      <c r="N157" s="163" t="str">
        <f>INDEX(Map!$W$2:$W$67, MATCH('Raw data'!L157, Map!$V$2:$V$67,0))</f>
        <v>T5</v>
      </c>
      <c r="O157" s="165" t="str">
        <f>INDEX(Map!$X$2:$X$67, MATCH('Raw data'!L157, Map!$V$2:$V$67,0))</f>
        <v>R11</v>
      </c>
      <c r="P157" s="158">
        <f>('32 days'!$C26-'32 days'!$C$3)+('32 days'!$D26-'32 days'!$C$3)</f>
        <v>51.099999999999994</v>
      </c>
      <c r="Q157" s="154">
        <f t="shared" si="44"/>
        <v>1.31025641025641</v>
      </c>
      <c r="R157" s="155">
        <f t="shared" si="45"/>
        <v>16.243749999999991</v>
      </c>
      <c r="S157" s="328">
        <f t="shared" si="51"/>
        <v>0.41650641025641</v>
      </c>
      <c r="T157" s="336">
        <f>IF((IF(('32 days'!$E26-'32 days'!$E$3)&lt;0, 0, ('32 days'!$E26-'32 days'!$E$3)))+(IF(('32 days'!$F26-'32 days'!$F$3)&lt;0, 0, ('32 days'!$F26-'32 days'!$F$3)))+('32 days'!$H26*'32 days'!$G26)+('32 days'!$I26)&lt;0, 0, (IF(('32 days'!$E26-'32 days'!$E$3)&lt;0, 0, ('32 days'!$E26-'32 days'!$E$3)))+(IF(('32 days'!$F26-'32 days'!$F$3)&lt;0, 0, ('32 days'!$F26-'32 days'!$F$3)))+('32 days'!$H26*'32 days'!$G26)+('32 days'!$I26))</f>
        <v>14.2</v>
      </c>
      <c r="U157" s="158">
        <f t="shared" si="55"/>
        <v>50.915000000000006</v>
      </c>
      <c r="V157" s="154">
        <f t="shared" si="46"/>
        <v>1.3055128205128206</v>
      </c>
      <c r="W157" s="155">
        <f t="shared" si="56"/>
        <v>1.8487070629100737</v>
      </c>
      <c r="X157" s="196">
        <f t="shared" si="54"/>
        <v>40</v>
      </c>
      <c r="Y157" s="213">
        <f t="shared" si="48"/>
        <v>39</v>
      </c>
      <c r="Z157" s="163">
        <f>'32 days'!J26</f>
        <v>1</v>
      </c>
      <c r="AA157" s="154">
        <f>'32 days'!K26</f>
        <v>0.72</v>
      </c>
      <c r="AB157" s="163">
        <f>'32 days'!L26</f>
        <v>0</v>
      </c>
      <c r="AC157" s="154">
        <f>'32 days'!M26</f>
        <v>0</v>
      </c>
      <c r="AD157" s="213">
        <f>'32 days'!N26</f>
        <v>0</v>
      </c>
      <c r="AE157" s="154">
        <f>'32 days'!O26</f>
        <v>0</v>
      </c>
      <c r="AF157" s="163">
        <f t="shared" si="49"/>
        <v>1</v>
      </c>
      <c r="AG157" s="160">
        <f t="shared" si="50"/>
        <v>0.72</v>
      </c>
      <c r="AI157" s="325" t="s">
        <v>117</v>
      </c>
      <c r="AJ157" s="162">
        <f t="shared" si="57"/>
        <v>22</v>
      </c>
      <c r="AK157" s="163" t="str">
        <f>INDEX(Map!$W$2:$W$67, MATCH('Raw data'!AJ157, Map!$V$2:$V$67,0))</f>
        <v>T5</v>
      </c>
      <c r="AL157" s="165" t="str">
        <f>INDEX(Map!$X$2:$X$67, MATCH('Raw data'!AJ157, Map!$V$2:$V$67,0))</f>
        <v>R11</v>
      </c>
      <c r="AM157" s="325">
        <f t="shared" si="58"/>
        <v>51.099999999999994</v>
      </c>
      <c r="AN157" s="160">
        <f t="shared" si="59"/>
        <v>1.31025641025641</v>
      </c>
      <c r="AO157" s="148">
        <f t="shared" ref="AO157:AP157" si="101">R157+R91</f>
        <v>38.453749999999992</v>
      </c>
      <c r="AP157" s="150">
        <f t="shared" si="101"/>
        <v>0.97175641025641002</v>
      </c>
      <c r="AQ157" s="151">
        <f t="shared" ref="AQ157:AR157" si="102">U157+U91</f>
        <v>80.2</v>
      </c>
      <c r="AR157" s="149">
        <f t="shared" si="102"/>
        <v>2.0376378205128205</v>
      </c>
      <c r="AS157" s="150">
        <f t="shared" si="62"/>
        <v>2.0472893200165934</v>
      </c>
    </row>
    <row r="158" spans="11:45" x14ac:dyDescent="0.25">
      <c r="K158" s="164" t="s">
        <v>89</v>
      </c>
      <c r="L158" s="162">
        <f>'32 days'!$A27</f>
        <v>23</v>
      </c>
      <c r="M158" s="163">
        <f t="shared" si="47"/>
        <v>39</v>
      </c>
      <c r="N158" s="163" t="str">
        <f>INDEX(Map!$W$2:$W$67, MATCH('Raw data'!L158, Map!$V$2:$V$67,0))</f>
        <v>T5</v>
      </c>
      <c r="O158" s="165" t="str">
        <f>INDEX(Map!$X$2:$X$67, MATCH('Raw data'!L158, Map!$V$2:$V$67,0))</f>
        <v>R10</v>
      </c>
      <c r="P158" s="158">
        <f>('32 days'!$C27-'32 days'!$C$3)+('32 days'!$D27-'32 days'!$C$3)</f>
        <v>56.749999999999993</v>
      </c>
      <c r="Q158" s="154">
        <f t="shared" si="44"/>
        <v>1.4551282051282048</v>
      </c>
      <c r="R158" s="155">
        <f t="shared" si="45"/>
        <v>20.049999999999986</v>
      </c>
      <c r="S158" s="328">
        <f t="shared" si="51"/>
        <v>0.51410256410256372</v>
      </c>
      <c r="T158" s="336">
        <f>IF((IF(('32 days'!$E27-'32 days'!$E$3)&lt;0, 0, ('32 days'!$E27-'32 days'!$E$3)))+(IF(('32 days'!$F27-'32 days'!$F$3)&lt;0, 0, ('32 days'!$F27-'32 days'!$F$3)))+('32 days'!$H27*'32 days'!$G27)+('32 days'!$I27)&lt;0, 0, (IF(('32 days'!$E27-'32 days'!$E$3)&lt;0, 0, ('32 days'!$E27-'32 days'!$E$3)))+(IF(('32 days'!$F27-'32 days'!$F$3)&lt;0, 0, ('32 days'!$F27-'32 days'!$F$3)))+('32 days'!$H27*'32 days'!$G27)+('32 days'!$I27))</f>
        <v>9.75</v>
      </c>
      <c r="U158" s="158">
        <f t="shared" si="55"/>
        <v>54.615000000000009</v>
      </c>
      <c r="V158" s="154">
        <f t="shared" si="46"/>
        <v>1.4003846153846156</v>
      </c>
      <c r="W158" s="155">
        <f t="shared" si="56"/>
        <v>1.7954345917471468</v>
      </c>
      <c r="X158" s="196">
        <f t="shared" si="54"/>
        <v>39</v>
      </c>
      <c r="Y158" s="213">
        <f t="shared" si="48"/>
        <v>39</v>
      </c>
      <c r="Z158" s="163">
        <f>'32 days'!J27</f>
        <v>0</v>
      </c>
      <c r="AA158" s="154">
        <f>'32 days'!K27</f>
        <v>0</v>
      </c>
      <c r="AB158" s="163">
        <f>'32 days'!L27</f>
        <v>0</v>
      </c>
      <c r="AC158" s="154">
        <f>'32 days'!M27</f>
        <v>0</v>
      </c>
      <c r="AD158" s="213">
        <f>'32 days'!N27</f>
        <v>0</v>
      </c>
      <c r="AE158" s="154">
        <f>'32 days'!O27</f>
        <v>0</v>
      </c>
      <c r="AF158" s="163">
        <f t="shared" si="49"/>
        <v>0</v>
      </c>
      <c r="AG158" s="160">
        <f t="shared" si="50"/>
        <v>0</v>
      </c>
      <c r="AI158" s="325" t="s">
        <v>117</v>
      </c>
      <c r="AJ158" s="162">
        <f t="shared" si="57"/>
        <v>23</v>
      </c>
      <c r="AK158" s="163" t="str">
        <f>INDEX(Map!$W$2:$W$67, MATCH('Raw data'!AJ158, Map!$V$2:$V$67,0))</f>
        <v>T5</v>
      </c>
      <c r="AL158" s="165" t="str">
        <f>INDEX(Map!$X$2:$X$67, MATCH('Raw data'!AJ158, Map!$V$2:$V$67,0))</f>
        <v>R10</v>
      </c>
      <c r="AM158" s="325">
        <f t="shared" si="58"/>
        <v>56.749999999999993</v>
      </c>
      <c r="AN158" s="160">
        <f t="shared" si="59"/>
        <v>1.4551282051282048</v>
      </c>
      <c r="AO158" s="148">
        <f t="shared" ref="AO158:AP158" si="103">R158+R92</f>
        <v>42.859999999999985</v>
      </c>
      <c r="AP158" s="150">
        <f t="shared" si="103"/>
        <v>1.0989743589743588</v>
      </c>
      <c r="AQ158" s="151">
        <f t="shared" ref="AQ158:AR158" si="104">U158+U92</f>
        <v>86.25</v>
      </c>
      <c r="AR158" s="149">
        <f t="shared" si="104"/>
        <v>2.2115384615384617</v>
      </c>
      <c r="AS158" s="150">
        <f t="shared" si="62"/>
        <v>2.0123658422771822</v>
      </c>
    </row>
    <row r="159" spans="11:45" x14ac:dyDescent="0.25">
      <c r="K159" s="164" t="s">
        <v>89</v>
      </c>
      <c r="L159" s="162">
        <f>'32 days'!$A28</f>
        <v>24</v>
      </c>
      <c r="M159" s="163">
        <f t="shared" si="47"/>
        <v>39</v>
      </c>
      <c r="N159" s="163" t="str">
        <f>INDEX(Map!$W$2:$W$67, MATCH('Raw data'!L159, Map!$V$2:$V$67,0))</f>
        <v>T4</v>
      </c>
      <c r="O159" s="165" t="str">
        <f>INDEX(Map!$X$2:$X$67, MATCH('Raw data'!L159, Map!$V$2:$V$67,0))</f>
        <v>R10</v>
      </c>
      <c r="P159" s="158">
        <f>('32 days'!$C28-'32 days'!$C$3)+('32 days'!$D28-'32 days'!$C$3)</f>
        <v>57.699999999999996</v>
      </c>
      <c r="Q159" s="154">
        <f t="shared" si="44"/>
        <v>1.4794871794871793</v>
      </c>
      <c r="R159" s="155">
        <f t="shared" si="45"/>
        <v>19.821249999999999</v>
      </c>
      <c r="S159" s="328">
        <f t="shared" si="51"/>
        <v>0.5082371794871795</v>
      </c>
      <c r="T159" s="336">
        <f>IF((IF(('32 days'!$E28-'32 days'!$E$3)&lt;0, 0, ('32 days'!$E28-'32 days'!$E$3)))+(IF(('32 days'!$F28-'32 days'!$F$3)&lt;0, 0, ('32 days'!$F28-'32 days'!$F$3)))+('32 days'!$H28*'32 days'!$G28)+('32 days'!$I28)&lt;0, 0, (IF(('32 days'!$E28-'32 days'!$E$3)&lt;0, 0, ('32 days'!$E28-'32 days'!$E$3)))+(IF(('32 days'!$F28-'32 days'!$F$3)&lt;0, 0, ('32 days'!$F28-'32 days'!$F$3)))+('32 days'!$H28*'32 days'!$G28)+('32 days'!$I28))</f>
        <v>7.8</v>
      </c>
      <c r="U159" s="158">
        <f t="shared" si="55"/>
        <v>54.515000000000001</v>
      </c>
      <c r="V159" s="154">
        <f t="shared" si="46"/>
        <v>1.3978205128205128</v>
      </c>
      <c r="W159" s="155">
        <f t="shared" si="56"/>
        <v>1.7829787234042556</v>
      </c>
      <c r="X159" s="196">
        <f t="shared" si="54"/>
        <v>40</v>
      </c>
      <c r="Y159" s="213">
        <f t="shared" si="48"/>
        <v>39</v>
      </c>
      <c r="Z159" s="163">
        <f>'32 days'!J28</f>
        <v>0</v>
      </c>
      <c r="AA159" s="154">
        <f>'32 days'!K28</f>
        <v>0</v>
      </c>
      <c r="AB159" s="163">
        <f>'32 days'!L28</f>
        <v>1</v>
      </c>
      <c r="AC159" s="154">
        <f>'32 days'!M28</f>
        <v>1.05</v>
      </c>
      <c r="AD159" s="213">
        <f>'32 days'!N28</f>
        <v>0</v>
      </c>
      <c r="AE159" s="154">
        <f>'32 days'!O28</f>
        <v>0</v>
      </c>
      <c r="AF159" s="163">
        <f t="shared" si="49"/>
        <v>1</v>
      </c>
      <c r="AG159" s="160">
        <f t="shared" si="50"/>
        <v>1.05</v>
      </c>
      <c r="AI159" s="325" t="s">
        <v>117</v>
      </c>
      <c r="AJ159" s="162">
        <f t="shared" si="57"/>
        <v>24</v>
      </c>
      <c r="AK159" s="163" t="str">
        <f>INDEX(Map!$W$2:$W$67, MATCH('Raw data'!AJ159, Map!$V$2:$V$67,0))</f>
        <v>T4</v>
      </c>
      <c r="AL159" s="165" t="str">
        <f>INDEX(Map!$X$2:$X$67, MATCH('Raw data'!AJ159, Map!$V$2:$V$67,0))</f>
        <v>R10</v>
      </c>
      <c r="AM159" s="325">
        <f t="shared" si="58"/>
        <v>57.699999999999996</v>
      </c>
      <c r="AN159" s="160">
        <f t="shared" si="59"/>
        <v>1.4794871794871793</v>
      </c>
      <c r="AO159" s="148">
        <f t="shared" ref="AO159:AP159" si="105">R159+R93</f>
        <v>44.381249999999994</v>
      </c>
      <c r="AP159" s="150">
        <f t="shared" si="105"/>
        <v>1.1222371794871795</v>
      </c>
      <c r="AQ159" s="151">
        <f t="shared" ref="AQ159:AR159" si="106">U159+U93</f>
        <v>88.2</v>
      </c>
      <c r="AR159" s="149">
        <f t="shared" si="106"/>
        <v>2.2399455128205128</v>
      </c>
      <c r="AS159" s="150">
        <f t="shared" si="62"/>
        <v>1.9413949649195217</v>
      </c>
    </row>
    <row r="160" spans="11:45" x14ac:dyDescent="0.25">
      <c r="K160" s="164" t="s">
        <v>89</v>
      </c>
      <c r="L160" s="162">
        <f>'32 days'!$A29</f>
        <v>25</v>
      </c>
      <c r="M160" s="163">
        <f t="shared" si="47"/>
        <v>39</v>
      </c>
      <c r="N160" s="163" t="str">
        <f>INDEX(Map!$W$2:$W$67, MATCH('Raw data'!L160, Map!$V$2:$V$67,0))</f>
        <v>T2</v>
      </c>
      <c r="O160" s="165" t="str">
        <f>INDEX(Map!$X$2:$X$67, MATCH('Raw data'!L160, Map!$V$2:$V$67,0))</f>
        <v>R4</v>
      </c>
      <c r="P160" s="158">
        <f>('32 days'!$C29-'32 days'!$C$3)+('32 days'!$D29-'32 days'!$C$3)</f>
        <v>56.949999999999996</v>
      </c>
      <c r="Q160" s="154">
        <f t="shared" si="44"/>
        <v>1.4602564102564102</v>
      </c>
      <c r="R160" s="155">
        <f t="shared" si="45"/>
        <v>19.656249999999996</v>
      </c>
      <c r="S160" s="328">
        <f t="shared" si="51"/>
        <v>0.50400641025641013</v>
      </c>
      <c r="T160" s="336">
        <f>IF((IF(('32 days'!$E29-'32 days'!$E$3)&lt;0, 0, ('32 days'!$E29-'32 days'!$E$3)))+(IF(('32 days'!$F29-'32 days'!$F$3)&lt;0, 0, ('32 days'!$F29-'32 days'!$F$3)))+('32 days'!$H29*'32 days'!$G29)+('32 days'!$I29)&lt;0, 0, (IF(('32 days'!$E29-'32 days'!$E$3)&lt;0, 0, ('32 days'!$E29-'32 days'!$E$3)))+(IF(('32 days'!$F29-'32 days'!$F$3)&lt;0, 0, ('32 days'!$F29-'32 days'!$F$3)))+('32 days'!$H29*'32 days'!$G29)+('32 days'!$I29))</f>
        <v>10.55</v>
      </c>
      <c r="U160" s="158">
        <f t="shared" si="55"/>
        <v>53.265000000000001</v>
      </c>
      <c r="V160" s="154">
        <f t="shared" si="46"/>
        <v>1.3657692307692308</v>
      </c>
      <c r="W160" s="155">
        <f t="shared" si="56"/>
        <v>1.7489214840379639</v>
      </c>
      <c r="X160" s="196">
        <f t="shared" si="54"/>
        <v>40</v>
      </c>
      <c r="Y160" s="213">
        <f t="shared" si="48"/>
        <v>39</v>
      </c>
      <c r="Z160" s="163">
        <f>'32 days'!J29</f>
        <v>0</v>
      </c>
      <c r="AA160" s="154">
        <f>'32 days'!K29</f>
        <v>0</v>
      </c>
      <c r="AB160" s="163">
        <f>'32 days'!L29</f>
        <v>1</v>
      </c>
      <c r="AC160" s="154">
        <f>'32 days'!M29</f>
        <v>1</v>
      </c>
      <c r="AD160" s="213">
        <f>'32 days'!N29</f>
        <v>0</v>
      </c>
      <c r="AE160" s="154">
        <f>'32 days'!O29</f>
        <v>0</v>
      </c>
      <c r="AF160" s="163">
        <f t="shared" si="49"/>
        <v>1</v>
      </c>
      <c r="AG160" s="160">
        <f t="shared" si="50"/>
        <v>1</v>
      </c>
      <c r="AI160" s="325" t="s">
        <v>117</v>
      </c>
      <c r="AJ160" s="162">
        <f t="shared" si="57"/>
        <v>25</v>
      </c>
      <c r="AK160" s="163" t="str">
        <f>INDEX(Map!$W$2:$W$67, MATCH('Raw data'!AJ160, Map!$V$2:$V$67,0))</f>
        <v>T2</v>
      </c>
      <c r="AL160" s="165" t="str">
        <f>INDEX(Map!$X$2:$X$67, MATCH('Raw data'!AJ160, Map!$V$2:$V$67,0))</f>
        <v>R4</v>
      </c>
      <c r="AM160" s="325">
        <f t="shared" si="58"/>
        <v>56.949999999999996</v>
      </c>
      <c r="AN160" s="160">
        <f t="shared" si="59"/>
        <v>1.4602564102564102</v>
      </c>
      <c r="AO160" s="148">
        <f t="shared" ref="AO160:AP160" si="107">R160+R94</f>
        <v>43.816249999999997</v>
      </c>
      <c r="AP160" s="150">
        <f t="shared" si="107"/>
        <v>1.1080064102564102</v>
      </c>
      <c r="AQ160" s="151">
        <f t="shared" ref="AQ160:AR160" si="108">U160+U94</f>
        <v>85.45</v>
      </c>
      <c r="AR160" s="149">
        <f t="shared" si="108"/>
        <v>2.1703942307692308</v>
      </c>
      <c r="AS160" s="150">
        <f t="shared" si="62"/>
        <v>1.9066744763339192</v>
      </c>
    </row>
    <row r="161" spans="11:45" x14ac:dyDescent="0.25">
      <c r="K161" s="164" t="s">
        <v>89</v>
      </c>
      <c r="L161" s="162">
        <f>'32 days'!$A30</f>
        <v>26</v>
      </c>
      <c r="M161" s="163">
        <f t="shared" si="47"/>
        <v>39</v>
      </c>
      <c r="N161" s="163" t="str">
        <f>INDEX(Map!$W$2:$W$67, MATCH('Raw data'!L161, Map!$V$2:$V$67,0))</f>
        <v>T3</v>
      </c>
      <c r="O161" s="165" t="str">
        <f>INDEX(Map!$X$2:$X$67, MATCH('Raw data'!L161, Map!$V$2:$V$67,0))</f>
        <v>R4</v>
      </c>
      <c r="P161" s="158">
        <f>('32 days'!$C30-'32 days'!$C$3)+('32 days'!$D30-'32 days'!$C$3)</f>
        <v>54.15</v>
      </c>
      <c r="Q161" s="154">
        <f t="shared" si="44"/>
        <v>1.3884615384615384</v>
      </c>
      <c r="R161" s="155">
        <f t="shared" si="45"/>
        <v>18.749999999999993</v>
      </c>
      <c r="S161" s="328">
        <f t="shared" si="51"/>
        <v>0.48076923076923062</v>
      </c>
      <c r="T161" s="336">
        <f>IF((IF(('32 days'!$E30-'32 days'!$E$3)&lt;0, 0, ('32 days'!$E30-'32 days'!$E$3)))+(IF(('32 days'!$F30-'32 days'!$F$3)&lt;0, 0, ('32 days'!$F30-'32 days'!$F$3)))+('32 days'!$H30*'32 days'!$G30)+('32 days'!$I30)&lt;0, 0, (IF(('32 days'!$E30-'32 days'!$E$3)&lt;0, 0, ('32 days'!$E30-'32 days'!$E$3)))+(IF(('32 days'!$F30-'32 days'!$F$3)&lt;0, 0, ('32 days'!$F30-'32 days'!$F$3)))+('32 days'!$H30*'32 days'!$G30)+('32 days'!$I30))</f>
        <v>13.7</v>
      </c>
      <c r="U161" s="158">
        <f t="shared" si="55"/>
        <v>51.915000000000006</v>
      </c>
      <c r="V161" s="154">
        <f t="shared" si="46"/>
        <v>1.3311538461538464</v>
      </c>
      <c r="W161" s="155">
        <f t="shared" si="56"/>
        <v>1.8079044117647058</v>
      </c>
      <c r="X161" s="196">
        <f t="shared" si="54"/>
        <v>39</v>
      </c>
      <c r="Y161" s="213">
        <f t="shared" si="48"/>
        <v>39</v>
      </c>
      <c r="Z161" s="163">
        <f>'32 days'!J30</f>
        <v>0</v>
      </c>
      <c r="AA161" s="154">
        <f>'32 days'!K30</f>
        <v>0</v>
      </c>
      <c r="AB161" s="163">
        <f>'32 days'!L30</f>
        <v>0</v>
      </c>
      <c r="AC161" s="154">
        <f>'32 days'!M30</f>
        <v>0</v>
      </c>
      <c r="AD161" s="213">
        <f>'32 days'!N30</f>
        <v>0</v>
      </c>
      <c r="AE161" s="154">
        <f>'32 days'!O30</f>
        <v>0</v>
      </c>
      <c r="AF161" s="163">
        <f t="shared" si="49"/>
        <v>0</v>
      </c>
      <c r="AG161" s="160">
        <f t="shared" si="50"/>
        <v>0</v>
      </c>
      <c r="AI161" s="325" t="s">
        <v>117</v>
      </c>
      <c r="AJ161" s="162">
        <f t="shared" si="57"/>
        <v>26</v>
      </c>
      <c r="AK161" s="163" t="str">
        <f>INDEX(Map!$W$2:$W$67, MATCH('Raw data'!AJ161, Map!$V$2:$V$67,0))</f>
        <v>T3</v>
      </c>
      <c r="AL161" s="165" t="str">
        <f>INDEX(Map!$X$2:$X$67, MATCH('Raw data'!AJ161, Map!$V$2:$V$67,0))</f>
        <v>R4</v>
      </c>
      <c r="AM161" s="325">
        <f t="shared" si="58"/>
        <v>54.15</v>
      </c>
      <c r="AN161" s="160">
        <f t="shared" si="59"/>
        <v>1.3884615384615384</v>
      </c>
      <c r="AO161" s="148">
        <f t="shared" ref="AO161:AP161" si="109">R161+R95</f>
        <v>41.01</v>
      </c>
      <c r="AP161" s="150">
        <f t="shared" si="109"/>
        <v>1.0515384615384615</v>
      </c>
      <c r="AQ161" s="151">
        <f t="shared" ref="AQ161:AR161" si="110">U161+U95</f>
        <v>82.3</v>
      </c>
      <c r="AR161" s="149">
        <f t="shared" si="110"/>
        <v>2.1102564102564103</v>
      </c>
      <c r="AS161" s="150">
        <f t="shared" si="62"/>
        <v>2.0068276030236527</v>
      </c>
    </row>
    <row r="162" spans="11:45" x14ac:dyDescent="0.25">
      <c r="K162" s="164" t="s">
        <v>89</v>
      </c>
      <c r="L162" s="162">
        <f>'32 days'!$A31</f>
        <v>27</v>
      </c>
      <c r="M162" s="163">
        <f t="shared" si="47"/>
        <v>39</v>
      </c>
      <c r="N162" s="163" t="str">
        <f>INDEX(Map!$W$2:$W$67, MATCH('Raw data'!L162, Map!$V$2:$V$67,0))</f>
        <v>T1</v>
      </c>
      <c r="O162" s="165" t="str">
        <f>INDEX(Map!$X$2:$X$67, MATCH('Raw data'!L162, Map!$V$2:$V$67,0))</f>
        <v>R4</v>
      </c>
      <c r="P162" s="158">
        <f>('32 days'!$C31-'32 days'!$C$3)+('32 days'!$D31-'32 days'!$C$3)</f>
        <v>58.499999999999993</v>
      </c>
      <c r="Q162" s="154">
        <f t="shared" si="44"/>
        <v>1.4999999999999998</v>
      </c>
      <c r="R162" s="155">
        <f t="shared" si="45"/>
        <v>20.279999999999987</v>
      </c>
      <c r="S162" s="328">
        <f t="shared" si="51"/>
        <v>0.51999999999999968</v>
      </c>
      <c r="T162" s="336">
        <f>IF((IF(('32 days'!$E31-'32 days'!$E$3)&lt;0, 0, ('32 days'!$E31-'32 days'!$E$3)))+(IF(('32 days'!$F31-'32 days'!$F$3)&lt;0, 0, ('32 days'!$F31-'32 days'!$F$3)))+('32 days'!$H31*'32 days'!$G31)+('32 days'!$I31)&lt;0, 0, (IF(('32 days'!$E31-'32 days'!$E$3)&lt;0, 0, ('32 days'!$E31-'32 days'!$E$3)))+(IF(('32 days'!$F31-'32 days'!$F$3)&lt;0, 0, ('32 days'!$F31-'32 days'!$F$3)))+('32 days'!$H31*'32 days'!$G31)+('32 days'!$I31))</f>
        <v>7.4999999999999991</v>
      </c>
      <c r="U162" s="158">
        <f t="shared" si="55"/>
        <v>54.965000000000003</v>
      </c>
      <c r="V162" s="154">
        <f t="shared" si="46"/>
        <v>1.4093589743589745</v>
      </c>
      <c r="W162" s="155">
        <f t="shared" si="56"/>
        <v>1.7525167785234901</v>
      </c>
      <c r="X162" s="196">
        <f t="shared" si="54"/>
        <v>40</v>
      </c>
      <c r="Y162" s="213">
        <f t="shared" si="48"/>
        <v>39</v>
      </c>
      <c r="Z162" s="163">
        <f>'32 days'!J31</f>
        <v>0</v>
      </c>
      <c r="AA162" s="154">
        <f>'32 days'!K31</f>
        <v>0</v>
      </c>
      <c r="AB162" s="163">
        <f>'32 days'!L31</f>
        <v>1</v>
      </c>
      <c r="AC162" s="154">
        <f>'32 days'!M31</f>
        <v>1.1000000000000001</v>
      </c>
      <c r="AD162" s="213">
        <f>'32 days'!N31</f>
        <v>0</v>
      </c>
      <c r="AE162" s="154">
        <f>'32 days'!O31</f>
        <v>0</v>
      </c>
      <c r="AF162" s="163">
        <f t="shared" si="49"/>
        <v>1</v>
      </c>
      <c r="AG162" s="160">
        <f t="shared" si="50"/>
        <v>1.1000000000000001</v>
      </c>
      <c r="AI162" s="325" t="s">
        <v>117</v>
      </c>
      <c r="AJ162" s="162">
        <f t="shared" si="57"/>
        <v>27</v>
      </c>
      <c r="AK162" s="163" t="str">
        <f>INDEX(Map!$W$2:$W$67, MATCH('Raw data'!AJ162, Map!$V$2:$V$67,0))</f>
        <v>T1</v>
      </c>
      <c r="AL162" s="165" t="str">
        <f>INDEX(Map!$X$2:$X$67, MATCH('Raw data'!AJ162, Map!$V$2:$V$67,0))</f>
        <v>R4</v>
      </c>
      <c r="AM162" s="325">
        <f t="shared" si="58"/>
        <v>58.499999999999993</v>
      </c>
      <c r="AN162" s="160">
        <f t="shared" si="59"/>
        <v>1.4999999999999998</v>
      </c>
      <c r="AO162" s="148">
        <f t="shared" ref="AO162:AP162" si="111">R162+R96</f>
        <v>45.289999999999992</v>
      </c>
      <c r="AP162" s="150">
        <f t="shared" si="111"/>
        <v>1.1452499999999999</v>
      </c>
      <c r="AQ162" s="151">
        <f t="shared" ref="AQ162:AR162" si="112">U162+U96</f>
        <v>88.5</v>
      </c>
      <c r="AR162" s="149">
        <f t="shared" si="112"/>
        <v>2.2477339743589742</v>
      </c>
      <c r="AS162" s="150">
        <f t="shared" si="62"/>
        <v>1.9077387367967238</v>
      </c>
    </row>
    <row r="163" spans="11:45" x14ac:dyDescent="0.25">
      <c r="K163" s="164" t="s">
        <v>89</v>
      </c>
      <c r="L163" s="162">
        <f>'32 days'!$A32</f>
        <v>28</v>
      </c>
      <c r="M163" s="163">
        <f t="shared" si="47"/>
        <v>40</v>
      </c>
      <c r="N163" s="163" t="str">
        <f>INDEX(Map!$W$2:$W$67, MATCH('Raw data'!L163, Map!$V$2:$V$67,0))</f>
        <v>T5</v>
      </c>
      <c r="O163" s="165" t="str">
        <f>INDEX(Map!$X$2:$X$67, MATCH('Raw data'!L163, Map!$V$2:$V$67,0))</f>
        <v>R4</v>
      </c>
      <c r="P163" s="158">
        <f>('32 days'!$C32-'32 days'!$C$3)+('32 days'!$D32-'32 days'!$C$3)</f>
        <v>59.55</v>
      </c>
      <c r="Q163" s="154">
        <f t="shared" si="44"/>
        <v>1.48875</v>
      </c>
      <c r="R163" s="155">
        <f t="shared" si="45"/>
        <v>20.200000000000003</v>
      </c>
      <c r="S163" s="328">
        <f t="shared" si="51"/>
        <v>0.50500000000000012</v>
      </c>
      <c r="T163" s="336">
        <f>IF((IF(('32 days'!$E32-'32 days'!$E$3)&lt;0, 0, ('32 days'!$E32-'32 days'!$E$3)))+(IF(('32 days'!$F32-'32 days'!$F$3)&lt;0, 0, ('32 days'!$F32-'32 days'!$F$3)))+('32 days'!$H32*'32 days'!$G32)+('32 days'!$I32)&lt;0, 0, (IF(('32 days'!$E32-'32 days'!$E$3)&lt;0, 0, ('32 days'!$E32-'32 days'!$E$3)))+(IF(('32 days'!$F32-'32 days'!$F$3)&lt;0, 0, ('32 days'!$F32-'32 days'!$F$3)))+('32 days'!$H32*'32 days'!$G32)+('32 days'!$I32))</f>
        <v>6.7499999999999991</v>
      </c>
      <c r="U163" s="158">
        <f t="shared" si="55"/>
        <v>55.515000000000001</v>
      </c>
      <c r="V163" s="154">
        <f t="shared" si="46"/>
        <v>1.387875</v>
      </c>
      <c r="W163" s="155">
        <f t="shared" si="56"/>
        <v>1.7632241813602016</v>
      </c>
      <c r="X163" s="196">
        <f t="shared" si="54"/>
        <v>40</v>
      </c>
      <c r="Y163" s="213">
        <f t="shared" si="48"/>
        <v>40</v>
      </c>
      <c r="Z163" s="163">
        <f>'32 days'!J32</f>
        <v>0</v>
      </c>
      <c r="AA163" s="154">
        <f>'32 days'!K32</f>
        <v>0</v>
      </c>
      <c r="AB163" s="163">
        <f>'32 days'!L32</f>
        <v>0</v>
      </c>
      <c r="AC163" s="154">
        <f>'32 days'!M32</f>
        <v>0</v>
      </c>
      <c r="AD163" s="213">
        <f>'32 days'!N32</f>
        <v>0</v>
      </c>
      <c r="AE163" s="154">
        <f>'32 days'!O32</f>
        <v>0</v>
      </c>
      <c r="AF163" s="163">
        <f t="shared" si="49"/>
        <v>0</v>
      </c>
      <c r="AG163" s="160">
        <f t="shared" si="50"/>
        <v>0</v>
      </c>
      <c r="AI163" s="325" t="s">
        <v>117</v>
      </c>
      <c r="AJ163" s="162">
        <f t="shared" si="57"/>
        <v>28</v>
      </c>
      <c r="AK163" s="163" t="str">
        <f>INDEX(Map!$W$2:$W$67, MATCH('Raw data'!AJ163, Map!$V$2:$V$67,0))</f>
        <v>T5</v>
      </c>
      <c r="AL163" s="165" t="str">
        <f>INDEX(Map!$X$2:$X$67, MATCH('Raw data'!AJ163, Map!$V$2:$V$67,0))</f>
        <v>R4</v>
      </c>
      <c r="AM163" s="325">
        <f t="shared" si="58"/>
        <v>59.55</v>
      </c>
      <c r="AN163" s="160">
        <f t="shared" si="59"/>
        <v>1.48875</v>
      </c>
      <c r="AO163" s="148">
        <f t="shared" ref="AO163:AP163" si="113">R163+R97</f>
        <v>45.410000000000004</v>
      </c>
      <c r="AP163" s="150">
        <f t="shared" si="113"/>
        <v>1.1352500000000001</v>
      </c>
      <c r="AQ163" s="151">
        <f t="shared" ref="AQ163:AR163" si="114">U163+U97</f>
        <v>89.25</v>
      </c>
      <c r="AR163" s="149">
        <f t="shared" si="114"/>
        <v>2.2312500000000002</v>
      </c>
      <c r="AS163" s="150">
        <f t="shared" si="62"/>
        <v>1.9654261175952432</v>
      </c>
    </row>
    <row r="164" spans="11:45" x14ac:dyDescent="0.25">
      <c r="K164" s="164" t="s">
        <v>89</v>
      </c>
      <c r="L164" s="162">
        <f>'32 days'!$A33</f>
        <v>29</v>
      </c>
      <c r="M164" s="163">
        <f t="shared" si="47"/>
        <v>38</v>
      </c>
      <c r="N164" s="163" t="str">
        <f>INDEX(Map!$W$2:$W$67, MATCH('Raw data'!L164, Map!$V$2:$V$67,0))</f>
        <v>T6</v>
      </c>
      <c r="O164" s="165" t="str">
        <f>INDEX(Map!$X$2:$X$67, MATCH('Raw data'!L164, Map!$V$2:$V$67,0))</f>
        <v>R4</v>
      </c>
      <c r="P164" s="158">
        <f>('32 days'!$C33-'32 days'!$C$3)+('32 days'!$D33-'32 days'!$C$3)</f>
        <v>54.849999999999994</v>
      </c>
      <c r="Q164" s="154">
        <f t="shared" si="44"/>
        <v>1.4434210526315787</v>
      </c>
      <c r="R164" s="155">
        <f t="shared" si="45"/>
        <v>18.132499999999986</v>
      </c>
      <c r="S164" s="328">
        <f t="shared" si="51"/>
        <v>0.47717105263157855</v>
      </c>
      <c r="T164" s="336">
        <f>IF((IF(('32 days'!$E33-'32 days'!$E$3)&lt;0, 0, ('32 days'!$E33-'32 days'!$E$3)))+(IF(('32 days'!$F33-'32 days'!$F$3)&lt;0, 0, ('32 days'!$F33-'32 days'!$F$3)))+('32 days'!$H33*'32 days'!$G33)+('32 days'!$I33)&lt;0, 0, (IF(('32 days'!$E33-'32 days'!$E$3)&lt;0, 0, ('32 days'!$E33-'32 days'!$E$3)))+(IF(('32 days'!$F33-'32 days'!$F$3)&lt;0, 0, ('32 days'!$F33-'32 days'!$F$3)))+('32 days'!$H33*'32 days'!$G33)+('32 days'!$I33))</f>
        <v>8.4499999999999993</v>
      </c>
      <c r="U164" s="158">
        <f t="shared" si="55"/>
        <v>53.915000000000006</v>
      </c>
      <c r="V164" s="154">
        <f t="shared" si="46"/>
        <v>1.4188157894736844</v>
      </c>
      <c r="W164" s="155">
        <f t="shared" si="56"/>
        <v>1.8197068691506273</v>
      </c>
      <c r="X164" s="196">
        <f t="shared" si="54"/>
        <v>40</v>
      </c>
      <c r="Y164" s="213">
        <f t="shared" si="48"/>
        <v>38</v>
      </c>
      <c r="Z164" s="163">
        <f>'32 days'!J33</f>
        <v>1</v>
      </c>
      <c r="AA164" s="154">
        <f>'32 days'!K33</f>
        <v>0.68</v>
      </c>
      <c r="AB164" s="163">
        <f>'32 days'!L33</f>
        <v>1</v>
      </c>
      <c r="AC164" s="154">
        <f>'32 days'!M33</f>
        <v>1.1000000000000001</v>
      </c>
      <c r="AD164" s="213">
        <f>'32 days'!N33</f>
        <v>0</v>
      </c>
      <c r="AE164" s="154">
        <f>'32 days'!O33</f>
        <v>0</v>
      </c>
      <c r="AF164" s="163">
        <f t="shared" si="49"/>
        <v>2</v>
      </c>
      <c r="AG164" s="160">
        <f t="shared" si="50"/>
        <v>1.7800000000000002</v>
      </c>
      <c r="AI164" s="325" t="s">
        <v>117</v>
      </c>
      <c r="AJ164" s="162">
        <f t="shared" si="57"/>
        <v>29</v>
      </c>
      <c r="AK164" s="163" t="str">
        <f>INDEX(Map!$W$2:$W$67, MATCH('Raw data'!AJ164, Map!$V$2:$V$67,0))</f>
        <v>T6</v>
      </c>
      <c r="AL164" s="165" t="str">
        <f>INDEX(Map!$X$2:$X$67, MATCH('Raw data'!AJ164, Map!$V$2:$V$67,0))</f>
        <v>R4</v>
      </c>
      <c r="AM164" s="325">
        <f t="shared" si="58"/>
        <v>54.849999999999994</v>
      </c>
      <c r="AN164" s="160">
        <f t="shared" si="59"/>
        <v>1.4434210526315787</v>
      </c>
      <c r="AO164" s="148">
        <f t="shared" ref="AO164:AP164" si="115">R164+R98</f>
        <v>42.892499999999998</v>
      </c>
      <c r="AP164" s="150">
        <f t="shared" si="115"/>
        <v>1.0961710526315787</v>
      </c>
      <c r="AQ164" s="151">
        <f t="shared" ref="AQ164:AR164" si="116">U164+U98</f>
        <v>87.550000000000011</v>
      </c>
      <c r="AR164" s="149">
        <f t="shared" si="116"/>
        <v>2.2596907894736842</v>
      </c>
      <c r="AS164" s="150">
        <f t="shared" si="62"/>
        <v>1.9598186803962172</v>
      </c>
    </row>
    <row r="165" spans="11:45" x14ac:dyDescent="0.25">
      <c r="K165" s="164" t="s">
        <v>89</v>
      </c>
      <c r="L165" s="162">
        <f>'32 days'!$A34</f>
        <v>30</v>
      </c>
      <c r="M165" s="163">
        <f t="shared" si="47"/>
        <v>37</v>
      </c>
      <c r="N165" s="163" t="str">
        <f>INDEX(Map!$W$2:$W$67, MATCH('Raw data'!L165, Map!$V$2:$V$67,0))</f>
        <v>T4</v>
      </c>
      <c r="O165" s="165" t="str">
        <f>INDEX(Map!$X$2:$X$67, MATCH('Raw data'!L165, Map!$V$2:$V$67,0))</f>
        <v>R4</v>
      </c>
      <c r="P165" s="158">
        <f>('32 days'!$C34-'32 days'!$C$3)+('32 days'!$D34-'32 days'!$C$3)</f>
        <v>54.25</v>
      </c>
      <c r="Q165" s="154">
        <f t="shared" si="44"/>
        <v>1.4662162162162162</v>
      </c>
      <c r="R165" s="155">
        <f t="shared" si="45"/>
        <v>18.467105263157897</v>
      </c>
      <c r="S165" s="328">
        <f t="shared" si="51"/>
        <v>0.49911095305832154</v>
      </c>
      <c r="T165" s="336">
        <f>IF((IF(('32 days'!$E34-'32 days'!$E$3)&lt;0, 0, ('32 days'!$E34-'32 days'!$E$3)))+(IF(('32 days'!$F34-'32 days'!$F$3)&lt;0, 0, ('32 days'!$F34-'32 days'!$F$3)))+('32 days'!$H34*'32 days'!$G34)+('32 days'!$I34)&lt;0, 0, (IF(('32 days'!$E34-'32 days'!$E$3)&lt;0, 0, ('32 days'!$E34-'32 days'!$E$3)))+(IF(('32 days'!$F34-'32 days'!$F$3)&lt;0, 0, ('32 days'!$F34-'32 days'!$F$3)))+('32 days'!$H34*'32 days'!$G34)+('32 days'!$I34))</f>
        <v>11.150000000000002</v>
      </c>
      <c r="U165" s="158">
        <f t="shared" si="55"/>
        <v>52.664999999999992</v>
      </c>
      <c r="V165" s="154">
        <f t="shared" si="46"/>
        <v>1.4233783783783782</v>
      </c>
      <c r="W165" s="155">
        <f t="shared" si="56"/>
        <v>1.8132163323782233</v>
      </c>
      <c r="X165" s="196">
        <f t="shared" si="54"/>
        <v>38</v>
      </c>
      <c r="Y165" s="213">
        <f t="shared" si="48"/>
        <v>37</v>
      </c>
      <c r="Z165" s="163">
        <f>'32 days'!J34</f>
        <v>0</v>
      </c>
      <c r="AA165" s="154">
        <f>'32 days'!K34</f>
        <v>0</v>
      </c>
      <c r="AB165" s="163">
        <f>'32 days'!L34</f>
        <v>1</v>
      </c>
      <c r="AC165" s="154">
        <f>'32 days'!M34</f>
        <v>0.95</v>
      </c>
      <c r="AD165" s="213">
        <f>'32 days'!N34</f>
        <v>0</v>
      </c>
      <c r="AE165" s="154">
        <f>'32 days'!O34</f>
        <v>0</v>
      </c>
      <c r="AF165" s="163">
        <f t="shared" si="49"/>
        <v>1</v>
      </c>
      <c r="AG165" s="160">
        <f t="shared" si="50"/>
        <v>0.95</v>
      </c>
      <c r="AI165" s="325" t="s">
        <v>117</v>
      </c>
      <c r="AJ165" s="162">
        <f t="shared" si="57"/>
        <v>30</v>
      </c>
      <c r="AK165" s="163" t="str">
        <f>INDEX(Map!$W$2:$W$67, MATCH('Raw data'!AJ165, Map!$V$2:$V$67,0))</f>
        <v>T4</v>
      </c>
      <c r="AL165" s="165" t="str">
        <f>INDEX(Map!$X$2:$X$67, MATCH('Raw data'!AJ165, Map!$V$2:$V$67,0))</f>
        <v>R4</v>
      </c>
      <c r="AM165" s="325">
        <f t="shared" si="58"/>
        <v>54.25</v>
      </c>
      <c r="AN165" s="160">
        <f t="shared" si="59"/>
        <v>1.4662162162162162</v>
      </c>
      <c r="AO165" s="148">
        <f t="shared" ref="AO165:AP165" si="117">R165+R99</f>
        <v>41.634541160593798</v>
      </c>
      <c r="AP165" s="150">
        <f t="shared" si="117"/>
        <v>1.1087803187803189</v>
      </c>
      <c r="AQ165" s="151">
        <f t="shared" ref="AQ165:AR165" si="118">U165+U99</f>
        <v>84.85</v>
      </c>
      <c r="AR165" s="149">
        <f t="shared" si="118"/>
        <v>2.2703520625889047</v>
      </c>
      <c r="AS165" s="150">
        <f t="shared" si="62"/>
        <v>1.9744248038139514</v>
      </c>
    </row>
    <row r="166" spans="11:45" x14ac:dyDescent="0.25">
      <c r="K166" s="164" t="s">
        <v>89</v>
      </c>
      <c r="L166" s="162">
        <f>'32 days'!$A35</f>
        <v>31</v>
      </c>
      <c r="M166" s="163">
        <f t="shared" si="47"/>
        <v>38</v>
      </c>
      <c r="N166" s="163" t="str">
        <f>INDEX(Map!$W$2:$W$67, MATCH('Raw data'!L166, Map!$V$2:$V$67,0))</f>
        <v>T1</v>
      </c>
      <c r="O166" s="165" t="str">
        <f>INDEX(Map!$X$2:$X$67, MATCH('Raw data'!L166, Map!$V$2:$V$67,0))</f>
        <v>R5</v>
      </c>
      <c r="P166" s="158">
        <f>('32 days'!$C35-'32 days'!$C$3)+('32 days'!$D35-'32 days'!$C$3)</f>
        <v>50.8</v>
      </c>
      <c r="Q166" s="154">
        <f t="shared" si="44"/>
        <v>1.3368421052631578</v>
      </c>
      <c r="R166" s="155">
        <f t="shared" si="45"/>
        <v>16.794871794871788</v>
      </c>
      <c r="S166" s="328">
        <f t="shared" ref="S166:S197" si="119">Q166-Q100</f>
        <v>0.44197031039136281</v>
      </c>
      <c r="T166" s="336">
        <f>IF((IF(('32 days'!$E35-'32 days'!$E$3)&lt;0, 0, ('32 days'!$E35-'32 days'!$E$3)))+(IF(('32 days'!$F35-'32 days'!$F$3)&lt;0, 0, ('32 days'!$F35-'32 days'!$F$3)))+('32 days'!$H35*'32 days'!$G35)+('32 days'!$I35)&lt;0, 0, (IF(('32 days'!$E35-'32 days'!$E$3)&lt;0, 0, ('32 days'!$E35-'32 days'!$E$3)))+(IF(('32 days'!$F35-'32 days'!$F$3)&lt;0, 0, ('32 days'!$F35-'32 days'!$F$3)))+('32 days'!$H35*'32 days'!$G35)+('32 days'!$I35))</f>
        <v>16.399999999999999</v>
      </c>
      <c r="U166" s="158">
        <f>T100-T166</f>
        <v>49.514999999999993</v>
      </c>
      <c r="V166" s="154">
        <f t="shared" si="46"/>
        <v>1.3030263157894735</v>
      </c>
      <c r="W166" s="155">
        <f t="shared" si="56"/>
        <v>1.8529076396807298</v>
      </c>
      <c r="X166" s="196">
        <f>X100-AF100</f>
        <v>39</v>
      </c>
      <c r="Y166" s="213">
        <f t="shared" si="48"/>
        <v>38</v>
      </c>
      <c r="Z166" s="163">
        <f>'32 days'!J35</f>
        <v>0</v>
      </c>
      <c r="AA166" s="154">
        <f>'32 days'!K35</f>
        <v>0</v>
      </c>
      <c r="AB166" s="163">
        <f>'32 days'!L35</f>
        <v>1</v>
      </c>
      <c r="AC166" s="154">
        <f>'32 days'!M35</f>
        <v>0</v>
      </c>
      <c r="AD166" s="213">
        <f>'32 days'!N35</f>
        <v>0</v>
      </c>
      <c r="AE166" s="154">
        <f>'32 days'!O35</f>
        <v>0</v>
      </c>
      <c r="AF166" s="163">
        <f t="shared" si="49"/>
        <v>1</v>
      </c>
      <c r="AG166" s="160">
        <f t="shared" si="50"/>
        <v>0</v>
      </c>
      <c r="AI166" s="325" t="s">
        <v>117</v>
      </c>
      <c r="AJ166" s="162">
        <f t="shared" si="57"/>
        <v>31</v>
      </c>
      <c r="AK166" s="163" t="str">
        <f>INDEX(Map!$W$2:$W$67, MATCH('Raw data'!AJ166, Map!$V$2:$V$67,0))</f>
        <v>T1</v>
      </c>
      <c r="AL166" s="165" t="str">
        <f>INDEX(Map!$X$2:$X$67, MATCH('Raw data'!AJ166, Map!$V$2:$V$67,0))</f>
        <v>R5</v>
      </c>
      <c r="AM166" s="325">
        <f t="shared" si="58"/>
        <v>50.8</v>
      </c>
      <c r="AN166" s="160">
        <f t="shared" si="59"/>
        <v>1.3368421052631578</v>
      </c>
      <c r="AO166" s="148">
        <f t="shared" ref="AO166:AP166" si="120">R166+R100</f>
        <v>38.904871794871795</v>
      </c>
      <c r="AP166" s="150">
        <f t="shared" si="120"/>
        <v>1.0088933873144399</v>
      </c>
      <c r="AQ166" s="151">
        <f t="shared" ref="AQ166:AR166" si="121">U166+U100</f>
        <v>79.599999999999994</v>
      </c>
      <c r="AR166" s="149">
        <f t="shared" si="121"/>
        <v>2.0744365721997302</v>
      </c>
      <c r="AS166" s="150">
        <f t="shared" si="62"/>
        <v>2.0460162526609942</v>
      </c>
    </row>
    <row r="167" spans="11:45" x14ac:dyDescent="0.25">
      <c r="K167" s="164" t="s">
        <v>89</v>
      </c>
      <c r="L167" s="162">
        <f>'32 days'!$A36</f>
        <v>32</v>
      </c>
      <c r="M167" s="163">
        <f t="shared" si="47"/>
        <v>39</v>
      </c>
      <c r="N167" s="163" t="str">
        <f>INDEX(Map!$W$2:$W$67, MATCH('Raw data'!L167, Map!$V$2:$V$67,0))</f>
        <v>T6</v>
      </c>
      <c r="O167" s="165" t="str">
        <f>INDEX(Map!$X$2:$X$67, MATCH('Raw data'!L167, Map!$V$2:$V$67,0))</f>
        <v>R5</v>
      </c>
      <c r="P167" s="158">
        <f>('32 days'!$C36-'32 days'!$C$3)+('32 days'!$D36-'32 days'!$C$3)</f>
        <v>54.849999999999994</v>
      </c>
      <c r="Q167" s="154">
        <f t="shared" si="44"/>
        <v>1.4064102564102563</v>
      </c>
      <c r="R167" s="155">
        <f t="shared" si="45"/>
        <v>18.677500000000002</v>
      </c>
      <c r="S167" s="328">
        <f t="shared" si="119"/>
        <v>0.47891025641025642</v>
      </c>
      <c r="T167" s="336">
        <f>IF((IF(('32 days'!$E36-'32 days'!$E$3)&lt;0, 0, ('32 days'!$E36-'32 days'!$E$3)))+(IF(('32 days'!$F36-'32 days'!$F$3)&lt;0, 0, ('32 days'!$F36-'32 days'!$F$3)))+('32 days'!$H36*'32 days'!$G36)+('32 days'!$I36)&lt;0, 0, (IF(('32 days'!$E36-'32 days'!$E$3)&lt;0, 0, ('32 days'!$E36-'32 days'!$E$3)))+(IF(('32 days'!$F36-'32 days'!$F$3)&lt;0, 0, ('32 days'!$F36-'32 days'!$F$3)))+('32 days'!$H36*'32 days'!$G36)+('32 days'!$I36))</f>
        <v>11.05</v>
      </c>
      <c r="U167" s="158">
        <f t="shared" ref="U167:U197" si="122">T101-T167</f>
        <v>52.814999999999998</v>
      </c>
      <c r="V167" s="154">
        <f t="shared" si="46"/>
        <v>1.3542307692307691</v>
      </c>
      <c r="W167" s="155">
        <f t="shared" si="56"/>
        <v>1.7912186379928314</v>
      </c>
      <c r="X167" s="196">
        <f t="shared" si="54"/>
        <v>40</v>
      </c>
      <c r="Y167" s="213">
        <f t="shared" si="48"/>
        <v>39</v>
      </c>
      <c r="Z167" s="163">
        <f>'32 days'!J36</f>
        <v>0</v>
      </c>
      <c r="AA167" s="154">
        <f>'32 days'!K36</f>
        <v>0</v>
      </c>
      <c r="AB167" s="163">
        <f>'32 days'!L36</f>
        <v>1</v>
      </c>
      <c r="AC167" s="154">
        <f>'32 days'!M36</f>
        <v>0.95</v>
      </c>
      <c r="AD167" s="213">
        <f>'32 days'!N36</f>
        <v>0</v>
      </c>
      <c r="AE167" s="154">
        <f>'32 days'!O36</f>
        <v>0</v>
      </c>
      <c r="AF167" s="163">
        <f t="shared" si="49"/>
        <v>1</v>
      </c>
      <c r="AG167" s="160">
        <f t="shared" si="50"/>
        <v>0.95</v>
      </c>
      <c r="AI167" s="325" t="s">
        <v>117</v>
      </c>
      <c r="AJ167" s="162">
        <f t="shared" si="57"/>
        <v>32</v>
      </c>
      <c r="AK167" s="163" t="str">
        <f>INDEX(Map!$W$2:$W$67, MATCH('Raw data'!AJ167, Map!$V$2:$V$67,0))</f>
        <v>T6</v>
      </c>
      <c r="AL167" s="165" t="str">
        <f>INDEX(Map!$X$2:$X$67, MATCH('Raw data'!AJ167, Map!$V$2:$V$67,0))</f>
        <v>R5</v>
      </c>
      <c r="AM167" s="325">
        <f t="shared" si="58"/>
        <v>54.849999999999994</v>
      </c>
      <c r="AN167" s="160">
        <f t="shared" si="59"/>
        <v>1.4064102564102563</v>
      </c>
      <c r="AO167" s="148">
        <f t="shared" ref="AO167:AP167" si="123">R167+R101</f>
        <v>42.4375</v>
      </c>
      <c r="AP167" s="150">
        <f t="shared" si="123"/>
        <v>1.0729102564102564</v>
      </c>
      <c r="AQ167" s="151">
        <f t="shared" ref="AQ167:AR167" si="124">U167+U101</f>
        <v>84.949999999999989</v>
      </c>
      <c r="AR167" s="149">
        <f t="shared" si="124"/>
        <v>2.1576057692307691</v>
      </c>
      <c r="AS167" s="150">
        <f t="shared" si="62"/>
        <v>1.9579371938922496</v>
      </c>
    </row>
    <row r="168" spans="11:45" x14ac:dyDescent="0.25">
      <c r="K168" s="164" t="s">
        <v>89</v>
      </c>
      <c r="L168" s="162">
        <f>'32 days'!$A37</f>
        <v>33</v>
      </c>
      <c r="M168" s="163">
        <f t="shared" si="47"/>
        <v>40</v>
      </c>
      <c r="N168" s="163" t="str">
        <f>INDEX(Map!$W$2:$W$67, MATCH('Raw data'!L168, Map!$V$2:$V$67,0))</f>
        <v>T3</v>
      </c>
      <c r="O168" s="165" t="str">
        <f>INDEX(Map!$X$2:$X$67, MATCH('Raw data'!L168, Map!$V$2:$V$67,0))</f>
        <v>R5</v>
      </c>
      <c r="P168" s="158">
        <f>('32 days'!$C37-'32 days'!$C$3)+('32 days'!$D37-'32 days'!$C$3)</f>
        <v>58.099999999999994</v>
      </c>
      <c r="Q168" s="154">
        <f t="shared" si="44"/>
        <v>1.4524999999999999</v>
      </c>
      <c r="R168" s="155">
        <f t="shared" si="45"/>
        <v>21</v>
      </c>
      <c r="S168" s="328">
        <f t="shared" si="119"/>
        <v>0.52500000000000002</v>
      </c>
      <c r="T168" s="336">
        <f>IF((IF(('32 days'!$E37-'32 days'!$E$3)&lt;0, 0, ('32 days'!$E37-'32 days'!$E$3)))+(IF(('32 days'!$F37-'32 days'!$F$3)&lt;0, 0, ('32 days'!$F37-'32 days'!$F$3)))+('32 days'!$H37*'32 days'!$G37)+('32 days'!$I37)&lt;0, 0, (IF(('32 days'!$E37-'32 days'!$E$3)&lt;0, 0, ('32 days'!$E37-'32 days'!$E$3)))+(IF(('32 days'!$F37-'32 days'!$F$3)&lt;0, 0, ('32 days'!$F37-'32 days'!$F$3)))+('32 days'!$H37*'32 days'!$G37)+('32 days'!$I37))</f>
        <v>8.0500000000000007</v>
      </c>
      <c r="U168" s="158">
        <f t="shared" si="122"/>
        <v>55.814999999999998</v>
      </c>
      <c r="V168" s="154">
        <f t="shared" si="46"/>
        <v>1.395375</v>
      </c>
      <c r="W168" s="155">
        <f t="shared" ref="W168:W199" si="125">(U168+U102+U36)/(P168+AG168+AG102+AG36)</f>
        <v>1.7814113597246126</v>
      </c>
      <c r="X168" s="196">
        <f t="shared" si="54"/>
        <v>40</v>
      </c>
      <c r="Y168" s="213">
        <f t="shared" si="48"/>
        <v>40</v>
      </c>
      <c r="Z168" s="163">
        <f>'32 days'!J37</f>
        <v>0</v>
      </c>
      <c r="AA168" s="154">
        <f>'32 days'!K37</f>
        <v>0</v>
      </c>
      <c r="AB168" s="163">
        <f>'32 days'!L37</f>
        <v>0</v>
      </c>
      <c r="AC168" s="154">
        <f>'32 days'!M37</f>
        <v>0</v>
      </c>
      <c r="AD168" s="213">
        <f>'32 days'!N37</f>
        <v>0</v>
      </c>
      <c r="AE168" s="154">
        <f>'32 days'!O37</f>
        <v>0</v>
      </c>
      <c r="AF168" s="163">
        <f t="shared" si="49"/>
        <v>0</v>
      </c>
      <c r="AG168" s="160">
        <f t="shared" si="50"/>
        <v>0</v>
      </c>
      <c r="AI168" s="325" t="s">
        <v>117</v>
      </c>
      <c r="AJ168" s="162">
        <f t="shared" si="57"/>
        <v>33</v>
      </c>
      <c r="AK168" s="163" t="str">
        <f>INDEX(Map!$W$2:$W$67, MATCH('Raw data'!AJ168, Map!$V$2:$V$67,0))</f>
        <v>T3</v>
      </c>
      <c r="AL168" s="165" t="str">
        <f>INDEX(Map!$X$2:$X$67, MATCH('Raw data'!AJ168, Map!$V$2:$V$67,0))</f>
        <v>R5</v>
      </c>
      <c r="AM168" s="325">
        <f t="shared" si="58"/>
        <v>58.099999999999994</v>
      </c>
      <c r="AN168" s="160">
        <f t="shared" si="59"/>
        <v>1.4524999999999999</v>
      </c>
      <c r="AO168" s="148">
        <f t="shared" ref="AO168:AP168" si="126">R168+R102</f>
        <v>44.459999999999994</v>
      </c>
      <c r="AP168" s="150">
        <f t="shared" si="126"/>
        <v>1.1114999999999999</v>
      </c>
      <c r="AQ168" s="151">
        <f t="shared" ref="AQ168:AR168" si="127">U168+U102</f>
        <v>87.949999999999989</v>
      </c>
      <c r="AR168" s="149">
        <f t="shared" si="127"/>
        <v>2.19875</v>
      </c>
      <c r="AS168" s="150">
        <f t="shared" si="62"/>
        <v>1.9781826360773729</v>
      </c>
    </row>
    <row r="169" spans="11:45" x14ac:dyDescent="0.25">
      <c r="K169" s="164" t="s">
        <v>89</v>
      </c>
      <c r="L169" s="162">
        <f>'32 days'!$A38</f>
        <v>34</v>
      </c>
      <c r="M169" s="163">
        <f t="shared" si="47"/>
        <v>39</v>
      </c>
      <c r="N169" s="163" t="str">
        <f>INDEX(Map!$W$2:$W$67, MATCH('Raw data'!L169, Map!$V$2:$V$67,0))</f>
        <v>T2</v>
      </c>
      <c r="O169" s="165" t="str">
        <f>INDEX(Map!$X$2:$X$67, MATCH('Raw data'!L169, Map!$V$2:$V$67,0))</f>
        <v>R5</v>
      </c>
      <c r="P169" s="158">
        <f>('32 days'!$C38-'32 days'!$C$3)+('32 days'!$D38-'32 days'!$C$3)</f>
        <v>56.399999999999991</v>
      </c>
      <c r="Q169" s="154">
        <f t="shared" si="44"/>
        <v>1.4461538461538459</v>
      </c>
      <c r="R169" s="155">
        <f t="shared" si="45"/>
        <v>19.544999999999991</v>
      </c>
      <c r="S169" s="328">
        <f t="shared" si="119"/>
        <v>0.50115384615384595</v>
      </c>
      <c r="T169" s="336">
        <f>IF((IF(('32 days'!$E38-'32 days'!$E$3)&lt;0, 0, ('32 days'!$E38-'32 days'!$E$3)))+(IF(('32 days'!$F38-'32 days'!$F$3)&lt;0, 0, ('32 days'!$F38-'32 days'!$F$3)))+('32 days'!$H38*'32 days'!$G38)+('32 days'!$I38)&lt;0, 0, (IF(('32 days'!$E38-'32 days'!$E$3)&lt;0, 0, ('32 days'!$E38-'32 days'!$E$3)))+(IF(('32 days'!$F38-'32 days'!$F$3)&lt;0, 0, ('32 days'!$F38-'32 days'!$F$3)))+('32 days'!$H38*'32 days'!$G38)+('32 days'!$I38))</f>
        <v>10.200000000000001</v>
      </c>
      <c r="U169" s="158">
        <f t="shared" si="122"/>
        <v>53.364999999999995</v>
      </c>
      <c r="V169" s="154">
        <f t="shared" si="46"/>
        <v>1.3683333333333332</v>
      </c>
      <c r="W169" s="155">
        <f t="shared" si="125"/>
        <v>1.7719756309834642</v>
      </c>
      <c r="X169" s="196">
        <f t="shared" si="54"/>
        <v>40</v>
      </c>
      <c r="Y169" s="213">
        <f t="shared" si="48"/>
        <v>39</v>
      </c>
      <c r="Z169" s="163">
        <f>'32 days'!J38</f>
        <v>0</v>
      </c>
      <c r="AA169" s="154">
        <f>'32 days'!K38</f>
        <v>0</v>
      </c>
      <c r="AB169" s="163">
        <f>'32 days'!L38</f>
        <v>1</v>
      </c>
      <c r="AC169" s="154">
        <f>'32 days'!M38</f>
        <v>1.05</v>
      </c>
      <c r="AD169" s="213">
        <f>'32 days'!N38</f>
        <v>0</v>
      </c>
      <c r="AE169" s="154">
        <f>'32 days'!O38</f>
        <v>0</v>
      </c>
      <c r="AF169" s="163">
        <f t="shared" si="49"/>
        <v>1</v>
      </c>
      <c r="AG169" s="160">
        <f t="shared" si="50"/>
        <v>1.05</v>
      </c>
      <c r="AI169" s="325" t="s">
        <v>117</v>
      </c>
      <c r="AJ169" s="162">
        <f t="shared" si="57"/>
        <v>34</v>
      </c>
      <c r="AK169" s="163" t="str">
        <f>INDEX(Map!$W$2:$W$67, MATCH('Raw data'!AJ169, Map!$V$2:$V$67,0))</f>
        <v>T2</v>
      </c>
      <c r="AL169" s="165" t="str">
        <f>INDEX(Map!$X$2:$X$67, MATCH('Raw data'!AJ169, Map!$V$2:$V$67,0))</f>
        <v>R5</v>
      </c>
      <c r="AM169" s="325">
        <f t="shared" ref="AM169:AM202" si="128">P169</f>
        <v>56.399999999999991</v>
      </c>
      <c r="AN169" s="160">
        <f t="shared" si="59"/>
        <v>1.4461538461538459</v>
      </c>
      <c r="AO169" s="148">
        <f t="shared" ref="AO169:AP169" si="129">R169+R103</f>
        <v>43.35499999999999</v>
      </c>
      <c r="AP169" s="150">
        <f t="shared" si="129"/>
        <v>1.0964038461538459</v>
      </c>
      <c r="AQ169" s="151">
        <f t="shared" ref="AQ169:AR169" si="130">U169+U103</f>
        <v>85.8</v>
      </c>
      <c r="AR169" s="149">
        <f t="shared" si="130"/>
        <v>2.1792083333333334</v>
      </c>
      <c r="AS169" s="150">
        <f t="shared" si="62"/>
        <v>1.9322148406710962</v>
      </c>
    </row>
    <row r="170" spans="11:45" x14ac:dyDescent="0.25">
      <c r="K170" s="164" t="s">
        <v>89</v>
      </c>
      <c r="L170" s="162">
        <f>'32 days'!$A39</f>
        <v>35</v>
      </c>
      <c r="M170" s="163">
        <f t="shared" si="47"/>
        <v>37</v>
      </c>
      <c r="N170" s="163" t="str">
        <f>INDEX(Map!$W$2:$W$67, MATCH('Raw data'!L170, Map!$V$2:$V$67,0))</f>
        <v>T5</v>
      </c>
      <c r="O170" s="165" t="str">
        <f>INDEX(Map!$X$2:$X$67, MATCH('Raw data'!L170, Map!$V$2:$V$67,0))</f>
        <v>R5</v>
      </c>
      <c r="P170" s="158">
        <f>('32 days'!$C39-'32 days'!$C$3)+('32 days'!$D39-'32 days'!$C$3)</f>
        <v>54</v>
      </c>
      <c r="Q170" s="154">
        <f t="shared" si="44"/>
        <v>1.4594594594594594</v>
      </c>
      <c r="R170" s="155">
        <f t="shared" si="45"/>
        <v>15.900000000000002</v>
      </c>
      <c r="S170" s="328">
        <f t="shared" si="119"/>
        <v>0.42972972972972978</v>
      </c>
      <c r="T170" s="336">
        <f>IF((IF(('32 days'!$E39-'32 days'!$E$3)&lt;0, 0, ('32 days'!$E39-'32 days'!$E$3)))+(IF(('32 days'!$F39-'32 days'!$F$3)&lt;0, 0, ('32 days'!$F39-'32 days'!$F$3)))+('32 days'!$H39*'32 days'!$G39)+('32 days'!$I39)&lt;0, 0, (IF(('32 days'!$E39-'32 days'!$E$3)&lt;0, 0, ('32 days'!$E39-'32 days'!$E$3)))+(IF(('32 days'!$F39-'32 days'!$F$3)&lt;0, 0, ('32 days'!$F39-'32 days'!$F$3)))+('32 days'!$H39*'32 days'!$G39)+('32 days'!$I39))</f>
        <v>11</v>
      </c>
      <c r="U170" s="158">
        <f>T104-T170</f>
        <v>52.865000000000002</v>
      </c>
      <c r="V170" s="154">
        <f t="shared" si="46"/>
        <v>1.4287837837837838</v>
      </c>
      <c r="W170" s="155">
        <f t="shared" si="125"/>
        <v>1.8500531466480958</v>
      </c>
      <c r="X170" s="196">
        <f t="shared" si="54"/>
        <v>37</v>
      </c>
      <c r="Y170" s="213">
        <f t="shared" si="48"/>
        <v>37</v>
      </c>
      <c r="Z170" s="163">
        <f>'32 days'!J39</f>
        <v>0</v>
      </c>
      <c r="AA170" s="154">
        <f>'32 days'!K39</f>
        <v>0</v>
      </c>
      <c r="AB170" s="163">
        <f>'32 days'!L39</f>
        <v>0</v>
      </c>
      <c r="AC170" s="154">
        <f>'32 days'!M39</f>
        <v>0</v>
      </c>
      <c r="AD170" s="213">
        <f>'32 days'!N39</f>
        <v>0</v>
      </c>
      <c r="AE170" s="154">
        <f>'32 days'!O39</f>
        <v>0</v>
      </c>
      <c r="AF170" s="163">
        <f t="shared" si="49"/>
        <v>0</v>
      </c>
      <c r="AG170" s="160">
        <f t="shared" si="50"/>
        <v>0</v>
      </c>
      <c r="AI170" s="325" t="s">
        <v>117</v>
      </c>
      <c r="AJ170" s="162">
        <f t="shared" si="57"/>
        <v>35</v>
      </c>
      <c r="AK170" s="163" t="str">
        <f>INDEX(Map!$W$2:$W$67, MATCH('Raw data'!AJ170, Map!$V$2:$V$67,0))</f>
        <v>T5</v>
      </c>
      <c r="AL170" s="165" t="str">
        <f>INDEX(Map!$X$2:$X$67, MATCH('Raw data'!AJ170, Map!$V$2:$V$67,0))</f>
        <v>R5</v>
      </c>
      <c r="AM170" s="325">
        <f t="shared" si="128"/>
        <v>54</v>
      </c>
      <c r="AN170" s="160">
        <f t="shared" si="59"/>
        <v>1.4594594594594594</v>
      </c>
      <c r="AO170" s="148">
        <f t="shared" ref="AO170:AP170" si="131">R170+R104</f>
        <v>40.81</v>
      </c>
      <c r="AP170" s="150">
        <f t="shared" si="131"/>
        <v>1.1029729729729729</v>
      </c>
      <c r="AQ170" s="151">
        <f t="shared" ref="AQ170:AR170" si="132">U170+U104</f>
        <v>85</v>
      </c>
      <c r="AR170" s="149">
        <f t="shared" si="132"/>
        <v>2.2972972972972974</v>
      </c>
      <c r="AS170" s="150">
        <f t="shared" si="62"/>
        <v>2.0828228375398186</v>
      </c>
    </row>
    <row r="171" spans="11:45" x14ac:dyDescent="0.25">
      <c r="K171" s="164" t="s">
        <v>89</v>
      </c>
      <c r="L171" s="162">
        <f>'32 days'!$A40</f>
        <v>36</v>
      </c>
      <c r="M171" s="163">
        <f t="shared" si="47"/>
        <v>34</v>
      </c>
      <c r="N171" s="163" t="str">
        <f>INDEX(Map!$W$2:$W$67, MATCH('Raw data'!L171, Map!$V$2:$V$67,0))</f>
        <v>T4</v>
      </c>
      <c r="O171" s="165" t="str">
        <f>INDEX(Map!$X$2:$X$67, MATCH('Raw data'!L171, Map!$V$2:$V$67,0))</f>
        <v>R5</v>
      </c>
      <c r="P171" s="158">
        <f>('32 days'!$C40-'32 days'!$C$3)+('32 days'!$D40-'32 days'!$C$3)</f>
        <v>45.9</v>
      </c>
      <c r="Q171" s="154">
        <f t="shared" si="44"/>
        <v>1.3499999999999999</v>
      </c>
      <c r="R171" s="155">
        <f t="shared" si="45"/>
        <v>13.002702702702702</v>
      </c>
      <c r="S171" s="328">
        <f t="shared" si="119"/>
        <v>0.38243243243243241</v>
      </c>
      <c r="T171" s="336">
        <f>IF((IF(('32 days'!$E40-'32 days'!$E$3)&lt;0, 0, ('32 days'!$E40-'32 days'!$E$3)))+(IF(('32 days'!$F40-'32 days'!$F$3)&lt;0, 0, ('32 days'!$F40-'32 days'!$F$3)))+('32 days'!$H40*'32 days'!$G40)+('32 days'!$I40)&lt;0, 0, (IF(('32 days'!$E40-'32 days'!$E$3)&lt;0, 0, ('32 days'!$E40-'32 days'!$E$3)))+(IF(('32 days'!$F40-'32 days'!$F$3)&lt;0, 0, ('32 days'!$F40-'32 days'!$F$3)))+('32 days'!$H40*'32 days'!$G40)+('32 days'!$I40))</f>
        <v>18.5</v>
      </c>
      <c r="U171" s="158">
        <f t="shared" si="122"/>
        <v>46.814999999999998</v>
      </c>
      <c r="V171" s="154">
        <f t="shared" si="46"/>
        <v>1.3769117647058824</v>
      </c>
      <c r="W171" s="155">
        <f t="shared" si="125"/>
        <v>1.9021794531998613</v>
      </c>
      <c r="X171" s="196">
        <f t="shared" si="54"/>
        <v>37</v>
      </c>
      <c r="Y171" s="213">
        <f t="shared" si="48"/>
        <v>34</v>
      </c>
      <c r="Z171" s="163">
        <f>'32 days'!J40</f>
        <v>2</v>
      </c>
      <c r="AA171" s="154">
        <f>'32 days'!K40</f>
        <v>1.52</v>
      </c>
      <c r="AB171" s="163">
        <f>'32 days'!L40</f>
        <v>1</v>
      </c>
      <c r="AC171" s="154">
        <f>'32 days'!M40</f>
        <v>1.05</v>
      </c>
      <c r="AD171" s="213">
        <f>'32 days'!N40</f>
        <v>0</v>
      </c>
      <c r="AE171" s="154">
        <f>'32 days'!O40</f>
        <v>0</v>
      </c>
      <c r="AF171" s="163">
        <f t="shared" si="49"/>
        <v>3</v>
      </c>
      <c r="AG171" s="160">
        <f t="shared" si="50"/>
        <v>2.5700000000000003</v>
      </c>
      <c r="AI171" s="325" t="s">
        <v>117</v>
      </c>
      <c r="AJ171" s="162">
        <f t="shared" si="57"/>
        <v>36</v>
      </c>
      <c r="AK171" s="163" t="str">
        <f>INDEX(Map!$W$2:$W$67, MATCH('Raw data'!AJ171, Map!$V$2:$V$67,0))</f>
        <v>T4</v>
      </c>
      <c r="AL171" s="165" t="str">
        <f>INDEX(Map!$X$2:$X$67, MATCH('Raw data'!AJ171, Map!$V$2:$V$67,0))</f>
        <v>R5</v>
      </c>
      <c r="AM171" s="325">
        <f t="shared" si="128"/>
        <v>45.9</v>
      </c>
      <c r="AN171" s="160">
        <f t="shared" si="59"/>
        <v>1.3499999999999999</v>
      </c>
      <c r="AO171" s="148">
        <f t="shared" ref="AO171:AP171" si="133">R171+R105</f>
        <v>36.262702702702697</v>
      </c>
      <c r="AP171" s="150">
        <f t="shared" si="133"/>
        <v>1.0110810810810809</v>
      </c>
      <c r="AQ171" s="151">
        <f t="shared" ref="AQ171:AR171" si="134">U171+U105</f>
        <v>77.5</v>
      </c>
      <c r="AR171" s="149">
        <f t="shared" si="134"/>
        <v>2.2062360890302068</v>
      </c>
      <c r="AS171" s="150">
        <f t="shared" si="62"/>
        <v>1.9957405641664523</v>
      </c>
    </row>
    <row r="172" spans="11:45" x14ac:dyDescent="0.25">
      <c r="K172" s="164" t="s">
        <v>89</v>
      </c>
      <c r="L172" s="162">
        <f>'32 days'!$A41</f>
        <v>37</v>
      </c>
      <c r="M172" s="163">
        <f t="shared" si="47"/>
        <v>37</v>
      </c>
      <c r="N172" s="163" t="str">
        <f>INDEX(Map!$W$2:$W$67, MATCH('Raw data'!L172, Map!$V$2:$V$67,0))</f>
        <v>T2</v>
      </c>
      <c r="O172" s="165" t="str">
        <f>INDEX(Map!$X$2:$X$67, MATCH('Raw data'!L172, Map!$V$2:$V$67,0))</f>
        <v>R6</v>
      </c>
      <c r="P172" s="158">
        <f>('32 days'!$C41-'32 days'!$C$3)+('32 days'!$D41-'32 days'!$C$3)</f>
        <v>54.949999999999996</v>
      </c>
      <c r="Q172" s="154">
        <f t="shared" si="44"/>
        <v>1.485135135135135</v>
      </c>
      <c r="R172" s="155">
        <f t="shared" si="45"/>
        <v>22.456410256410251</v>
      </c>
      <c r="S172" s="328">
        <f t="shared" si="119"/>
        <v>0.60693000693000676</v>
      </c>
      <c r="T172" s="336">
        <f>IF((IF(('32 days'!$E41-'32 days'!$E$3)&lt;0, 0, ('32 days'!$E41-'32 days'!$E$3)))+(IF(('32 days'!$F41-'32 days'!$F$3)&lt;0, 0, ('32 days'!$F41-'32 days'!$F$3)))+('32 days'!$H41*'32 days'!$G41)+('32 days'!$I41)&lt;0, 0, (IF(('32 days'!$E41-'32 days'!$E$3)&lt;0, 0, ('32 days'!$E41-'32 days'!$E$3)))+(IF(('32 days'!$F41-'32 days'!$F$3)&lt;0, 0, ('32 days'!$F41-'32 days'!$F$3)))+('32 days'!$H41*'32 days'!$G41)+('32 days'!$I41))</f>
        <v>10.25</v>
      </c>
      <c r="U172" s="158">
        <f t="shared" si="122"/>
        <v>55.715000000000003</v>
      </c>
      <c r="V172" s="154">
        <f t="shared" si="46"/>
        <v>1.5058108108108108</v>
      </c>
      <c r="W172" s="155">
        <f t="shared" si="125"/>
        <v>1.7479395604395604</v>
      </c>
      <c r="X172" s="196">
        <f t="shared" si="54"/>
        <v>39</v>
      </c>
      <c r="Y172" s="213">
        <f t="shared" si="48"/>
        <v>37</v>
      </c>
      <c r="Z172" s="163">
        <f>'32 days'!J41</f>
        <v>1</v>
      </c>
      <c r="AA172" s="154">
        <f>'32 days'!K41</f>
        <v>1.59</v>
      </c>
      <c r="AB172" s="163">
        <f>'32 days'!L41</f>
        <v>1</v>
      </c>
      <c r="AC172" s="154">
        <f>'32 days'!M41</f>
        <v>1.1000000000000001</v>
      </c>
      <c r="AD172" s="213">
        <f>'32 days'!N41</f>
        <v>0</v>
      </c>
      <c r="AE172" s="154">
        <f>'32 days'!O41</f>
        <v>0</v>
      </c>
      <c r="AF172" s="163">
        <f t="shared" si="49"/>
        <v>2</v>
      </c>
      <c r="AG172" s="160">
        <f t="shared" si="50"/>
        <v>2.6900000000000004</v>
      </c>
      <c r="AI172" s="325" t="s">
        <v>117</v>
      </c>
      <c r="AJ172" s="162">
        <f t="shared" si="57"/>
        <v>37</v>
      </c>
      <c r="AK172" s="163" t="str">
        <f>INDEX(Map!$W$2:$W$67, MATCH('Raw data'!AJ172, Map!$V$2:$V$67,0))</f>
        <v>T2</v>
      </c>
      <c r="AL172" s="165" t="str">
        <f>INDEX(Map!$X$2:$X$67, MATCH('Raw data'!AJ172, Map!$V$2:$V$67,0))</f>
        <v>R6</v>
      </c>
      <c r="AM172" s="325">
        <f t="shared" si="128"/>
        <v>54.949999999999996</v>
      </c>
      <c r="AN172" s="160">
        <f t="shared" si="59"/>
        <v>1.485135135135135</v>
      </c>
      <c r="AO172" s="148">
        <f t="shared" ref="AO172:AP172" si="135">R172+R106</f>
        <v>43.066160256410249</v>
      </c>
      <c r="AP172" s="150">
        <f t="shared" si="135"/>
        <v>1.1353851351351349</v>
      </c>
      <c r="AQ172" s="151">
        <f t="shared" ref="AQ172:AR172" si="136">U172+U106</f>
        <v>85.75</v>
      </c>
      <c r="AR172" s="149">
        <f t="shared" si="136"/>
        <v>2.2759390159390156</v>
      </c>
      <c r="AS172" s="150">
        <f t="shared" si="62"/>
        <v>1.8498080843126403</v>
      </c>
    </row>
    <row r="173" spans="11:45" x14ac:dyDescent="0.25">
      <c r="K173" s="164" t="s">
        <v>89</v>
      </c>
      <c r="L173" s="162">
        <f>'32 days'!$A42</f>
        <v>38</v>
      </c>
      <c r="M173" s="163">
        <f t="shared" si="47"/>
        <v>38</v>
      </c>
      <c r="N173" s="163" t="str">
        <f>INDEX(Map!$W$2:$W$67, MATCH('Raw data'!L173, Map!$V$2:$V$67,0))</f>
        <v>T6</v>
      </c>
      <c r="O173" s="165" t="str">
        <f>INDEX(Map!$X$2:$X$67, MATCH('Raw data'!L173, Map!$V$2:$V$67,0))</f>
        <v>R6</v>
      </c>
      <c r="P173" s="158">
        <f>('32 days'!$C42-'32 days'!$C$3)+('32 days'!$D42-'32 days'!$C$3)</f>
        <v>55.199999999999996</v>
      </c>
      <c r="Q173" s="154">
        <f t="shared" si="44"/>
        <v>1.4526315789473683</v>
      </c>
      <c r="R173" s="155">
        <f t="shared" si="45"/>
        <v>17.930769230769226</v>
      </c>
      <c r="S173" s="328">
        <f t="shared" si="119"/>
        <v>0.47186234817813755</v>
      </c>
      <c r="T173" s="336">
        <f>IF((IF(('32 days'!$E42-'32 days'!$E$3)&lt;0, 0, ('32 days'!$E42-'32 days'!$E$3)))+(IF(('32 days'!$F42-'32 days'!$F$3)&lt;0, 0, ('32 days'!$F42-'32 days'!$F$3)))+('32 days'!$H42*'32 days'!$G42)+('32 days'!$I42)&lt;0, 0, (IF(('32 days'!$E42-'32 days'!$E$3)&lt;0, 0, ('32 days'!$E42-'32 days'!$E$3)))+(IF(('32 days'!$F42-'32 days'!$F$3)&lt;0, 0, ('32 days'!$F42-'32 days'!$F$3)))+('32 days'!$H42*'32 days'!$G42)+('32 days'!$I42))</f>
        <v>11.149999999999999</v>
      </c>
      <c r="U173" s="158">
        <f t="shared" si="122"/>
        <v>52.265000000000001</v>
      </c>
      <c r="V173" s="154">
        <f t="shared" si="46"/>
        <v>1.3753947368421053</v>
      </c>
      <c r="W173" s="155">
        <f t="shared" si="125"/>
        <v>1.760600706713781</v>
      </c>
      <c r="X173" s="196">
        <f t="shared" si="54"/>
        <v>39</v>
      </c>
      <c r="Y173" s="213">
        <f t="shared" si="48"/>
        <v>38</v>
      </c>
      <c r="Z173" s="163">
        <f>'32 days'!J42</f>
        <v>0</v>
      </c>
      <c r="AA173" s="154">
        <f>'32 days'!K42</f>
        <v>0</v>
      </c>
      <c r="AB173" s="163">
        <f>'32 days'!L42</f>
        <v>1</v>
      </c>
      <c r="AC173" s="154">
        <f>'32 days'!M42</f>
        <v>0.85</v>
      </c>
      <c r="AD173" s="213">
        <f>'32 days'!N42</f>
        <v>0</v>
      </c>
      <c r="AE173" s="154">
        <f>'32 days'!O42</f>
        <v>0</v>
      </c>
      <c r="AF173" s="163">
        <f t="shared" si="49"/>
        <v>1</v>
      </c>
      <c r="AG173" s="160">
        <f t="shared" si="50"/>
        <v>0.85</v>
      </c>
      <c r="AI173" s="325" t="s">
        <v>117</v>
      </c>
      <c r="AJ173" s="162">
        <f t="shared" si="57"/>
        <v>38</v>
      </c>
      <c r="AK173" s="163" t="str">
        <f>INDEX(Map!$W$2:$W$67, MATCH('Raw data'!AJ173, Map!$V$2:$V$67,0))</f>
        <v>T6</v>
      </c>
      <c r="AL173" s="165" t="str">
        <f>INDEX(Map!$X$2:$X$67, MATCH('Raw data'!AJ173, Map!$V$2:$V$67,0))</f>
        <v>R6</v>
      </c>
      <c r="AM173" s="325">
        <f t="shared" si="128"/>
        <v>55.199999999999996</v>
      </c>
      <c r="AN173" s="160">
        <f t="shared" si="59"/>
        <v>1.4526315789473683</v>
      </c>
      <c r="AO173" s="148">
        <f t="shared" ref="AO173:AP173" si="137">R173+R107</f>
        <v>43.271769230769223</v>
      </c>
      <c r="AP173" s="150">
        <f t="shared" si="137"/>
        <v>1.1216315789473681</v>
      </c>
      <c r="AQ173" s="151">
        <f t="shared" ref="AQ173:AR173" si="138">U173+U107</f>
        <v>84.85</v>
      </c>
      <c r="AR173" s="149">
        <f t="shared" si="138"/>
        <v>2.2109075573549259</v>
      </c>
      <c r="AS173" s="150">
        <f t="shared" si="62"/>
        <v>1.8994098837159248</v>
      </c>
    </row>
    <row r="174" spans="11:45" x14ac:dyDescent="0.25">
      <c r="K174" s="164" t="s">
        <v>89</v>
      </c>
      <c r="L174" s="162">
        <f>'32 days'!$A43</f>
        <v>39</v>
      </c>
      <c r="M174" s="163">
        <f t="shared" si="47"/>
        <v>37</v>
      </c>
      <c r="N174" s="163" t="str">
        <f>INDEX(Map!$W$2:$W$67, MATCH('Raw data'!L174, Map!$V$2:$V$67,0))</f>
        <v>T4</v>
      </c>
      <c r="O174" s="165" t="str">
        <f>INDEX(Map!$X$2:$X$67, MATCH('Raw data'!L174, Map!$V$2:$V$67,0))</f>
        <v>R6</v>
      </c>
      <c r="P174" s="158">
        <f>('32 days'!$C43-'32 days'!$C$3)+('32 days'!$D43-'32 days'!$C$3)</f>
        <v>53.7</v>
      </c>
      <c r="Q174" s="154">
        <f t="shared" si="44"/>
        <v>1.4513513513513514</v>
      </c>
      <c r="R174" s="155">
        <f t="shared" si="45"/>
        <v>17.040789473684207</v>
      </c>
      <c r="S174" s="328">
        <f t="shared" si="119"/>
        <v>0.46056187766714074</v>
      </c>
      <c r="T174" s="336">
        <f>IF((IF(('32 days'!$E43-'32 days'!$E$3)&lt;0, 0, ('32 days'!$E43-'32 days'!$E$3)))+(IF(('32 days'!$F43-'32 days'!$F$3)&lt;0, 0, ('32 days'!$F43-'32 days'!$F$3)))+('32 days'!$H43*'32 days'!$G43)+('32 days'!$I43)&lt;0, 0, (IF(('32 days'!$E43-'32 days'!$E$3)&lt;0, 0, ('32 days'!$E43-'32 days'!$E$3)))+(IF(('32 days'!$F43-'32 days'!$F$3)&lt;0, 0, ('32 days'!$F43-'32 days'!$F$3)))+('32 days'!$H43*'32 days'!$G43)+('32 days'!$I43))</f>
        <v>8.6</v>
      </c>
      <c r="U174" s="158">
        <f t="shared" si="122"/>
        <v>55.015000000000001</v>
      </c>
      <c r="V174" s="154">
        <f t="shared" si="46"/>
        <v>1.4868918918918919</v>
      </c>
      <c r="W174" s="155">
        <f t="shared" si="125"/>
        <v>1.8705323124931965</v>
      </c>
      <c r="X174" s="196">
        <f t="shared" si="54"/>
        <v>38</v>
      </c>
      <c r="Y174" s="213">
        <f t="shared" si="48"/>
        <v>37</v>
      </c>
      <c r="Z174" s="163">
        <f>'32 days'!J43</f>
        <v>0</v>
      </c>
      <c r="AA174" s="154">
        <f>'32 days'!K43</f>
        <v>0</v>
      </c>
      <c r="AB174" s="163">
        <f>'32 days'!L43</f>
        <v>1</v>
      </c>
      <c r="AC174" s="154">
        <f>'32 days'!M43</f>
        <v>1.1200000000000001</v>
      </c>
      <c r="AD174" s="213">
        <f>'32 days'!N43</f>
        <v>0</v>
      </c>
      <c r="AE174" s="154">
        <f>'32 days'!O43</f>
        <v>0</v>
      </c>
      <c r="AF174" s="163">
        <f t="shared" si="49"/>
        <v>1</v>
      </c>
      <c r="AG174" s="160">
        <f t="shared" si="50"/>
        <v>1.1200000000000001</v>
      </c>
      <c r="AI174" s="325" t="s">
        <v>117</v>
      </c>
      <c r="AJ174" s="162">
        <f t="shared" si="57"/>
        <v>39</v>
      </c>
      <c r="AK174" s="163" t="str">
        <f>INDEX(Map!$W$2:$W$67, MATCH('Raw data'!AJ174, Map!$V$2:$V$67,0))</f>
        <v>T4</v>
      </c>
      <c r="AL174" s="165" t="str">
        <f>INDEX(Map!$X$2:$X$67, MATCH('Raw data'!AJ174, Map!$V$2:$V$67,0))</f>
        <v>R6</v>
      </c>
      <c r="AM174" s="325">
        <f t="shared" si="128"/>
        <v>53.7</v>
      </c>
      <c r="AN174" s="160">
        <f t="shared" si="59"/>
        <v>1.4513513513513514</v>
      </c>
      <c r="AO174" s="148">
        <f t="shared" ref="AO174:AP174" si="139">R174+R108</f>
        <v>41.150789473684213</v>
      </c>
      <c r="AP174" s="150">
        <f t="shared" si="139"/>
        <v>1.0950355618776673</v>
      </c>
      <c r="AQ174" s="151">
        <f t="shared" ref="AQ174:AR174" si="140">U174+U108</f>
        <v>87.4</v>
      </c>
      <c r="AR174" s="149">
        <f t="shared" si="140"/>
        <v>2.3391287339971552</v>
      </c>
      <c r="AS174" s="150">
        <f t="shared" si="62"/>
        <v>2.0676216623399264</v>
      </c>
    </row>
    <row r="175" spans="11:45" x14ac:dyDescent="0.25">
      <c r="K175" s="164" t="s">
        <v>89</v>
      </c>
      <c r="L175" s="162">
        <f>'32 days'!$A44</f>
        <v>40</v>
      </c>
      <c r="M175" s="163">
        <f t="shared" si="47"/>
        <v>40</v>
      </c>
      <c r="N175" s="163" t="str">
        <f>INDEX(Map!$W$2:$W$67, MATCH('Raw data'!L175, Map!$V$2:$V$67,0))</f>
        <v>T3</v>
      </c>
      <c r="O175" s="165" t="str">
        <f>INDEX(Map!$X$2:$X$67, MATCH('Raw data'!L175, Map!$V$2:$V$67,0))</f>
        <v>R6</v>
      </c>
      <c r="P175" s="158">
        <f>('32 days'!$C44-'32 days'!$C$3)+('32 days'!$D44-'32 days'!$C$3)</f>
        <v>57.949999999999996</v>
      </c>
      <c r="Q175" s="154">
        <f t="shared" si="44"/>
        <v>1.44875</v>
      </c>
      <c r="R175" s="155">
        <f t="shared" si="45"/>
        <v>19.749999999999996</v>
      </c>
      <c r="S175" s="328">
        <f t="shared" si="119"/>
        <v>0.49374999999999991</v>
      </c>
      <c r="T175" s="336">
        <f>IF((IF(('32 days'!$E44-'32 days'!$E$3)&lt;0, 0, ('32 days'!$E44-'32 days'!$E$3)))+(IF(('32 days'!$F44-'32 days'!$F$3)&lt;0, 0, ('32 days'!$F44-'32 days'!$F$3)))+('32 days'!$H44*'32 days'!$G44)+('32 days'!$I44)&lt;0, 0, (IF(('32 days'!$E44-'32 days'!$E$3)&lt;0, 0, ('32 days'!$E44-'32 days'!$E$3)))+(IF(('32 days'!$F44-'32 days'!$F$3)&lt;0, 0, ('32 days'!$F44-'32 days'!$F$3)))+('32 days'!$H44*'32 days'!$G44)+('32 days'!$I44))</f>
        <v>8.5500000000000007</v>
      </c>
      <c r="U175" s="158">
        <f t="shared" si="122"/>
        <v>54.564999999999998</v>
      </c>
      <c r="V175" s="154">
        <f t="shared" si="46"/>
        <v>1.364125</v>
      </c>
      <c r="W175" s="155">
        <f t="shared" si="125"/>
        <v>1.7782571182053493</v>
      </c>
      <c r="X175" s="196">
        <f t="shared" si="54"/>
        <v>40</v>
      </c>
      <c r="Y175" s="213">
        <f t="shared" si="48"/>
        <v>40</v>
      </c>
      <c r="Z175" s="163">
        <f>'32 days'!J44</f>
        <v>0</v>
      </c>
      <c r="AA175" s="154">
        <f>'32 days'!K44</f>
        <v>0</v>
      </c>
      <c r="AB175" s="163">
        <f>'32 days'!L44</f>
        <v>0</v>
      </c>
      <c r="AC175" s="154">
        <f>'32 days'!M44</f>
        <v>0</v>
      </c>
      <c r="AD175" s="213">
        <f>'32 days'!N44</f>
        <v>0</v>
      </c>
      <c r="AE175" s="154">
        <f>'32 days'!O44</f>
        <v>0</v>
      </c>
      <c r="AF175" s="163">
        <f t="shared" si="49"/>
        <v>0</v>
      </c>
      <c r="AG175" s="160">
        <f t="shared" si="50"/>
        <v>0</v>
      </c>
      <c r="AI175" s="325" t="s">
        <v>117</v>
      </c>
      <c r="AJ175" s="162">
        <f t="shared" si="57"/>
        <v>40</v>
      </c>
      <c r="AK175" s="163" t="str">
        <f>INDEX(Map!$W$2:$W$67, MATCH('Raw data'!AJ175, Map!$V$2:$V$67,0))</f>
        <v>T3</v>
      </c>
      <c r="AL175" s="165" t="str">
        <f>INDEX(Map!$X$2:$X$67, MATCH('Raw data'!AJ175, Map!$V$2:$V$67,0))</f>
        <v>R6</v>
      </c>
      <c r="AM175" s="325">
        <f t="shared" si="128"/>
        <v>57.949999999999996</v>
      </c>
      <c r="AN175" s="160">
        <f t="shared" si="59"/>
        <v>1.44875</v>
      </c>
      <c r="AO175" s="148">
        <f t="shared" ref="AO175:AP175" si="141">R175+R109</f>
        <v>44.16</v>
      </c>
      <c r="AP175" s="150">
        <f t="shared" si="141"/>
        <v>1.1040000000000001</v>
      </c>
      <c r="AQ175" s="151">
        <f t="shared" ref="AQ175:AR175" si="142">U175+U109</f>
        <v>87.449999999999989</v>
      </c>
      <c r="AR175" s="149">
        <f t="shared" si="142"/>
        <v>2.1862500000000002</v>
      </c>
      <c r="AS175" s="150">
        <f t="shared" si="62"/>
        <v>1.980298913043478</v>
      </c>
    </row>
    <row r="176" spans="11:45" x14ac:dyDescent="0.25">
      <c r="K176" s="164" t="s">
        <v>89</v>
      </c>
      <c r="L176" s="162">
        <f>'32 days'!$A45</f>
        <v>41</v>
      </c>
      <c r="M176" s="163">
        <f t="shared" si="47"/>
        <v>39</v>
      </c>
      <c r="N176" s="163" t="str">
        <f>INDEX(Map!$W$2:$W$67, MATCH('Raw data'!L176, Map!$V$2:$V$67,0))</f>
        <v>T1</v>
      </c>
      <c r="O176" s="165" t="str">
        <f>INDEX(Map!$X$2:$X$67, MATCH('Raw data'!L176, Map!$V$2:$V$67,0))</f>
        <v>R6</v>
      </c>
      <c r="P176" s="158">
        <f>('32 days'!$C45-'32 days'!$C$3)+('32 days'!$D45-'32 days'!$C$3)</f>
        <v>58.8</v>
      </c>
      <c r="Q176" s="154">
        <f t="shared" si="44"/>
        <v>1.5076923076923077</v>
      </c>
      <c r="R176" s="155">
        <f t="shared" si="45"/>
        <v>20.336249999999996</v>
      </c>
      <c r="S176" s="328">
        <f t="shared" si="119"/>
        <v>0.52144230769230759</v>
      </c>
      <c r="T176" s="336">
        <f>IF((IF(('32 days'!$E45-'32 days'!$E$3)&lt;0, 0, ('32 days'!$E45-'32 days'!$E$3)))+(IF(('32 days'!$F45-'32 days'!$F$3)&lt;0, 0, ('32 days'!$F45-'32 days'!$F$3)))+('32 days'!$H45*'32 days'!$G45)+('32 days'!$I45)&lt;0, 0, (IF(('32 days'!$E45-'32 days'!$E$3)&lt;0, 0, ('32 days'!$E45-'32 days'!$E$3)))+(IF(('32 days'!$F45-'32 days'!$F$3)&lt;0, 0, ('32 days'!$F45-'32 days'!$F$3)))+('32 days'!$H45*'32 days'!$G45)+('32 days'!$I45))</f>
        <v>7</v>
      </c>
      <c r="U176" s="158">
        <f t="shared" si="122"/>
        <v>55.215000000000003</v>
      </c>
      <c r="V176" s="154">
        <f t="shared" si="46"/>
        <v>1.4157692307692309</v>
      </c>
      <c r="W176" s="155">
        <f t="shared" si="125"/>
        <v>1.7648535564853558</v>
      </c>
      <c r="X176" s="196">
        <f t="shared" si="54"/>
        <v>40</v>
      </c>
      <c r="Y176" s="213">
        <f t="shared" si="48"/>
        <v>39</v>
      </c>
      <c r="Z176" s="163">
        <f>'32 days'!J45</f>
        <v>0</v>
      </c>
      <c r="AA176" s="154">
        <f>'32 days'!K45</f>
        <v>0</v>
      </c>
      <c r="AB176" s="163">
        <f>'32 days'!L45</f>
        <v>1</v>
      </c>
      <c r="AC176" s="154">
        <f>'32 days'!M45</f>
        <v>0.95</v>
      </c>
      <c r="AD176" s="213">
        <f>'32 days'!N45</f>
        <v>0</v>
      </c>
      <c r="AE176" s="154">
        <f>'32 days'!O45</f>
        <v>0</v>
      </c>
      <c r="AF176" s="163">
        <f t="shared" si="49"/>
        <v>1</v>
      </c>
      <c r="AG176" s="160">
        <f t="shared" si="50"/>
        <v>0.95</v>
      </c>
      <c r="AI176" s="325" t="s">
        <v>117</v>
      </c>
      <c r="AJ176" s="162">
        <f t="shared" si="57"/>
        <v>41</v>
      </c>
      <c r="AK176" s="163" t="str">
        <f>INDEX(Map!$W$2:$W$67, MATCH('Raw data'!AJ176, Map!$V$2:$V$67,0))</f>
        <v>T1</v>
      </c>
      <c r="AL176" s="165" t="str">
        <f>INDEX(Map!$X$2:$X$67, MATCH('Raw data'!AJ176, Map!$V$2:$V$67,0))</f>
        <v>R6</v>
      </c>
      <c r="AM176" s="325">
        <f t="shared" si="128"/>
        <v>58.8</v>
      </c>
      <c r="AN176" s="160">
        <f t="shared" si="59"/>
        <v>1.5076923076923077</v>
      </c>
      <c r="AO176" s="148">
        <f t="shared" ref="AO176:AP176" si="143">R176+R110</f>
        <v>45.296250000000001</v>
      </c>
      <c r="AP176" s="150">
        <f t="shared" si="143"/>
        <v>1.1454423076923077</v>
      </c>
      <c r="AQ176" s="151">
        <f t="shared" ref="AQ176:AR176" si="144">U176+U110</f>
        <v>89</v>
      </c>
      <c r="AR176" s="149">
        <f t="shared" si="144"/>
        <v>2.2603942307692311</v>
      </c>
      <c r="AS176" s="150">
        <f t="shared" si="62"/>
        <v>1.9244803632726977</v>
      </c>
    </row>
    <row r="177" spans="11:45" x14ac:dyDescent="0.25">
      <c r="K177" s="164" t="s">
        <v>89</v>
      </c>
      <c r="L177" s="162">
        <f>'32 days'!$A46</f>
        <v>42</v>
      </c>
      <c r="M177" s="163">
        <f t="shared" si="47"/>
        <v>39</v>
      </c>
      <c r="N177" s="163" t="str">
        <f>INDEX(Map!$W$2:$W$67, MATCH('Raw data'!L177, Map!$V$2:$V$67,0))</f>
        <v>T5</v>
      </c>
      <c r="O177" s="165" t="str">
        <f>INDEX(Map!$X$2:$X$67, MATCH('Raw data'!L177, Map!$V$2:$V$67,0))</f>
        <v>R6</v>
      </c>
      <c r="P177" s="158">
        <f>('32 days'!$C46-'32 days'!$C$3)+('32 days'!$D46-'32 days'!$C$3)</f>
        <v>57.4</v>
      </c>
      <c r="Q177" s="154">
        <f t="shared" si="44"/>
        <v>1.4717948717948717</v>
      </c>
      <c r="R177" s="155">
        <f t="shared" si="45"/>
        <v>19.649999999999995</v>
      </c>
      <c r="S177" s="328">
        <f t="shared" si="119"/>
        <v>0.50384615384615372</v>
      </c>
      <c r="T177" s="336">
        <f>IF((IF(('32 days'!$E46-'32 days'!$E$3)&lt;0, 0, ('32 days'!$E46-'32 days'!$E$3)))+(IF(('32 days'!$F46-'32 days'!$F$3)&lt;0, 0, ('32 days'!$F46-'32 days'!$F$3)))+('32 days'!$H46*'32 days'!$G46)+('32 days'!$I46)&lt;0, 0, (IF(('32 days'!$E46-'32 days'!$E$3)&lt;0, 0, ('32 days'!$E46-'32 days'!$E$3)))+(IF(('32 days'!$F46-'32 days'!$F$3)&lt;0, 0, ('32 days'!$F46-'32 days'!$F$3)))+('32 days'!$H46*'32 days'!$G46)+('32 days'!$I46))</f>
        <v>9.15</v>
      </c>
      <c r="U177" s="158">
        <f t="shared" si="122"/>
        <v>54.414999999999999</v>
      </c>
      <c r="V177" s="154">
        <f t="shared" si="46"/>
        <v>1.3952564102564102</v>
      </c>
      <c r="W177" s="155">
        <f t="shared" si="125"/>
        <v>1.773160715528642</v>
      </c>
      <c r="X177" s="196">
        <f t="shared" si="54"/>
        <v>39</v>
      </c>
      <c r="Y177" s="213">
        <f t="shared" si="48"/>
        <v>39</v>
      </c>
      <c r="Z177" s="163">
        <f>'32 days'!J46</f>
        <v>0</v>
      </c>
      <c r="AA177" s="154">
        <f>'32 days'!K46</f>
        <v>0</v>
      </c>
      <c r="AB177" s="163">
        <f>'32 days'!L46</f>
        <v>0</v>
      </c>
      <c r="AC177" s="154">
        <f>'32 days'!M46</f>
        <v>0</v>
      </c>
      <c r="AD177" s="213">
        <f>'32 days'!N46</f>
        <v>0</v>
      </c>
      <c r="AE177" s="154">
        <f>'32 days'!O46</f>
        <v>0</v>
      </c>
      <c r="AF177" s="163">
        <f t="shared" si="49"/>
        <v>0</v>
      </c>
      <c r="AG177" s="160">
        <f t="shared" si="50"/>
        <v>0</v>
      </c>
      <c r="AI177" s="325" t="s">
        <v>117</v>
      </c>
      <c r="AJ177" s="162">
        <f t="shared" si="57"/>
        <v>42</v>
      </c>
      <c r="AK177" s="163" t="str">
        <f>INDEX(Map!$W$2:$W$67, MATCH('Raw data'!AJ177, Map!$V$2:$V$67,0))</f>
        <v>T5</v>
      </c>
      <c r="AL177" s="165" t="str">
        <f>INDEX(Map!$X$2:$X$67, MATCH('Raw data'!AJ177, Map!$V$2:$V$67,0))</f>
        <v>R6</v>
      </c>
      <c r="AM177" s="325">
        <f t="shared" si="128"/>
        <v>57.4</v>
      </c>
      <c r="AN177" s="160">
        <f t="shared" si="59"/>
        <v>1.4717948717948717</v>
      </c>
      <c r="AO177" s="148">
        <f t="shared" ref="AO177:AP177" si="145">R177+R111</f>
        <v>43.259999999999991</v>
      </c>
      <c r="AP177" s="150">
        <f t="shared" si="145"/>
        <v>1.109230769230769</v>
      </c>
      <c r="AQ177" s="151">
        <f t="shared" ref="AQ177:AR177" si="146">U177+U111</f>
        <v>86.85</v>
      </c>
      <c r="AR177" s="149">
        <f t="shared" si="146"/>
        <v>2.226923076923077</v>
      </c>
      <c r="AS177" s="150">
        <f t="shared" si="62"/>
        <v>2.0076282940360612</v>
      </c>
    </row>
    <row r="178" spans="11:45" x14ac:dyDescent="0.25">
      <c r="K178" s="164" t="s">
        <v>89</v>
      </c>
      <c r="L178" s="162">
        <f>'32 days'!$A47</f>
        <v>43</v>
      </c>
      <c r="M178" s="163">
        <f t="shared" si="47"/>
        <v>37</v>
      </c>
      <c r="N178" s="163" t="str">
        <f>INDEX(Map!$W$2:$W$67, MATCH('Raw data'!L178, Map!$V$2:$V$67,0))</f>
        <v>T6</v>
      </c>
      <c r="O178" s="165" t="str">
        <f>INDEX(Map!$X$2:$X$67, MATCH('Raw data'!L178, Map!$V$2:$V$67,0))</f>
        <v>R11</v>
      </c>
      <c r="P178" s="158">
        <f>('32 days'!$C47-'32 days'!$C$3)+('32 days'!$D47-'32 days'!$C$3)</f>
        <v>55.55</v>
      </c>
      <c r="Q178" s="154">
        <f t="shared" si="44"/>
        <v>1.5013513513513512</v>
      </c>
      <c r="R178" s="155">
        <f t="shared" si="45"/>
        <v>19.474999999999998</v>
      </c>
      <c r="S178" s="328">
        <f t="shared" si="119"/>
        <v>0.52635135135135125</v>
      </c>
      <c r="T178" s="336">
        <f>IF((IF(('32 days'!$E47-'32 days'!$E$3)&lt;0, 0, ('32 days'!$E47-'32 days'!$E$3)))+(IF(('32 days'!$F47-'32 days'!$F$3)&lt;0, 0, ('32 days'!$F47-'32 days'!$F$3)))+('32 days'!$H47*'32 days'!$G47)+('32 days'!$I47)&lt;0, 0, (IF(('32 days'!$E47-'32 days'!$E$3)&lt;0, 0, ('32 days'!$E47-'32 days'!$E$3)))+(IF(('32 days'!$F47-'32 days'!$F$3)&lt;0, 0, ('32 days'!$F47-'32 days'!$F$3)))+('32 days'!$H47*'32 days'!$G47)+('32 days'!$I47))</f>
        <v>9.15</v>
      </c>
      <c r="U178" s="158">
        <f t="shared" si="122"/>
        <v>53.065000000000005</v>
      </c>
      <c r="V178" s="154">
        <f t="shared" si="46"/>
        <v>1.4341891891891894</v>
      </c>
      <c r="W178" s="155">
        <f t="shared" si="125"/>
        <v>1.7836624299528012</v>
      </c>
      <c r="X178" s="196">
        <f t="shared" si="54"/>
        <v>38</v>
      </c>
      <c r="Y178" s="213">
        <f t="shared" si="48"/>
        <v>37</v>
      </c>
      <c r="Z178" s="163">
        <f>'32 days'!J47</f>
        <v>0</v>
      </c>
      <c r="AA178" s="154">
        <f>'32 days'!K47</f>
        <v>0</v>
      </c>
      <c r="AB178" s="163">
        <f>'32 days'!L47</f>
        <v>1</v>
      </c>
      <c r="AC178" s="154">
        <f>'32 days'!M47</f>
        <v>0.85</v>
      </c>
      <c r="AD178" s="213">
        <f>'32 days'!N47</f>
        <v>0</v>
      </c>
      <c r="AE178" s="154">
        <f>'32 days'!O47</f>
        <v>0</v>
      </c>
      <c r="AF178" s="163">
        <f t="shared" si="49"/>
        <v>1</v>
      </c>
      <c r="AG178" s="160">
        <f t="shared" si="50"/>
        <v>0.85</v>
      </c>
      <c r="AI178" s="325" t="s">
        <v>117</v>
      </c>
      <c r="AJ178" s="162">
        <f t="shared" si="57"/>
        <v>43</v>
      </c>
      <c r="AK178" s="163" t="str">
        <f>INDEX(Map!$W$2:$W$67, MATCH('Raw data'!AJ178, Map!$V$2:$V$67,0))</f>
        <v>T6</v>
      </c>
      <c r="AL178" s="165" t="str">
        <f>INDEX(Map!$X$2:$X$67, MATCH('Raw data'!AJ178, Map!$V$2:$V$67,0))</f>
        <v>R11</v>
      </c>
      <c r="AM178" s="325">
        <f t="shared" si="128"/>
        <v>55.55</v>
      </c>
      <c r="AN178" s="160">
        <f t="shared" si="59"/>
        <v>1.5013513513513512</v>
      </c>
      <c r="AO178" s="148">
        <f t="shared" ref="AO178:AP178" si="147">R178+R112</f>
        <v>42.834999999999994</v>
      </c>
      <c r="AP178" s="150">
        <f t="shared" si="147"/>
        <v>1.1410881934566144</v>
      </c>
      <c r="AQ178" s="151">
        <f t="shared" ref="AQ178:AR178" si="148">U178+U112</f>
        <v>85.15</v>
      </c>
      <c r="AR178" s="149">
        <f t="shared" si="148"/>
        <v>2.278531294452347</v>
      </c>
      <c r="AS178" s="150">
        <f t="shared" si="62"/>
        <v>1.9491816412956395</v>
      </c>
    </row>
    <row r="179" spans="11:45" x14ac:dyDescent="0.25">
      <c r="K179" s="164" t="s">
        <v>89</v>
      </c>
      <c r="L179" s="162">
        <f>'32 days'!$A48</f>
        <v>44</v>
      </c>
      <c r="M179" s="163">
        <f t="shared" si="47"/>
        <v>38</v>
      </c>
      <c r="N179" s="163" t="str">
        <f>INDEX(Map!$W$2:$W$67, MATCH('Raw data'!L179, Map!$V$2:$V$67,0))</f>
        <v>T4</v>
      </c>
      <c r="O179" s="165" t="str">
        <f>INDEX(Map!$X$2:$X$67, MATCH('Raw data'!L179, Map!$V$2:$V$67,0))</f>
        <v>R11</v>
      </c>
      <c r="P179" s="158">
        <f>('32 days'!$C48-'32 days'!$C$3)+('32 days'!$D48-'32 days'!$C$3)</f>
        <v>59.25</v>
      </c>
      <c r="Q179" s="154">
        <f t="shared" si="44"/>
        <v>1.5592105263157894</v>
      </c>
      <c r="R179" s="155">
        <f t="shared" si="45"/>
        <v>20.178205128205128</v>
      </c>
      <c r="S179" s="328">
        <f t="shared" si="119"/>
        <v>0.53100539811066128</v>
      </c>
      <c r="T179" s="336">
        <f>IF((IF(('32 days'!$E48-'32 days'!$E$3)&lt;0, 0, ('32 days'!$E48-'32 days'!$E$3)))+(IF(('32 days'!$F48-'32 days'!$F$3)&lt;0, 0, ('32 days'!$F48-'32 days'!$F$3)))+('32 days'!$H48*'32 days'!$G48)+('32 days'!$I48)&lt;0, 0, (IF(('32 days'!$E48-'32 days'!$E$3)&lt;0, 0, ('32 days'!$E48-'32 days'!$E$3)))+(IF(('32 days'!$F48-'32 days'!$F$3)&lt;0, 0, ('32 days'!$F48-'32 days'!$F$3)))+('32 days'!$H48*'32 days'!$G48)+('32 days'!$I48))</f>
        <v>5.05</v>
      </c>
      <c r="U179" s="158">
        <f t="shared" si="122"/>
        <v>55.465000000000003</v>
      </c>
      <c r="V179" s="154">
        <f t="shared" si="46"/>
        <v>1.4596052631578948</v>
      </c>
      <c r="W179" s="155">
        <f t="shared" si="125"/>
        <v>1.7584780810587266</v>
      </c>
      <c r="X179" s="196">
        <f t="shared" si="54"/>
        <v>39</v>
      </c>
      <c r="Y179" s="213">
        <f t="shared" si="48"/>
        <v>38</v>
      </c>
      <c r="Z179" s="163">
        <f>'32 days'!J48</f>
        <v>0</v>
      </c>
      <c r="AA179" s="154">
        <f>'32 days'!K48</f>
        <v>0</v>
      </c>
      <c r="AB179" s="163">
        <f>'32 days'!L48</f>
        <v>1</v>
      </c>
      <c r="AC179" s="154">
        <f>'32 days'!M48</f>
        <v>1.05</v>
      </c>
      <c r="AD179" s="213">
        <f>'32 days'!N48</f>
        <v>0</v>
      </c>
      <c r="AE179" s="154">
        <f>'32 days'!O48</f>
        <v>0</v>
      </c>
      <c r="AF179" s="163">
        <f t="shared" si="49"/>
        <v>1</v>
      </c>
      <c r="AG179" s="160">
        <f t="shared" si="50"/>
        <v>1.05</v>
      </c>
      <c r="AI179" s="325" t="s">
        <v>117</v>
      </c>
      <c r="AJ179" s="162">
        <f t="shared" si="57"/>
        <v>44</v>
      </c>
      <c r="AK179" s="163" t="str">
        <f>INDEX(Map!$W$2:$W$67, MATCH('Raw data'!AJ179, Map!$V$2:$V$67,0))</f>
        <v>T4</v>
      </c>
      <c r="AL179" s="165" t="str">
        <f>INDEX(Map!$X$2:$X$67, MATCH('Raw data'!AJ179, Map!$V$2:$V$67,0))</f>
        <v>R11</v>
      </c>
      <c r="AM179" s="325">
        <f t="shared" si="128"/>
        <v>59.25</v>
      </c>
      <c r="AN179" s="160">
        <f t="shared" si="59"/>
        <v>1.5592105263157894</v>
      </c>
      <c r="AO179" s="148">
        <f t="shared" ref="AO179:AP179" si="149">R179+R113</f>
        <v>45.388205128205122</v>
      </c>
      <c r="AP179" s="150">
        <f t="shared" si="149"/>
        <v>1.1774156545209176</v>
      </c>
      <c r="AQ179" s="151">
        <f t="shared" ref="AQ179:AR179" si="150">U179+U113</f>
        <v>89.4</v>
      </c>
      <c r="AR179" s="149">
        <f t="shared" si="150"/>
        <v>2.3297334682861002</v>
      </c>
      <c r="AS179" s="150">
        <f t="shared" si="62"/>
        <v>1.9251390046877852</v>
      </c>
    </row>
    <row r="180" spans="11:45" x14ac:dyDescent="0.25">
      <c r="K180" s="164" t="s">
        <v>89</v>
      </c>
      <c r="L180" s="162">
        <f>'32 days'!$A49</f>
        <v>45</v>
      </c>
      <c r="M180" s="163">
        <f t="shared" si="47"/>
        <v>39</v>
      </c>
      <c r="N180" s="163" t="str">
        <f>INDEX(Map!$W$2:$W$67, MATCH('Raw data'!L180, Map!$V$2:$V$67,0))</f>
        <v>T3</v>
      </c>
      <c r="O180" s="165" t="str">
        <f>INDEX(Map!$X$2:$X$67, MATCH('Raw data'!L180, Map!$V$2:$V$67,0))</f>
        <v>R10</v>
      </c>
      <c r="P180" s="158">
        <f>('32 days'!$C49-'32 days'!$C$3)+('32 days'!$D49-'32 days'!$C$3)</f>
        <v>59</v>
      </c>
      <c r="Q180" s="154">
        <f t="shared" si="44"/>
        <v>1.5128205128205128</v>
      </c>
      <c r="R180" s="155">
        <f t="shared" si="45"/>
        <v>21.413750000000004</v>
      </c>
      <c r="S180" s="328">
        <f t="shared" si="119"/>
        <v>0.54907051282051289</v>
      </c>
      <c r="T180" s="336">
        <f>IF((IF(('32 days'!$E49-'32 days'!$E$3)&lt;0, 0, ('32 days'!$E49-'32 days'!$E$3)))+(IF(('32 days'!$F49-'32 days'!$F$3)&lt;0, 0, ('32 days'!$F49-'32 days'!$F$3)))+('32 days'!$H49*'32 days'!$G49)+('32 days'!$I49)&lt;0, 0, (IF(('32 days'!$E49-'32 days'!$E$3)&lt;0, 0, ('32 days'!$E49-'32 days'!$E$3)))+(IF(('32 days'!$F49-'32 days'!$F$3)&lt;0, 0, ('32 days'!$F49-'32 days'!$F$3)))+('32 days'!$H49*'32 days'!$G49)+('32 days'!$I49))</f>
        <v>5.65</v>
      </c>
      <c r="U180" s="158">
        <f t="shared" si="122"/>
        <v>57.015000000000001</v>
      </c>
      <c r="V180" s="154">
        <f t="shared" si="46"/>
        <v>1.4619230769230769</v>
      </c>
      <c r="W180" s="155">
        <f t="shared" si="125"/>
        <v>1.7669172932330828</v>
      </c>
      <c r="X180" s="196">
        <f t="shared" si="54"/>
        <v>40</v>
      </c>
      <c r="Y180" s="213">
        <f t="shared" si="48"/>
        <v>39</v>
      </c>
      <c r="Z180" s="163">
        <f>'32 days'!J49</f>
        <v>1</v>
      </c>
      <c r="AA180" s="154">
        <f>'32 days'!K49</f>
        <v>0.85</v>
      </c>
      <c r="AB180" s="163">
        <f>'32 days'!L49</f>
        <v>0</v>
      </c>
      <c r="AC180" s="154">
        <f>'32 days'!M49</f>
        <v>0</v>
      </c>
      <c r="AD180" s="213">
        <f>'32 days'!N49</f>
        <v>0</v>
      </c>
      <c r="AE180" s="154">
        <f>'32 days'!O49</f>
        <v>0</v>
      </c>
      <c r="AF180" s="163">
        <f t="shared" si="49"/>
        <v>1</v>
      </c>
      <c r="AG180" s="160">
        <f t="shared" si="50"/>
        <v>0.85</v>
      </c>
      <c r="AI180" s="325" t="s">
        <v>117</v>
      </c>
      <c r="AJ180" s="162">
        <f t="shared" si="57"/>
        <v>45</v>
      </c>
      <c r="AK180" s="163" t="str">
        <f>INDEX(Map!$W$2:$W$67, MATCH('Raw data'!AJ180, Map!$V$2:$V$67,0))</f>
        <v>T3</v>
      </c>
      <c r="AL180" s="165" t="str">
        <f>INDEX(Map!$X$2:$X$67, MATCH('Raw data'!AJ180, Map!$V$2:$V$67,0))</f>
        <v>R10</v>
      </c>
      <c r="AM180" s="325">
        <f t="shared" si="128"/>
        <v>59</v>
      </c>
      <c r="AN180" s="160">
        <f t="shared" si="59"/>
        <v>1.5128205128205128</v>
      </c>
      <c r="AO180" s="148">
        <f t="shared" ref="AO180:AP180" si="151">R180+R114</f>
        <v>46.573750000000004</v>
      </c>
      <c r="AP180" s="150">
        <f t="shared" si="151"/>
        <v>1.1780705128205127</v>
      </c>
      <c r="AQ180" s="151">
        <f t="shared" ref="AQ180:AR180" si="152">U180+U114</f>
        <v>90.35</v>
      </c>
      <c r="AR180" s="149">
        <f t="shared" si="152"/>
        <v>2.2952980769230766</v>
      </c>
      <c r="AS180" s="150">
        <f t="shared" si="62"/>
        <v>1.9051635520177124</v>
      </c>
    </row>
    <row r="181" spans="11:45" x14ac:dyDescent="0.25">
      <c r="K181" s="164" t="s">
        <v>89</v>
      </c>
      <c r="L181" s="162">
        <f>'32 days'!$A50</f>
        <v>46</v>
      </c>
      <c r="M181" s="163">
        <f t="shared" si="47"/>
        <v>38</v>
      </c>
      <c r="N181" s="163" t="str">
        <f>INDEX(Map!$W$2:$W$67, MATCH('Raw data'!L181, Map!$V$2:$V$67,0))</f>
        <v>T1</v>
      </c>
      <c r="O181" s="165" t="str">
        <f>INDEX(Map!$X$2:$X$67, MATCH('Raw data'!L181, Map!$V$2:$V$67,0))</f>
        <v>R10</v>
      </c>
      <c r="P181" s="158">
        <f>('32 days'!$C50-'32 days'!$C$3)+('32 days'!$D50-'32 days'!$C$3)</f>
        <v>58.55</v>
      </c>
      <c r="Q181" s="154">
        <f t="shared" si="44"/>
        <v>1.5407894736842105</v>
      </c>
      <c r="R181" s="155">
        <f t="shared" si="45"/>
        <v>19.819230769230771</v>
      </c>
      <c r="S181" s="328">
        <f t="shared" si="119"/>
        <v>0.52155870445344132</v>
      </c>
      <c r="T181" s="336">
        <f>IF((IF(('32 days'!$E50-'32 days'!$E$3)&lt;0, 0, ('32 days'!$E50-'32 days'!$E$3)))+(IF(('32 days'!$F50-'32 days'!$F$3)&lt;0, 0, ('32 days'!$F50-'32 days'!$F$3)))+('32 days'!$H50*'32 days'!$G50)+('32 days'!$I50)&lt;0, 0, (IF(('32 days'!$E50-'32 days'!$E$3)&lt;0, 0, ('32 days'!$E50-'32 days'!$E$3)))+(IF(('32 days'!$F50-'32 days'!$F$3)&lt;0, 0, ('32 days'!$F50-'32 days'!$F$3)))+('32 days'!$H50*'32 days'!$G50)+('32 days'!$I50))</f>
        <v>6.4500000000000011</v>
      </c>
      <c r="U181" s="158">
        <f t="shared" si="122"/>
        <v>55.265000000000001</v>
      </c>
      <c r="V181" s="154">
        <f t="shared" si="46"/>
        <v>1.454342105263158</v>
      </c>
      <c r="W181" s="155">
        <f t="shared" si="125"/>
        <v>1.7896772024209819</v>
      </c>
      <c r="X181" s="196">
        <f t="shared" si="54"/>
        <v>39</v>
      </c>
      <c r="Y181" s="213">
        <f t="shared" si="48"/>
        <v>38</v>
      </c>
      <c r="Z181" s="163">
        <f>'32 days'!J50</f>
        <v>0</v>
      </c>
      <c r="AA181" s="154">
        <f>'32 days'!K50</f>
        <v>0</v>
      </c>
      <c r="AB181" s="163">
        <f>'32 days'!L50</f>
        <v>1</v>
      </c>
      <c r="AC181" s="154">
        <f>'32 days'!M50</f>
        <v>0.7</v>
      </c>
      <c r="AD181" s="213">
        <f>'32 days'!N50</f>
        <v>0</v>
      </c>
      <c r="AE181" s="154">
        <f>'32 days'!O50</f>
        <v>0</v>
      </c>
      <c r="AF181" s="163">
        <f t="shared" si="49"/>
        <v>1</v>
      </c>
      <c r="AG181" s="160">
        <f t="shared" si="50"/>
        <v>0.7</v>
      </c>
      <c r="AI181" s="325" t="s">
        <v>117</v>
      </c>
      <c r="AJ181" s="162">
        <f t="shared" si="57"/>
        <v>46</v>
      </c>
      <c r="AK181" s="163" t="str">
        <f>INDEX(Map!$W$2:$W$67, MATCH('Raw data'!AJ181, Map!$V$2:$V$67,0))</f>
        <v>T1</v>
      </c>
      <c r="AL181" s="165" t="str">
        <f>INDEX(Map!$X$2:$X$67, MATCH('Raw data'!AJ181, Map!$V$2:$V$67,0))</f>
        <v>R10</v>
      </c>
      <c r="AM181" s="325">
        <f t="shared" si="128"/>
        <v>58.55</v>
      </c>
      <c r="AN181" s="160">
        <f t="shared" si="59"/>
        <v>1.5407894736842105</v>
      </c>
      <c r="AO181" s="148">
        <f t="shared" ref="AO181:AP181" si="153">R181+R115</f>
        <v>45.229230769230767</v>
      </c>
      <c r="AP181" s="150">
        <f t="shared" si="153"/>
        <v>1.1730971659919027</v>
      </c>
      <c r="AQ181" s="151">
        <f t="shared" ref="AQ181:AR181" si="154">U181+U115</f>
        <v>89.55</v>
      </c>
      <c r="AR181" s="149">
        <f t="shared" si="154"/>
        <v>2.333444669365722</v>
      </c>
      <c r="AS181" s="150">
        <f t="shared" si="62"/>
        <v>1.9497387284785956</v>
      </c>
    </row>
    <row r="182" spans="11:45" x14ac:dyDescent="0.25">
      <c r="K182" s="164" t="s">
        <v>89</v>
      </c>
      <c r="L182" s="162">
        <f>'32 days'!$A51</f>
        <v>47</v>
      </c>
      <c r="M182" s="163">
        <f t="shared" si="47"/>
        <v>39</v>
      </c>
      <c r="N182" s="163" t="str">
        <f>INDEX(Map!$W$2:$W$67, MATCH('Raw data'!L182, Map!$V$2:$V$67,0))</f>
        <v>T6</v>
      </c>
      <c r="O182" s="165" t="str">
        <f>INDEX(Map!$X$2:$X$67, MATCH('Raw data'!L182, Map!$V$2:$V$67,0))</f>
        <v>R7</v>
      </c>
      <c r="P182" s="158">
        <f>('32 days'!$C51-'32 days'!$C$3)+('32 days'!$D51-'32 days'!$C$3)</f>
        <v>56.05</v>
      </c>
      <c r="Q182" s="154">
        <f t="shared" si="44"/>
        <v>1.4371794871794872</v>
      </c>
      <c r="R182" s="155">
        <f t="shared" si="45"/>
        <v>19.487500000000001</v>
      </c>
      <c r="S182" s="328">
        <f t="shared" si="119"/>
        <v>0.49967948717948718</v>
      </c>
      <c r="T182" s="336">
        <f>IF((IF(('32 days'!$E51-'32 days'!$E$3)&lt;0, 0, ('32 days'!$E51-'32 days'!$E$3)))+(IF(('32 days'!$F51-'32 days'!$F$3)&lt;0, 0, ('32 days'!$F51-'32 days'!$F$3)))+('32 days'!$H51*'32 days'!$G51)+('32 days'!$I51)&lt;0, 0, (IF(('32 days'!$E51-'32 days'!$E$3)&lt;0, 0, ('32 days'!$E51-'32 days'!$E$3)))+(IF(('32 days'!$F51-'32 days'!$F$3)&lt;0, 0, ('32 days'!$F51-'32 days'!$F$3)))+('32 days'!$H51*'32 days'!$G51)+('32 days'!$I51))</f>
        <v>9.75</v>
      </c>
      <c r="U182" s="158">
        <f t="shared" si="122"/>
        <v>54.265000000000001</v>
      </c>
      <c r="V182" s="154">
        <f t="shared" si="46"/>
        <v>1.3914102564102564</v>
      </c>
      <c r="W182" s="155">
        <f t="shared" si="125"/>
        <v>1.7835232252410167</v>
      </c>
      <c r="X182" s="196">
        <f t="shared" si="54"/>
        <v>40</v>
      </c>
      <c r="Y182" s="213">
        <f t="shared" si="48"/>
        <v>39</v>
      </c>
      <c r="Z182" s="163">
        <f>'32 days'!J51</f>
        <v>0</v>
      </c>
      <c r="AA182" s="154">
        <f>'32 days'!K51</f>
        <v>0</v>
      </c>
      <c r="AB182" s="163">
        <f>'32 days'!L51</f>
        <v>1</v>
      </c>
      <c r="AC182" s="154">
        <f>'32 days'!M51</f>
        <v>1</v>
      </c>
      <c r="AD182" s="213">
        <f>'32 days'!N51</f>
        <v>0</v>
      </c>
      <c r="AE182" s="154">
        <f>'32 days'!O51</f>
        <v>0</v>
      </c>
      <c r="AF182" s="163">
        <f t="shared" si="49"/>
        <v>1</v>
      </c>
      <c r="AG182" s="160">
        <f t="shared" si="50"/>
        <v>1</v>
      </c>
      <c r="AI182" s="325" t="s">
        <v>117</v>
      </c>
      <c r="AJ182" s="162">
        <f t="shared" si="57"/>
        <v>47</v>
      </c>
      <c r="AK182" s="163" t="str">
        <f>INDEX(Map!$W$2:$W$67, MATCH('Raw data'!AJ182, Map!$V$2:$V$67,0))</f>
        <v>T6</v>
      </c>
      <c r="AL182" s="165" t="str">
        <f>INDEX(Map!$X$2:$X$67, MATCH('Raw data'!AJ182, Map!$V$2:$V$67,0))</f>
        <v>R7</v>
      </c>
      <c r="AM182" s="325">
        <f t="shared" si="128"/>
        <v>56.05</v>
      </c>
      <c r="AN182" s="160">
        <f t="shared" si="59"/>
        <v>1.4371794871794872</v>
      </c>
      <c r="AO182" s="148">
        <f t="shared" ref="AO182:AP182" si="155">R182+R116</f>
        <v>43.497500000000002</v>
      </c>
      <c r="AP182" s="150">
        <f t="shared" si="155"/>
        <v>1.0999294871794871</v>
      </c>
      <c r="AQ182" s="151">
        <f t="shared" ref="AQ182:AR182" si="156">U182+U116</f>
        <v>86.25</v>
      </c>
      <c r="AR182" s="149">
        <f t="shared" si="156"/>
        <v>2.1910352564102564</v>
      </c>
      <c r="AS182" s="150">
        <f t="shared" si="62"/>
        <v>1.9383111410753413</v>
      </c>
    </row>
    <row r="183" spans="11:45" x14ac:dyDescent="0.25">
      <c r="K183" s="164" t="s">
        <v>89</v>
      </c>
      <c r="L183" s="162">
        <f>'32 days'!$A52</f>
        <v>48</v>
      </c>
      <c r="M183" s="163">
        <f t="shared" si="47"/>
        <v>38</v>
      </c>
      <c r="N183" s="163" t="str">
        <f>INDEX(Map!$W$2:$W$67, MATCH('Raw data'!L183, Map!$V$2:$V$67,0))</f>
        <v>T4</v>
      </c>
      <c r="O183" s="165" t="str">
        <f>INDEX(Map!$X$2:$X$67, MATCH('Raw data'!L183, Map!$V$2:$V$67,0))</f>
        <v>R7</v>
      </c>
      <c r="P183" s="158">
        <f>('32 days'!$C52-'32 days'!$C$3)+('32 days'!$D52-'32 days'!$C$3)</f>
        <v>53.949999999999996</v>
      </c>
      <c r="Q183" s="154">
        <f t="shared" si="44"/>
        <v>1.419736842105263</v>
      </c>
      <c r="R183" s="155">
        <f t="shared" si="45"/>
        <v>17.399999999999995</v>
      </c>
      <c r="S183" s="328">
        <f t="shared" si="119"/>
        <v>0.45789473684210513</v>
      </c>
      <c r="T183" s="336">
        <f>IF((IF(('32 days'!$E52-'32 days'!$E$3)&lt;0, 0, ('32 days'!$E52-'32 days'!$E$3)))+(IF(('32 days'!$F52-'32 days'!$F$3)&lt;0, 0, ('32 days'!$F52-'32 days'!$F$3)))+('32 days'!$H52*'32 days'!$G52)+('32 days'!$I52)&lt;0, 0, (IF(('32 days'!$E52-'32 days'!$E$3)&lt;0, 0, ('32 days'!$E52-'32 days'!$E$3)))+(IF(('32 days'!$F52-'32 days'!$F$3)&lt;0, 0, ('32 days'!$F52-'32 days'!$F$3)))+('32 days'!$H52*'32 days'!$G52)+('32 days'!$I52))</f>
        <v>11.15</v>
      </c>
      <c r="U183" s="158">
        <f t="shared" si="122"/>
        <v>52.914999999999999</v>
      </c>
      <c r="V183" s="154">
        <f t="shared" si="46"/>
        <v>1.3925000000000001</v>
      </c>
      <c r="W183" s="155">
        <f t="shared" si="125"/>
        <v>1.8486238532110093</v>
      </c>
      <c r="X183" s="196">
        <f t="shared" si="54"/>
        <v>38</v>
      </c>
      <c r="Y183" s="213">
        <f t="shared" si="48"/>
        <v>38</v>
      </c>
      <c r="Z183" s="163">
        <f>'32 days'!J52</f>
        <v>0</v>
      </c>
      <c r="AA183" s="154">
        <f>'32 days'!K52</f>
        <v>0</v>
      </c>
      <c r="AB183" s="163">
        <f>'32 days'!L52</f>
        <v>0</v>
      </c>
      <c r="AC183" s="154">
        <f>'32 days'!M52</f>
        <v>0</v>
      </c>
      <c r="AD183" s="213">
        <f>'32 days'!N52</f>
        <v>0</v>
      </c>
      <c r="AE183" s="154">
        <f>'32 days'!O52</f>
        <v>0</v>
      </c>
      <c r="AF183" s="163">
        <f t="shared" si="49"/>
        <v>0</v>
      </c>
      <c r="AG183" s="160">
        <f t="shared" si="50"/>
        <v>0</v>
      </c>
      <c r="AI183" s="325" t="s">
        <v>117</v>
      </c>
      <c r="AJ183" s="162">
        <f t="shared" si="57"/>
        <v>48</v>
      </c>
      <c r="AK183" s="163" t="str">
        <f>INDEX(Map!$W$2:$W$67, MATCH('Raw data'!AJ183, Map!$V$2:$V$67,0))</f>
        <v>T4</v>
      </c>
      <c r="AL183" s="165" t="str">
        <f>INDEX(Map!$X$2:$X$67, MATCH('Raw data'!AJ183, Map!$V$2:$V$67,0))</f>
        <v>R7</v>
      </c>
      <c r="AM183" s="325">
        <f t="shared" si="128"/>
        <v>53.949999999999996</v>
      </c>
      <c r="AN183" s="160">
        <f t="shared" si="59"/>
        <v>1.419736842105263</v>
      </c>
      <c r="AO183" s="148">
        <f t="shared" ref="AO183:AP183" si="157">R183+R117</f>
        <v>40.86</v>
      </c>
      <c r="AP183" s="150">
        <f t="shared" si="157"/>
        <v>1.0752631578947367</v>
      </c>
      <c r="AQ183" s="151">
        <f t="shared" ref="AQ183:AR183" si="158">U183+U117</f>
        <v>84.85</v>
      </c>
      <c r="AR183" s="149">
        <f t="shared" si="158"/>
        <v>2.2328947368421055</v>
      </c>
      <c r="AS183" s="150">
        <f t="shared" si="62"/>
        <v>2.0766030347528144</v>
      </c>
    </row>
    <row r="184" spans="11:45" x14ac:dyDescent="0.25">
      <c r="K184" s="164" t="s">
        <v>89</v>
      </c>
      <c r="L184" s="162">
        <f>'32 days'!$A53</f>
        <v>49</v>
      </c>
      <c r="M184" s="163">
        <f t="shared" si="47"/>
        <v>38</v>
      </c>
      <c r="N184" s="163" t="str">
        <f>INDEX(Map!$W$2:$W$67, MATCH('Raw data'!L184, Map!$V$2:$V$67,0))</f>
        <v>T5</v>
      </c>
      <c r="O184" s="165" t="str">
        <f>INDEX(Map!$X$2:$X$67, MATCH('Raw data'!L184, Map!$V$2:$V$67,0))</f>
        <v>R7</v>
      </c>
      <c r="P184" s="158">
        <f>('32 days'!$C53-'32 days'!$C$3)+('32 days'!$D53-'32 days'!$C$3)</f>
        <v>54.499999999999993</v>
      </c>
      <c r="Q184" s="154">
        <f t="shared" si="44"/>
        <v>1.4342105263157894</v>
      </c>
      <c r="R184" s="155">
        <f t="shared" si="45"/>
        <v>17.766666666666659</v>
      </c>
      <c r="S184" s="328">
        <f t="shared" si="119"/>
        <v>0.4675438596491226</v>
      </c>
      <c r="T184" s="336">
        <f>IF((IF(('32 days'!$E53-'32 days'!$E$3)&lt;0, 0, ('32 days'!$E53-'32 days'!$E$3)))+(IF(('32 days'!$F53-'32 days'!$F$3)&lt;0, 0, ('32 days'!$F53-'32 days'!$F$3)))+('32 days'!$H53*'32 days'!$G53)+('32 days'!$I53)&lt;0, 0, (IF(('32 days'!$E53-'32 days'!$E$3)&lt;0, 0, ('32 days'!$E53-'32 days'!$E$3)))+(IF(('32 days'!$F53-'32 days'!$F$3)&lt;0, 0, ('32 days'!$F53-'32 days'!$F$3)))+('32 days'!$H53*'32 days'!$G53)+('32 days'!$I53))</f>
        <v>9.4500000000000011</v>
      </c>
      <c r="U184" s="158">
        <f t="shared" si="122"/>
        <v>53.714999999999996</v>
      </c>
      <c r="V184" s="154">
        <f t="shared" si="46"/>
        <v>1.4135526315789473</v>
      </c>
      <c r="W184" s="155">
        <f t="shared" si="125"/>
        <v>1.8420957997698504</v>
      </c>
      <c r="X184" s="196">
        <f t="shared" si="54"/>
        <v>39</v>
      </c>
      <c r="Y184" s="213">
        <f t="shared" si="48"/>
        <v>38</v>
      </c>
      <c r="Z184" s="163">
        <f>'32 days'!J53</f>
        <v>0</v>
      </c>
      <c r="AA184" s="154">
        <f>'32 days'!K53</f>
        <v>0</v>
      </c>
      <c r="AB184" s="163">
        <f>'32 days'!L53</f>
        <v>1</v>
      </c>
      <c r="AC184" s="154">
        <f>'32 days'!M53</f>
        <v>1.05</v>
      </c>
      <c r="AD184" s="213">
        <f>'32 days'!N53</f>
        <v>0</v>
      </c>
      <c r="AE184" s="154">
        <f>'32 days'!O53</f>
        <v>0</v>
      </c>
      <c r="AF184" s="163">
        <f t="shared" si="49"/>
        <v>1</v>
      </c>
      <c r="AG184" s="160">
        <f t="shared" si="50"/>
        <v>1.05</v>
      </c>
      <c r="AI184" s="325" t="s">
        <v>117</v>
      </c>
      <c r="AJ184" s="162">
        <f t="shared" si="57"/>
        <v>49</v>
      </c>
      <c r="AK184" s="163" t="str">
        <f>INDEX(Map!$W$2:$W$67, MATCH('Raw data'!AJ184, Map!$V$2:$V$67,0))</f>
        <v>T5</v>
      </c>
      <c r="AL184" s="165" t="str">
        <f>INDEX(Map!$X$2:$X$67, MATCH('Raw data'!AJ184, Map!$V$2:$V$67,0))</f>
        <v>R7</v>
      </c>
      <c r="AM184" s="325">
        <f t="shared" si="128"/>
        <v>54.499999999999993</v>
      </c>
      <c r="AN184" s="160">
        <f t="shared" si="59"/>
        <v>1.4342105263157894</v>
      </c>
      <c r="AO184" s="148">
        <f t="shared" ref="AO184:AP184" si="159">R184+R118</f>
        <v>41.826666666666668</v>
      </c>
      <c r="AP184" s="150">
        <f t="shared" si="159"/>
        <v>1.0844669365721997</v>
      </c>
      <c r="AQ184" s="151">
        <f t="shared" ref="AQ184:AR184" si="160">U184+U118</f>
        <v>86.55</v>
      </c>
      <c r="AR184" s="149">
        <f t="shared" si="160"/>
        <v>2.2554757085020243</v>
      </c>
      <c r="AS184" s="150">
        <f t="shared" si="62"/>
        <v>2.0185804244732957</v>
      </c>
    </row>
    <row r="185" spans="11:45" x14ac:dyDescent="0.25">
      <c r="K185" s="164" t="s">
        <v>89</v>
      </c>
      <c r="L185" s="162">
        <f>'32 days'!$A54</f>
        <v>50</v>
      </c>
      <c r="M185" s="163">
        <f t="shared" si="47"/>
        <v>37</v>
      </c>
      <c r="N185" s="163" t="str">
        <f>INDEX(Map!$W$2:$W$67, MATCH('Raw data'!L185, Map!$V$2:$V$67,0))</f>
        <v>T1</v>
      </c>
      <c r="O185" s="165" t="str">
        <f>INDEX(Map!$X$2:$X$67, MATCH('Raw data'!L185, Map!$V$2:$V$67,0))</f>
        <v>R7</v>
      </c>
      <c r="P185" s="158">
        <f>('32 days'!$C54-'32 days'!$C$3)+('32 days'!$D54-'32 days'!$C$3)</f>
        <v>56.499999999999993</v>
      </c>
      <c r="Q185" s="154">
        <f t="shared" si="44"/>
        <v>1.5270270270270268</v>
      </c>
      <c r="R185" s="155">
        <f t="shared" si="45"/>
        <v>19.98684210526315</v>
      </c>
      <c r="S185" s="328">
        <f t="shared" si="119"/>
        <v>0.5401849217638689</v>
      </c>
      <c r="T185" s="336">
        <f>IF((IF(('32 days'!$E54-'32 days'!$E$3)&lt;0, 0, ('32 days'!$E54-'32 days'!$E$3)))+(IF(('32 days'!$F54-'32 days'!$F$3)&lt;0, 0, ('32 days'!$F54-'32 days'!$F$3)))+('32 days'!$H54*'32 days'!$G54)+('32 days'!$I54)&lt;0, 0, (IF(('32 days'!$E54-'32 days'!$E$3)&lt;0, 0, ('32 days'!$E54-'32 days'!$E$3)))+(IF(('32 days'!$F54-'32 days'!$F$3)&lt;0, 0, ('32 days'!$F54-'32 days'!$F$3)))+('32 days'!$H54*'32 days'!$G54)+('32 days'!$I54))</f>
        <v>9.9500000000000011</v>
      </c>
      <c r="U185" s="158">
        <f t="shared" si="122"/>
        <v>54.214999999999989</v>
      </c>
      <c r="V185" s="154">
        <f t="shared" si="46"/>
        <v>1.46527027027027</v>
      </c>
      <c r="W185" s="155">
        <f t="shared" si="125"/>
        <v>1.7676593395217226</v>
      </c>
      <c r="X185" s="196">
        <f t="shared" si="54"/>
        <v>38</v>
      </c>
      <c r="Y185" s="213">
        <f t="shared" si="48"/>
        <v>37</v>
      </c>
      <c r="Z185" s="163">
        <f>'32 days'!J54</f>
        <v>0</v>
      </c>
      <c r="AA185" s="154">
        <f>'32 days'!K54</f>
        <v>0</v>
      </c>
      <c r="AB185" s="163">
        <f>'32 days'!L54</f>
        <v>1</v>
      </c>
      <c r="AC185" s="154">
        <f>'32 days'!M54</f>
        <v>1</v>
      </c>
      <c r="AD185" s="213">
        <f>'32 days'!N54</f>
        <v>0</v>
      </c>
      <c r="AE185" s="154">
        <f>'32 days'!O54</f>
        <v>0</v>
      </c>
      <c r="AF185" s="163">
        <f t="shared" si="49"/>
        <v>1</v>
      </c>
      <c r="AG185" s="160">
        <f t="shared" si="50"/>
        <v>1</v>
      </c>
      <c r="AI185" s="325" t="s">
        <v>117</v>
      </c>
      <c r="AJ185" s="162">
        <f t="shared" si="57"/>
        <v>50</v>
      </c>
      <c r="AK185" s="163" t="str">
        <f>INDEX(Map!$W$2:$W$67, MATCH('Raw data'!AJ185, Map!$V$2:$V$67,0))</f>
        <v>T1</v>
      </c>
      <c r="AL185" s="165" t="str">
        <f>INDEX(Map!$X$2:$X$67, MATCH('Raw data'!AJ185, Map!$V$2:$V$67,0))</f>
        <v>R7</v>
      </c>
      <c r="AM185" s="325">
        <f t="shared" si="128"/>
        <v>56.499999999999993</v>
      </c>
      <c r="AN185" s="160">
        <f t="shared" si="59"/>
        <v>1.5270270270270268</v>
      </c>
      <c r="AO185" s="148">
        <f t="shared" ref="AO185:AP185" si="161">R185+R119</f>
        <v>43.396842105263147</v>
      </c>
      <c r="AP185" s="150">
        <f t="shared" si="161"/>
        <v>1.1562375533428164</v>
      </c>
      <c r="AQ185" s="151">
        <f t="shared" ref="AQ185:AR185" si="162">U185+U119</f>
        <v>86.05</v>
      </c>
      <c r="AR185" s="149">
        <f t="shared" si="162"/>
        <v>2.3030334281650071</v>
      </c>
      <c r="AS185" s="150">
        <f t="shared" si="62"/>
        <v>1.9382009151907442</v>
      </c>
    </row>
    <row r="186" spans="11:45" x14ac:dyDescent="0.25">
      <c r="K186" s="164" t="s">
        <v>89</v>
      </c>
      <c r="L186" s="162">
        <f>'32 days'!$A55</f>
        <v>51</v>
      </c>
      <c r="M186" s="163">
        <f t="shared" si="47"/>
        <v>40</v>
      </c>
      <c r="N186" s="163" t="str">
        <f>INDEX(Map!$W$2:$W$67, MATCH('Raw data'!L186, Map!$V$2:$V$67,0))</f>
        <v>T3</v>
      </c>
      <c r="O186" s="165" t="str">
        <f>INDEX(Map!$X$2:$X$67, MATCH('Raw data'!L186, Map!$V$2:$V$67,0))</f>
        <v>R7</v>
      </c>
      <c r="P186" s="158">
        <f>('32 days'!$C55-'32 days'!$C$3)+('32 days'!$D55-'32 days'!$C$3)</f>
        <v>57.849999999999994</v>
      </c>
      <c r="Q186" s="154">
        <f t="shared" si="44"/>
        <v>1.4462499999999998</v>
      </c>
      <c r="R186" s="155">
        <f t="shared" si="45"/>
        <v>20.349999999999994</v>
      </c>
      <c r="S186" s="328">
        <f t="shared" si="119"/>
        <v>0.50874999999999981</v>
      </c>
      <c r="T186" s="336">
        <f>IF((IF(('32 days'!$E55-'32 days'!$E$3)&lt;0, 0, ('32 days'!$E55-'32 days'!$E$3)))+(IF(('32 days'!$F55-'32 days'!$F$3)&lt;0, 0, ('32 days'!$F55-'32 days'!$F$3)))+('32 days'!$H55*'32 days'!$G55)+('32 days'!$I55)&lt;0, 0, (IF(('32 days'!$E55-'32 days'!$E$3)&lt;0, 0, ('32 days'!$E55-'32 days'!$E$3)))+(IF(('32 days'!$F55-'32 days'!$F$3)&lt;0, 0, ('32 days'!$F55-'32 days'!$F$3)))+('32 days'!$H55*'32 days'!$G55)+('32 days'!$I55))</f>
        <v>8.1999999999999993</v>
      </c>
      <c r="U186" s="158">
        <f t="shared" si="122"/>
        <v>55.465000000000003</v>
      </c>
      <c r="V186" s="154">
        <f t="shared" si="46"/>
        <v>1.386625</v>
      </c>
      <c r="W186" s="155">
        <f t="shared" si="125"/>
        <v>1.7986171132238551</v>
      </c>
      <c r="X186" s="196">
        <f t="shared" si="54"/>
        <v>40</v>
      </c>
      <c r="Y186" s="213">
        <f t="shared" si="48"/>
        <v>40</v>
      </c>
      <c r="Z186" s="163">
        <f>'32 days'!J55</f>
        <v>0</v>
      </c>
      <c r="AA186" s="154">
        <f>'32 days'!K55</f>
        <v>0</v>
      </c>
      <c r="AB186" s="163">
        <f>'32 days'!L55</f>
        <v>0</v>
      </c>
      <c r="AC186" s="154">
        <f>'32 days'!M55</f>
        <v>0</v>
      </c>
      <c r="AD186" s="213">
        <f>'32 days'!N55</f>
        <v>0</v>
      </c>
      <c r="AE186" s="154">
        <f>'32 days'!O55</f>
        <v>0</v>
      </c>
      <c r="AF186" s="163">
        <f t="shared" si="49"/>
        <v>0</v>
      </c>
      <c r="AG186" s="160">
        <f t="shared" si="50"/>
        <v>0</v>
      </c>
      <c r="AI186" s="325" t="s">
        <v>117</v>
      </c>
      <c r="AJ186" s="162">
        <f t="shared" si="57"/>
        <v>51</v>
      </c>
      <c r="AK186" s="163" t="str">
        <f>INDEX(Map!$W$2:$W$67, MATCH('Raw data'!AJ186, Map!$V$2:$V$67,0))</f>
        <v>T3</v>
      </c>
      <c r="AL186" s="165" t="str">
        <f>INDEX(Map!$X$2:$X$67, MATCH('Raw data'!AJ186, Map!$V$2:$V$67,0))</f>
        <v>R7</v>
      </c>
      <c r="AM186" s="325">
        <f t="shared" si="128"/>
        <v>57.849999999999994</v>
      </c>
      <c r="AN186" s="160">
        <f t="shared" si="59"/>
        <v>1.4462499999999998</v>
      </c>
      <c r="AO186" s="148">
        <f t="shared" ref="AO186:AP186" si="163">R186+R120</f>
        <v>43.41</v>
      </c>
      <c r="AP186" s="150">
        <f t="shared" si="163"/>
        <v>1.0852499999999998</v>
      </c>
      <c r="AQ186" s="151">
        <f t="shared" ref="AQ186:AR186" si="164">U186+U120</f>
        <v>87.800000000000011</v>
      </c>
      <c r="AR186" s="149">
        <f t="shared" si="164"/>
        <v>2.1950000000000003</v>
      </c>
      <c r="AS186" s="150">
        <f t="shared" si="62"/>
        <v>2.0225754434462111</v>
      </c>
    </row>
    <row r="187" spans="11:45" x14ac:dyDescent="0.25">
      <c r="K187" s="164" t="s">
        <v>89</v>
      </c>
      <c r="L187" s="162">
        <f>'32 days'!$A56</f>
        <v>52</v>
      </c>
      <c r="M187" s="163">
        <f t="shared" si="47"/>
        <v>38</v>
      </c>
      <c r="N187" s="163" t="str">
        <f>INDEX(Map!$W$2:$W$67, MATCH('Raw data'!L187, Map!$V$2:$V$67,0))</f>
        <v>T2</v>
      </c>
      <c r="O187" s="165" t="str">
        <f>INDEX(Map!$X$2:$X$67, MATCH('Raw data'!L187, Map!$V$2:$V$67,0))</f>
        <v>R7</v>
      </c>
      <c r="P187" s="158">
        <f>('32 days'!$C56-'32 days'!$C$3)+('32 days'!$D56-'32 days'!$C$3)</f>
        <v>58.949999999999996</v>
      </c>
      <c r="Q187" s="154">
        <f t="shared" si="44"/>
        <v>1.5513157894736842</v>
      </c>
      <c r="R187" s="155">
        <f t="shared" si="45"/>
        <v>21.680769230769233</v>
      </c>
      <c r="S187" s="328">
        <f t="shared" si="119"/>
        <v>0.57054655870445348</v>
      </c>
      <c r="T187" s="336">
        <f>IF((IF(('32 days'!$E56-'32 days'!$E$3)&lt;0, 0, ('32 days'!$E56-'32 days'!$E$3)))+(IF(('32 days'!$F56-'32 days'!$F$3)&lt;0, 0, ('32 days'!$F56-'32 days'!$F$3)))+('32 days'!$H56*'32 days'!$G56)+('32 days'!$I56)&lt;0, 0, (IF(('32 days'!$E56-'32 days'!$E$3)&lt;0, 0, ('32 days'!$E56-'32 days'!$E$3)))+(IF(('32 days'!$F56-'32 days'!$F$3)&lt;0, 0, ('32 days'!$F56-'32 days'!$F$3)))+('32 days'!$H56*'32 days'!$G56)+('32 days'!$I56))</f>
        <v>8.5499999999999989</v>
      </c>
      <c r="U187" s="158">
        <f t="shared" si="122"/>
        <v>54.315000000000005</v>
      </c>
      <c r="V187" s="154">
        <f t="shared" si="46"/>
        <v>1.4293421052631581</v>
      </c>
      <c r="W187" s="155">
        <f t="shared" si="125"/>
        <v>1.7342192691029903</v>
      </c>
      <c r="X187" s="196">
        <f t="shared" si="54"/>
        <v>39</v>
      </c>
      <c r="Y187" s="213">
        <f t="shared" si="48"/>
        <v>38</v>
      </c>
      <c r="Z187" s="163">
        <f>'32 days'!J56</f>
        <v>0</v>
      </c>
      <c r="AA187" s="154">
        <f>'32 days'!K56</f>
        <v>0</v>
      </c>
      <c r="AB187" s="163">
        <f>'32 days'!L56</f>
        <v>1</v>
      </c>
      <c r="AC187" s="154">
        <f>'32 days'!M56</f>
        <v>1</v>
      </c>
      <c r="AD187" s="213">
        <f>'32 days'!N56</f>
        <v>0</v>
      </c>
      <c r="AE187" s="154">
        <f>'32 days'!O56</f>
        <v>0</v>
      </c>
      <c r="AF187" s="163">
        <f t="shared" si="49"/>
        <v>1</v>
      </c>
      <c r="AG187" s="160">
        <f t="shared" si="50"/>
        <v>1</v>
      </c>
      <c r="AI187" s="325" t="s">
        <v>117</v>
      </c>
      <c r="AJ187" s="162">
        <f t="shared" si="57"/>
        <v>52</v>
      </c>
      <c r="AK187" s="163" t="str">
        <f>INDEX(Map!$W$2:$W$67, MATCH('Raw data'!AJ187, Map!$V$2:$V$67,0))</f>
        <v>T2</v>
      </c>
      <c r="AL187" s="165" t="str">
        <f>INDEX(Map!$X$2:$X$67, MATCH('Raw data'!AJ187, Map!$V$2:$V$67,0))</f>
        <v>R7</v>
      </c>
      <c r="AM187" s="325">
        <f t="shared" si="128"/>
        <v>58.949999999999996</v>
      </c>
      <c r="AN187" s="160">
        <f t="shared" si="59"/>
        <v>1.5513157894736842</v>
      </c>
      <c r="AO187" s="148">
        <f t="shared" ref="AO187:AP187" si="165">R187+R121</f>
        <v>45.040769230769236</v>
      </c>
      <c r="AP187" s="150">
        <f t="shared" si="165"/>
        <v>1.1695209176788124</v>
      </c>
      <c r="AQ187" s="151">
        <f t="shared" ref="AQ187:AR187" si="166">U187+U121</f>
        <v>87.45</v>
      </c>
      <c r="AR187" s="149">
        <f t="shared" si="166"/>
        <v>2.2789574898785427</v>
      </c>
      <c r="AS187" s="150">
        <f t="shared" si="62"/>
        <v>1.8994035386697408</v>
      </c>
    </row>
    <row r="188" spans="11:45" x14ac:dyDescent="0.25">
      <c r="K188" s="164" t="s">
        <v>89</v>
      </c>
      <c r="L188" s="162">
        <f>'32 days'!$A57</f>
        <v>53</v>
      </c>
      <c r="M188" s="163">
        <f t="shared" si="47"/>
        <v>39</v>
      </c>
      <c r="N188" s="163" t="str">
        <f>INDEX(Map!$W$2:$W$67, MATCH('Raw data'!L188, Map!$V$2:$V$67,0))</f>
        <v>T5</v>
      </c>
      <c r="O188" s="165" t="str">
        <f>INDEX(Map!$X$2:$X$67, MATCH('Raw data'!L188, Map!$V$2:$V$67,0))</f>
        <v>R8</v>
      </c>
      <c r="P188" s="158">
        <f>('32 days'!$C57-'32 days'!$C$3)+('32 days'!$D57-'32 days'!$C$3)</f>
        <v>56.5</v>
      </c>
      <c r="Q188" s="154">
        <f t="shared" si="44"/>
        <v>1.4487179487179487</v>
      </c>
      <c r="R188" s="155">
        <f t="shared" si="45"/>
        <v>18.999999999999996</v>
      </c>
      <c r="S188" s="328">
        <f t="shared" si="119"/>
        <v>0.48717948717948711</v>
      </c>
      <c r="T188" s="336">
        <f>IF((IF(('32 days'!$E57-'32 days'!$E$3)&lt;0, 0, ('32 days'!$E57-'32 days'!$E$3)))+(IF(('32 days'!$F57-'32 days'!$F$3)&lt;0, 0, ('32 days'!$F57-'32 days'!$F$3)))+('32 days'!$H57*'32 days'!$G57)+('32 days'!$I57)&lt;0, 0, (IF(('32 days'!$E57-'32 days'!$E$3)&lt;0, 0, ('32 days'!$E57-'32 days'!$E$3)))+(IF(('32 days'!$F57-'32 days'!$F$3)&lt;0, 0, ('32 days'!$F57-'32 days'!$F$3)))+('32 days'!$H57*'32 days'!$G57)+('32 days'!$I57))</f>
        <v>9.3500000000000014</v>
      </c>
      <c r="U188" s="158">
        <f t="shared" si="122"/>
        <v>54.314999999999998</v>
      </c>
      <c r="V188" s="154">
        <f t="shared" si="46"/>
        <v>1.3926923076923077</v>
      </c>
      <c r="W188" s="155">
        <f t="shared" si="125"/>
        <v>1.8026431718061675</v>
      </c>
      <c r="X188" s="196">
        <f t="shared" si="54"/>
        <v>39</v>
      </c>
      <c r="Y188" s="213">
        <f t="shared" si="48"/>
        <v>39</v>
      </c>
      <c r="Z188" s="163">
        <f>'32 days'!J57</f>
        <v>0</v>
      </c>
      <c r="AA188" s="154">
        <f>'32 days'!K57</f>
        <v>0</v>
      </c>
      <c r="AB188" s="163">
        <f>'32 days'!L57</f>
        <v>0</v>
      </c>
      <c r="AC188" s="154">
        <f>'32 days'!M57</f>
        <v>0</v>
      </c>
      <c r="AD188" s="213">
        <f>'32 days'!N57</f>
        <v>0</v>
      </c>
      <c r="AE188" s="154">
        <f>'32 days'!O57</f>
        <v>0</v>
      </c>
      <c r="AF188" s="163">
        <f t="shared" si="49"/>
        <v>0</v>
      </c>
      <c r="AG188" s="160">
        <f t="shared" si="50"/>
        <v>0</v>
      </c>
      <c r="AI188" s="325" t="s">
        <v>117</v>
      </c>
      <c r="AJ188" s="162">
        <f t="shared" si="57"/>
        <v>53</v>
      </c>
      <c r="AK188" s="163" t="str">
        <f>INDEX(Map!$W$2:$W$67, MATCH('Raw data'!AJ188, Map!$V$2:$V$67,0))</f>
        <v>T5</v>
      </c>
      <c r="AL188" s="165" t="str">
        <f>INDEX(Map!$X$2:$X$67, MATCH('Raw data'!AJ188, Map!$V$2:$V$67,0))</f>
        <v>R8</v>
      </c>
      <c r="AM188" s="325">
        <f t="shared" si="128"/>
        <v>56.5</v>
      </c>
      <c r="AN188" s="160">
        <f t="shared" si="59"/>
        <v>1.4487179487179487</v>
      </c>
      <c r="AO188" s="148">
        <f t="shared" ref="AO188:AP188" si="167">R188+R122</f>
        <v>42.959999999999994</v>
      </c>
      <c r="AP188" s="150">
        <f t="shared" si="167"/>
        <v>1.1015384615384614</v>
      </c>
      <c r="AQ188" s="151">
        <f t="shared" ref="AQ188:AR188" si="168">U188+U122</f>
        <v>86.65</v>
      </c>
      <c r="AR188" s="149">
        <f t="shared" si="168"/>
        <v>2.2217948717948719</v>
      </c>
      <c r="AS188" s="150">
        <f t="shared" si="62"/>
        <v>2.0169925512104285</v>
      </c>
    </row>
    <row r="189" spans="11:45" x14ac:dyDescent="0.25">
      <c r="K189" s="164" t="s">
        <v>89</v>
      </c>
      <c r="L189" s="162">
        <f>'32 days'!$A58</f>
        <v>54</v>
      </c>
      <c r="M189" s="163">
        <f t="shared" si="47"/>
        <v>36</v>
      </c>
      <c r="N189" s="163" t="str">
        <f>INDEX(Map!$W$2:$W$67, MATCH('Raw data'!L189, Map!$V$2:$V$67,0))</f>
        <v>T4</v>
      </c>
      <c r="O189" s="165" t="str">
        <f>INDEX(Map!$X$2:$X$67, MATCH('Raw data'!L189, Map!$V$2:$V$67,0))</f>
        <v>R8</v>
      </c>
      <c r="P189" s="158">
        <f>('32 days'!$C58-'32 days'!$C$3)+('32 days'!$D58-'32 days'!$C$3)</f>
        <v>53.75</v>
      </c>
      <c r="Q189" s="154">
        <f t="shared" si="44"/>
        <v>1.4930555555555556</v>
      </c>
      <c r="R189" s="155">
        <f t="shared" si="45"/>
        <v>18.139189189189196</v>
      </c>
      <c r="S189" s="328">
        <f t="shared" si="119"/>
        <v>0.5038663663663665</v>
      </c>
      <c r="T189" s="336">
        <f>IF((IF(('32 days'!$E58-'32 days'!$E$3)&lt;0, 0, ('32 days'!$E58-'32 days'!$E$3)))+(IF(('32 days'!$F58-'32 days'!$F$3)&lt;0, 0, ('32 days'!$F58-'32 days'!$F$3)))+('32 days'!$H58*'32 days'!$G58)+('32 days'!$I58)&lt;0, 0, (IF(('32 days'!$E58-'32 days'!$E$3)&lt;0, 0, ('32 days'!$E58-'32 days'!$E$3)))+(IF(('32 days'!$F58-'32 days'!$F$3)&lt;0, 0, ('32 days'!$F58-'32 days'!$F$3)))+('32 days'!$H58*'32 days'!$G58)+('32 days'!$I58))</f>
        <v>13.600000000000001</v>
      </c>
      <c r="U189" s="158">
        <f t="shared" si="122"/>
        <v>51.214999999999996</v>
      </c>
      <c r="V189" s="154">
        <f t="shared" si="46"/>
        <v>1.4226388888888888</v>
      </c>
      <c r="W189" s="155">
        <f t="shared" si="125"/>
        <v>1.7695769576957696</v>
      </c>
      <c r="X189" s="196">
        <f t="shared" si="54"/>
        <v>37</v>
      </c>
      <c r="Y189" s="213">
        <f t="shared" si="48"/>
        <v>36</v>
      </c>
      <c r="Z189" s="163">
        <f>'32 days'!J58</f>
        <v>0</v>
      </c>
      <c r="AA189" s="154">
        <f>'32 days'!K58</f>
        <v>0</v>
      </c>
      <c r="AB189" s="163">
        <f>'32 days'!L58</f>
        <v>1</v>
      </c>
      <c r="AC189" s="154">
        <f>'32 days'!M58</f>
        <v>0.95</v>
      </c>
      <c r="AD189" s="213">
        <f>'32 days'!N58</f>
        <v>0</v>
      </c>
      <c r="AE189" s="154">
        <f>'32 days'!O58</f>
        <v>0</v>
      </c>
      <c r="AF189" s="163">
        <f t="shared" si="49"/>
        <v>1</v>
      </c>
      <c r="AG189" s="160">
        <f t="shared" si="50"/>
        <v>0.95</v>
      </c>
      <c r="AI189" s="325" t="s">
        <v>117</v>
      </c>
      <c r="AJ189" s="162">
        <f t="shared" si="57"/>
        <v>54</v>
      </c>
      <c r="AK189" s="163" t="str">
        <f>INDEX(Map!$W$2:$W$67, MATCH('Raw data'!AJ189, Map!$V$2:$V$67,0))</f>
        <v>T4</v>
      </c>
      <c r="AL189" s="165" t="str">
        <f>INDEX(Map!$X$2:$X$67, MATCH('Raw data'!AJ189, Map!$V$2:$V$67,0))</f>
        <v>R8</v>
      </c>
      <c r="AM189" s="325">
        <f t="shared" si="128"/>
        <v>53.75</v>
      </c>
      <c r="AN189" s="160">
        <f t="shared" si="59"/>
        <v>1.4930555555555556</v>
      </c>
      <c r="AO189" s="148">
        <f t="shared" ref="AO189:AP189" si="169">R189+R123</f>
        <v>41.214715504978663</v>
      </c>
      <c r="AP189" s="150">
        <f t="shared" si="169"/>
        <v>1.1275292397660819</v>
      </c>
      <c r="AQ189" s="151">
        <f t="shared" ref="AQ189:AR189" si="170">U189+U123</f>
        <v>82.4</v>
      </c>
      <c r="AR189" s="149">
        <f t="shared" si="170"/>
        <v>2.2654767267267268</v>
      </c>
      <c r="AS189" s="150">
        <f t="shared" si="62"/>
        <v>1.9336043670260623</v>
      </c>
    </row>
    <row r="190" spans="11:45" x14ac:dyDescent="0.25">
      <c r="K190" s="164" t="s">
        <v>89</v>
      </c>
      <c r="L190" s="162">
        <f>'32 days'!$A59</f>
        <v>55</v>
      </c>
      <c r="M190" s="163">
        <f t="shared" si="47"/>
        <v>38</v>
      </c>
      <c r="N190" s="163" t="str">
        <f>INDEX(Map!$W$2:$W$67, MATCH('Raw data'!L190, Map!$V$2:$V$67,0))</f>
        <v>T6</v>
      </c>
      <c r="O190" s="165" t="str">
        <f>INDEX(Map!$X$2:$X$67, MATCH('Raw data'!L190, Map!$V$2:$V$67,0))</f>
        <v>R8</v>
      </c>
      <c r="P190" s="158">
        <f>('32 days'!$C59-'32 days'!$C$3)+('32 days'!$D59-'32 days'!$C$3)</f>
        <v>54.85</v>
      </c>
      <c r="Q190" s="154">
        <f t="shared" si="44"/>
        <v>1.4434210526315789</v>
      </c>
      <c r="R190" s="155">
        <f t="shared" si="45"/>
        <v>17.775641025641026</v>
      </c>
      <c r="S190" s="328">
        <f t="shared" si="119"/>
        <v>0.46778002699055332</v>
      </c>
      <c r="T190" s="336">
        <f>IF((IF(('32 days'!$E59-'32 days'!$E$3)&lt;0, 0, ('32 days'!$E59-'32 days'!$E$3)))+(IF(('32 days'!$F59-'32 days'!$F$3)&lt;0, 0, ('32 days'!$F59-'32 days'!$F$3)))+('32 days'!$H59*'32 days'!$G59)+('32 days'!$I59)&lt;0, 0, (IF(('32 days'!$E59-'32 days'!$E$3)&lt;0, 0, ('32 days'!$E59-'32 days'!$E$3)))+(IF(('32 days'!$F59-'32 days'!$F$3)&lt;0, 0, ('32 days'!$F59-'32 days'!$F$3)))+('32 days'!$H59*'32 days'!$G59)+('32 days'!$I59))</f>
        <v>9.9</v>
      </c>
      <c r="U190" s="158">
        <f t="shared" si="122"/>
        <v>52.565000000000005</v>
      </c>
      <c r="V190" s="154">
        <f t="shared" si="46"/>
        <v>1.3832894736842107</v>
      </c>
      <c r="W190" s="155">
        <f t="shared" si="125"/>
        <v>1.8196342978874491</v>
      </c>
      <c r="X190" s="196">
        <f t="shared" si="54"/>
        <v>39</v>
      </c>
      <c r="Y190" s="213">
        <f t="shared" si="48"/>
        <v>38</v>
      </c>
      <c r="Z190" s="163">
        <f>'32 days'!J59</f>
        <v>0</v>
      </c>
      <c r="AA190" s="154">
        <f>'32 days'!K59</f>
        <v>0</v>
      </c>
      <c r="AB190" s="163">
        <f>'32 days'!L59</f>
        <v>1</v>
      </c>
      <c r="AC190" s="154">
        <f>'32 days'!M59</f>
        <v>1.05</v>
      </c>
      <c r="AD190" s="213">
        <f>'32 days'!N59</f>
        <v>0</v>
      </c>
      <c r="AE190" s="154">
        <f>'32 days'!O59</f>
        <v>0</v>
      </c>
      <c r="AF190" s="163">
        <f t="shared" si="49"/>
        <v>1</v>
      </c>
      <c r="AG190" s="160">
        <f t="shared" si="50"/>
        <v>1.05</v>
      </c>
      <c r="AI190" s="325" t="s">
        <v>117</v>
      </c>
      <c r="AJ190" s="162">
        <f t="shared" si="57"/>
        <v>55</v>
      </c>
      <c r="AK190" s="163" t="str">
        <f>INDEX(Map!$W$2:$W$67, MATCH('Raw data'!AJ190, Map!$V$2:$V$67,0))</f>
        <v>T6</v>
      </c>
      <c r="AL190" s="165" t="str">
        <f>INDEX(Map!$X$2:$X$67, MATCH('Raw data'!AJ190, Map!$V$2:$V$67,0))</f>
        <v>R8</v>
      </c>
      <c r="AM190" s="325">
        <f t="shared" si="128"/>
        <v>54.85</v>
      </c>
      <c r="AN190" s="160">
        <f t="shared" si="59"/>
        <v>1.4434210526315789</v>
      </c>
      <c r="AO190" s="148">
        <f t="shared" ref="AO190:AP190" si="171">R190+R124</f>
        <v>42.039141025641023</v>
      </c>
      <c r="AP190" s="150">
        <f t="shared" si="171"/>
        <v>1.089921052631579</v>
      </c>
      <c r="AQ190" s="151">
        <f t="shared" ref="AQ190:AR190" si="172">U190+U124</f>
        <v>86.1</v>
      </c>
      <c r="AR190" s="149">
        <f t="shared" si="172"/>
        <v>2.2431612685560056</v>
      </c>
      <c r="AS190" s="150">
        <f t="shared" si="62"/>
        <v>1.9784397846747661</v>
      </c>
    </row>
    <row r="191" spans="11:45" x14ac:dyDescent="0.25">
      <c r="K191" s="164" t="s">
        <v>89</v>
      </c>
      <c r="L191" s="162">
        <f>'32 days'!$A60</f>
        <v>56</v>
      </c>
      <c r="M191" s="163">
        <f t="shared" si="47"/>
        <v>38</v>
      </c>
      <c r="N191" s="163" t="str">
        <f>INDEX(Map!$W$2:$W$67, MATCH('Raw data'!L191, Map!$V$2:$V$67,0))</f>
        <v>T3</v>
      </c>
      <c r="O191" s="165" t="str">
        <f>INDEX(Map!$X$2:$X$67, MATCH('Raw data'!L191, Map!$V$2:$V$67,0))</f>
        <v>R8</v>
      </c>
      <c r="P191" s="158">
        <f>('32 days'!$C60-'32 days'!$C$3)+('32 days'!$D60-'32 days'!$C$3)</f>
        <v>56.65</v>
      </c>
      <c r="Q191" s="154">
        <f t="shared" si="44"/>
        <v>1.4907894736842104</v>
      </c>
      <c r="R191" s="155">
        <f t="shared" si="45"/>
        <v>19.550000000000004</v>
      </c>
      <c r="S191" s="328">
        <f t="shared" si="119"/>
        <v>0.51447368421052642</v>
      </c>
      <c r="T191" s="336">
        <f>IF((IF(('32 days'!$E60-'32 days'!$E$3)&lt;0, 0, ('32 days'!$E60-'32 days'!$E$3)))+(IF(('32 days'!$F60-'32 days'!$F$3)&lt;0, 0, ('32 days'!$F60-'32 days'!$F$3)))+('32 days'!$H60*'32 days'!$G60)+('32 days'!$I60)&lt;0, 0, (IF(('32 days'!$E60-'32 days'!$E$3)&lt;0, 0, ('32 days'!$E60-'32 days'!$E$3)))+(IF(('32 days'!$F60-'32 days'!$F$3)&lt;0, 0, ('32 days'!$F60-'32 days'!$F$3)))+('32 days'!$H60*'32 days'!$G60)+('32 days'!$I60))</f>
        <v>9.75</v>
      </c>
      <c r="U191" s="158">
        <f>T125-T191</f>
        <v>54.465000000000003</v>
      </c>
      <c r="V191" s="154">
        <f t="shared" si="46"/>
        <v>1.4332894736842106</v>
      </c>
      <c r="W191" s="155">
        <f t="shared" si="125"/>
        <v>1.7689625108979947</v>
      </c>
      <c r="X191" s="196">
        <f t="shared" si="54"/>
        <v>38</v>
      </c>
      <c r="Y191" s="213">
        <f t="shared" si="48"/>
        <v>38</v>
      </c>
      <c r="Z191" s="163">
        <f>'32 days'!J60</f>
        <v>0</v>
      </c>
      <c r="AA191" s="154">
        <f>'32 days'!K60</f>
        <v>0</v>
      </c>
      <c r="AB191" s="163">
        <f>'32 days'!L60</f>
        <v>0</v>
      </c>
      <c r="AC191" s="154">
        <f>'32 days'!M60</f>
        <v>0</v>
      </c>
      <c r="AD191" s="213">
        <f>'32 days'!N60</f>
        <v>0</v>
      </c>
      <c r="AE191" s="154">
        <f>'32 days'!O60</f>
        <v>0</v>
      </c>
      <c r="AF191" s="163">
        <f t="shared" si="49"/>
        <v>0</v>
      </c>
      <c r="AG191" s="160">
        <f t="shared" si="50"/>
        <v>0</v>
      </c>
      <c r="AI191" s="325" t="s">
        <v>117</v>
      </c>
      <c r="AJ191" s="162">
        <f t="shared" si="57"/>
        <v>56</v>
      </c>
      <c r="AK191" s="163" t="str">
        <f>INDEX(Map!$W$2:$W$67, MATCH('Raw data'!AJ191, Map!$V$2:$V$67,0))</f>
        <v>T3</v>
      </c>
      <c r="AL191" s="165" t="str">
        <f>INDEX(Map!$X$2:$X$67, MATCH('Raw data'!AJ191, Map!$V$2:$V$67,0))</f>
        <v>R8</v>
      </c>
      <c r="AM191" s="325">
        <f t="shared" si="128"/>
        <v>56.65</v>
      </c>
      <c r="AN191" s="160">
        <f t="shared" si="59"/>
        <v>1.4907894736842104</v>
      </c>
      <c r="AO191" s="148">
        <f t="shared" ref="AO191:AP191" si="173">R191+R125</f>
        <v>43.262307692307687</v>
      </c>
      <c r="AP191" s="150">
        <f t="shared" si="173"/>
        <v>1.1384817813765182</v>
      </c>
      <c r="AQ191" s="151">
        <f t="shared" ref="AQ191:AR191" si="174">U191+U125</f>
        <v>86.25</v>
      </c>
      <c r="AR191" s="149">
        <f t="shared" si="174"/>
        <v>2.2697368421052628</v>
      </c>
      <c r="AS191" s="150">
        <f t="shared" si="62"/>
        <v>1.9731284975187415</v>
      </c>
    </row>
    <row r="192" spans="11:45" x14ac:dyDescent="0.25">
      <c r="K192" s="164" t="s">
        <v>89</v>
      </c>
      <c r="L192" s="162">
        <f>'32 days'!$A61</f>
        <v>57</v>
      </c>
      <c r="M192" s="163">
        <f t="shared" si="47"/>
        <v>36</v>
      </c>
      <c r="N192" s="163" t="str">
        <f>INDEX(Map!$W$2:$W$67, MATCH('Raw data'!L192, Map!$V$2:$V$67,0))</f>
        <v>T2</v>
      </c>
      <c r="O192" s="165" t="str">
        <f>INDEX(Map!$X$2:$X$67, MATCH('Raw data'!L192, Map!$V$2:$V$67,0))</f>
        <v>R8</v>
      </c>
      <c r="P192" s="158">
        <f>('32 days'!$C61-'32 days'!$C$3)+('32 days'!$D61-'32 days'!$C$3)</f>
        <v>51.55</v>
      </c>
      <c r="Q192" s="154">
        <f t="shared" si="44"/>
        <v>1.4319444444444445</v>
      </c>
      <c r="R192" s="155">
        <f t="shared" si="45"/>
        <v>16.182432432432439</v>
      </c>
      <c r="S192" s="328">
        <f t="shared" si="119"/>
        <v>0.44951201201201219</v>
      </c>
      <c r="T192" s="336">
        <f>IF((IF(('32 days'!$E61-'32 days'!$E$3)&lt;0, 0, ('32 days'!$E61-'32 days'!$E$3)))+(IF(('32 days'!$F61-'32 days'!$F$3)&lt;0, 0, ('32 days'!$F61-'32 days'!$F$3)))+('32 days'!$H61*'32 days'!$G61)+('32 days'!$I61)&lt;0, 0, (IF(('32 days'!$E61-'32 days'!$E$3)&lt;0, 0, ('32 days'!$E61-'32 days'!$E$3)))+(IF(('32 days'!$F61-'32 days'!$F$3)&lt;0, 0, ('32 days'!$F61-'32 days'!$F$3)))+('32 days'!$H61*'32 days'!$G61)+('32 days'!$I61))</f>
        <v>15.15</v>
      </c>
      <c r="U192" s="158">
        <f t="shared" si="122"/>
        <v>49.764999999999993</v>
      </c>
      <c r="V192" s="154">
        <f t="shared" si="46"/>
        <v>1.3823611111111109</v>
      </c>
      <c r="W192" s="155">
        <f t="shared" si="125"/>
        <v>1.8249957732985178</v>
      </c>
      <c r="X192" s="196">
        <f t="shared" si="54"/>
        <v>37</v>
      </c>
      <c r="Y192" s="213">
        <f t="shared" si="48"/>
        <v>36</v>
      </c>
      <c r="Z192" s="163">
        <f>'32 days'!J61</f>
        <v>0</v>
      </c>
      <c r="AA192" s="154">
        <f>'32 days'!K61</f>
        <v>0</v>
      </c>
      <c r="AB192" s="163">
        <f>'32 days'!L61</f>
        <v>1</v>
      </c>
      <c r="AC192" s="154">
        <f>'32 days'!M61</f>
        <v>1.1499999999999999</v>
      </c>
      <c r="AD192" s="213">
        <f>'32 days'!N61</f>
        <v>0</v>
      </c>
      <c r="AE192" s="154">
        <f>'32 days'!O61</f>
        <v>0</v>
      </c>
      <c r="AF192" s="163">
        <f t="shared" si="49"/>
        <v>1</v>
      </c>
      <c r="AG192" s="160">
        <f t="shared" si="50"/>
        <v>1.1499999999999999</v>
      </c>
      <c r="AI192" s="325" t="s">
        <v>117</v>
      </c>
      <c r="AJ192" s="162">
        <f t="shared" si="57"/>
        <v>57</v>
      </c>
      <c r="AK192" s="163" t="str">
        <f>INDEX(Map!$W$2:$W$67, MATCH('Raw data'!AJ192, Map!$V$2:$V$67,0))</f>
        <v>T2</v>
      </c>
      <c r="AL192" s="165" t="str">
        <f>INDEX(Map!$X$2:$X$67, MATCH('Raw data'!AJ192, Map!$V$2:$V$67,0))</f>
        <v>R8</v>
      </c>
      <c r="AM192" s="325">
        <f t="shared" si="128"/>
        <v>51.55</v>
      </c>
      <c r="AN192" s="160">
        <f t="shared" si="59"/>
        <v>1.4319444444444445</v>
      </c>
      <c r="AO192" s="148">
        <f t="shared" ref="AO192:AP192" si="175">R192+R126</f>
        <v>39.142432432432429</v>
      </c>
      <c r="AP192" s="150">
        <f t="shared" si="175"/>
        <v>1.0700525525525526</v>
      </c>
      <c r="AQ192" s="151">
        <f t="shared" ref="AQ192:AR192" si="176">U192+U126</f>
        <v>80.849999999999994</v>
      </c>
      <c r="AR192" s="149">
        <f t="shared" si="176"/>
        <v>2.2224962462462461</v>
      </c>
      <c r="AS192" s="150">
        <f t="shared" si="62"/>
        <v>2.0065802712601122</v>
      </c>
    </row>
    <row r="193" spans="10:45" x14ac:dyDescent="0.25">
      <c r="K193" s="164" t="s">
        <v>89</v>
      </c>
      <c r="L193" s="162">
        <f>'32 days'!$A62</f>
        <v>58</v>
      </c>
      <c r="M193" s="163">
        <f t="shared" si="47"/>
        <v>38</v>
      </c>
      <c r="N193" s="163" t="str">
        <f>INDEX(Map!$W$2:$W$67, MATCH('Raw data'!L193, Map!$V$2:$V$67,0))</f>
        <v>T1</v>
      </c>
      <c r="O193" s="165" t="str">
        <f>INDEX(Map!$X$2:$X$67, MATCH('Raw data'!L193, Map!$V$2:$V$67,0))</f>
        <v>R8</v>
      </c>
      <c r="P193" s="158">
        <f>('32 days'!$C62-'32 days'!$C$3)+('32 days'!$D62-'32 days'!$C$3)</f>
        <v>56.15</v>
      </c>
      <c r="Q193" s="154">
        <f t="shared" si="44"/>
        <v>1.4776315789473684</v>
      </c>
      <c r="R193" s="155">
        <f t="shared" si="45"/>
        <v>18.588461538461541</v>
      </c>
      <c r="S193" s="328">
        <f t="shared" si="119"/>
        <v>0.48917004048583002</v>
      </c>
      <c r="T193" s="336">
        <f>IF((IF(('32 days'!$E62-'32 days'!$E$3)&lt;0, 0, ('32 days'!$E62-'32 days'!$E$3)))+(IF(('32 days'!$F62-'32 days'!$F$3)&lt;0, 0, ('32 days'!$F62-'32 days'!$F$3)))+('32 days'!$H62*'32 days'!$G62)+('32 days'!$I62)&lt;0, 0, (IF(('32 days'!$E62-'32 days'!$E$3)&lt;0, 0, ('32 days'!$E62-'32 days'!$E$3)))+(IF(('32 days'!$F62-'32 days'!$F$3)&lt;0, 0, ('32 days'!$F62-'32 days'!$F$3)))+('32 days'!$H62*'32 days'!$G62)+('32 days'!$I62))</f>
        <v>10.700000000000001</v>
      </c>
      <c r="U193" s="158">
        <f t="shared" si="122"/>
        <v>52.864999999999995</v>
      </c>
      <c r="V193" s="154">
        <f t="shared" si="46"/>
        <v>1.3911842105263157</v>
      </c>
      <c r="W193" s="155">
        <f t="shared" si="125"/>
        <v>1.774390243902439</v>
      </c>
      <c r="X193" s="196">
        <f t="shared" si="54"/>
        <v>39</v>
      </c>
      <c r="Y193" s="213">
        <f t="shared" si="48"/>
        <v>38</v>
      </c>
      <c r="Z193" s="163">
        <f>'32 days'!J62</f>
        <v>0</v>
      </c>
      <c r="AA193" s="154">
        <f>'32 days'!K62</f>
        <v>0</v>
      </c>
      <c r="AB193" s="163">
        <f>'32 days'!L62</f>
        <v>1</v>
      </c>
      <c r="AC193" s="154">
        <f>'32 days'!M62</f>
        <v>1</v>
      </c>
      <c r="AD193" s="213">
        <f>'32 days'!N62</f>
        <v>0</v>
      </c>
      <c r="AE193" s="154">
        <f>'32 days'!O62</f>
        <v>0</v>
      </c>
      <c r="AF193" s="163">
        <f t="shared" si="49"/>
        <v>1</v>
      </c>
      <c r="AG193" s="160">
        <f t="shared" si="50"/>
        <v>1</v>
      </c>
      <c r="AI193" s="325" t="s">
        <v>117</v>
      </c>
      <c r="AJ193" s="162">
        <f t="shared" si="57"/>
        <v>58</v>
      </c>
      <c r="AK193" s="163" t="str">
        <f>INDEX(Map!$W$2:$W$67, MATCH('Raw data'!AJ193, Map!$V$2:$V$67,0))</f>
        <v>T1</v>
      </c>
      <c r="AL193" s="165" t="str">
        <f>INDEX(Map!$X$2:$X$67, MATCH('Raw data'!AJ193, Map!$V$2:$V$67,0))</f>
        <v>R8</v>
      </c>
      <c r="AM193" s="325">
        <f t="shared" si="128"/>
        <v>56.15</v>
      </c>
      <c r="AN193" s="160">
        <f t="shared" si="59"/>
        <v>1.4776315789473684</v>
      </c>
      <c r="AO193" s="148">
        <f t="shared" ref="AO193:AP193" si="177">R193+R127</f>
        <v>42.848461538461535</v>
      </c>
      <c r="AP193" s="150">
        <f t="shared" si="177"/>
        <v>1.1112213225371121</v>
      </c>
      <c r="AQ193" s="151">
        <f t="shared" ref="AQ193:AR193" si="178">U193+U127</f>
        <v>85.3</v>
      </c>
      <c r="AR193" s="149">
        <f t="shared" si="178"/>
        <v>2.2228508771929825</v>
      </c>
      <c r="AS193" s="150">
        <f t="shared" si="62"/>
        <v>1.9453362103748926</v>
      </c>
    </row>
    <row r="194" spans="10:45" x14ac:dyDescent="0.25">
      <c r="K194" s="164" t="s">
        <v>89</v>
      </c>
      <c r="L194" s="162">
        <f>'32 days'!$A63</f>
        <v>59</v>
      </c>
      <c r="M194" s="163">
        <f t="shared" si="47"/>
        <v>40</v>
      </c>
      <c r="N194" s="163" t="str">
        <f>INDEX(Map!$W$2:$W$67, MATCH('Raw data'!L194, Map!$V$2:$V$67,0))</f>
        <v>T3</v>
      </c>
      <c r="O194" s="165" t="str">
        <f>INDEX(Map!$X$2:$X$67, MATCH('Raw data'!L194, Map!$V$2:$V$67,0))</f>
        <v>R9</v>
      </c>
      <c r="P194" s="158">
        <f>('32 days'!$C63-'32 days'!$C$3)+('32 days'!$D63-'32 days'!$C$3)</f>
        <v>57.199999999999996</v>
      </c>
      <c r="Q194" s="154">
        <f t="shared" si="44"/>
        <v>1.43</v>
      </c>
      <c r="R194" s="155">
        <f t="shared" si="45"/>
        <v>18.699999999999996</v>
      </c>
      <c r="S194" s="328">
        <f t="shared" si="119"/>
        <v>0.46749999999999992</v>
      </c>
      <c r="T194" s="336">
        <f>IF((IF(('32 days'!$E63-'32 days'!$E$3)&lt;0, 0, ('32 days'!$E63-'32 days'!$E$3)))+(IF(('32 days'!$F63-'32 days'!$F$3)&lt;0, 0, ('32 days'!$F63-'32 days'!$F$3)))+('32 days'!$H63*'32 days'!$G63)+('32 days'!$I63)&lt;0, 0, (IF(('32 days'!$E63-'32 days'!$E$3)&lt;0, 0, ('32 days'!$E63-'32 days'!$E$3)))+(IF(('32 days'!$F63-'32 days'!$F$3)&lt;0, 0, ('32 days'!$F63-'32 days'!$F$3)))+('32 days'!$H63*'32 days'!$G63)+('32 days'!$I63))</f>
        <v>8.75</v>
      </c>
      <c r="U194" s="158">
        <f t="shared" si="122"/>
        <v>54.515000000000001</v>
      </c>
      <c r="V194" s="154">
        <f t="shared" si="46"/>
        <v>1.3628750000000001</v>
      </c>
      <c r="W194" s="155">
        <f t="shared" si="125"/>
        <v>1.8120629370629373</v>
      </c>
      <c r="X194" s="196">
        <f t="shared" si="54"/>
        <v>40</v>
      </c>
      <c r="Y194" s="213">
        <f t="shared" si="48"/>
        <v>40</v>
      </c>
      <c r="Z194" s="163">
        <f>'32 days'!J63</f>
        <v>0</v>
      </c>
      <c r="AA194" s="154">
        <f>'32 days'!K63</f>
        <v>0</v>
      </c>
      <c r="AB194" s="163">
        <f>'32 days'!L63</f>
        <v>0</v>
      </c>
      <c r="AC194" s="154">
        <f>'32 days'!M63</f>
        <v>0</v>
      </c>
      <c r="AD194" s="213">
        <f>'32 days'!N63</f>
        <v>0</v>
      </c>
      <c r="AE194" s="154">
        <f>'32 days'!O63</f>
        <v>0</v>
      </c>
      <c r="AF194" s="163">
        <f t="shared" si="49"/>
        <v>0</v>
      </c>
      <c r="AG194" s="160">
        <f t="shared" si="50"/>
        <v>0</v>
      </c>
      <c r="AI194" s="325" t="s">
        <v>117</v>
      </c>
      <c r="AJ194" s="162">
        <f t="shared" si="57"/>
        <v>59</v>
      </c>
      <c r="AK194" s="163" t="str">
        <f>INDEX(Map!$W$2:$W$67, MATCH('Raw data'!AJ194, Map!$V$2:$V$67,0))</f>
        <v>T3</v>
      </c>
      <c r="AL194" s="165" t="str">
        <f>INDEX(Map!$X$2:$X$67, MATCH('Raw data'!AJ194, Map!$V$2:$V$67,0))</f>
        <v>R9</v>
      </c>
      <c r="AM194" s="325">
        <f t="shared" si="128"/>
        <v>57.199999999999996</v>
      </c>
      <c r="AN194" s="160">
        <f t="shared" si="59"/>
        <v>1.43</v>
      </c>
      <c r="AO194" s="148">
        <f t="shared" ref="AO194:AP194" si="179">R194+R128</f>
        <v>43.209999999999994</v>
      </c>
      <c r="AP194" s="150">
        <f t="shared" si="179"/>
        <v>1.0802499999999999</v>
      </c>
      <c r="AQ194" s="151">
        <f t="shared" ref="AQ194:AR194" si="180">U194+U128</f>
        <v>87.25</v>
      </c>
      <c r="AR194" s="149">
        <f t="shared" si="180"/>
        <v>2.1812499999999999</v>
      </c>
      <c r="AS194" s="150">
        <f t="shared" si="62"/>
        <v>2.0192085165470957</v>
      </c>
    </row>
    <row r="195" spans="10:45" x14ac:dyDescent="0.25">
      <c r="K195" s="164" t="s">
        <v>89</v>
      </c>
      <c r="L195" s="162">
        <f>'32 days'!$A64</f>
        <v>60</v>
      </c>
      <c r="M195" s="163">
        <f t="shared" si="47"/>
        <v>39</v>
      </c>
      <c r="N195" s="163" t="str">
        <f>INDEX(Map!$W$2:$W$67, MATCH('Raw data'!L195, Map!$V$2:$V$67,0))</f>
        <v>T5</v>
      </c>
      <c r="O195" s="165" t="str">
        <f>INDEX(Map!$X$2:$X$67, MATCH('Raw data'!L195, Map!$V$2:$V$67,0))</f>
        <v>R9</v>
      </c>
      <c r="P195" s="158">
        <f>('32 days'!$C64-'32 days'!$C$3)+('32 days'!$D64-'32 days'!$C$3)</f>
        <v>57.15</v>
      </c>
      <c r="Q195" s="154">
        <f t="shared" si="44"/>
        <v>1.4653846153846153</v>
      </c>
      <c r="R195" s="155">
        <f t="shared" si="45"/>
        <v>18.350000000000001</v>
      </c>
      <c r="S195" s="328">
        <f t="shared" si="119"/>
        <v>0.47051282051282051</v>
      </c>
      <c r="T195" s="336">
        <f>IF((IF(('32 days'!$E64-'32 days'!$E$3)&lt;0, 0, ('32 days'!$E64-'32 days'!$E$3)))+(IF(('32 days'!$F64-'32 days'!$F$3)&lt;0, 0, ('32 days'!$F64-'32 days'!$F$3)))+('32 days'!$H64*'32 days'!$G64)+('32 days'!$I64)&lt;0, 0, (IF(('32 days'!$E64-'32 days'!$E$3)&lt;0, 0, ('32 days'!$E64-'32 days'!$E$3)))+(IF(('32 days'!$F64-'32 days'!$F$3)&lt;0, 0, ('32 days'!$F64-'32 days'!$F$3)))+('32 days'!$H64*'32 days'!$G64)+('32 days'!$I64))</f>
        <v>8.3000000000000007</v>
      </c>
      <c r="U195" s="158">
        <f t="shared" si="122"/>
        <v>54.165000000000006</v>
      </c>
      <c r="V195" s="154">
        <f t="shared" si="46"/>
        <v>1.3888461538461541</v>
      </c>
      <c r="W195" s="155">
        <f t="shared" si="125"/>
        <v>1.8088618592528236</v>
      </c>
      <c r="X195" s="196">
        <f t="shared" si="54"/>
        <v>39</v>
      </c>
      <c r="Y195" s="213">
        <f t="shared" si="48"/>
        <v>39</v>
      </c>
      <c r="Z195" s="163">
        <f>'32 days'!J64</f>
        <v>0</v>
      </c>
      <c r="AA195" s="154">
        <f>'32 days'!K64</f>
        <v>0</v>
      </c>
      <c r="AB195" s="163">
        <f>'32 days'!L64</f>
        <v>0</v>
      </c>
      <c r="AC195" s="154">
        <f>'32 days'!M64</f>
        <v>0</v>
      </c>
      <c r="AD195" s="213">
        <f>'32 days'!N64</f>
        <v>0</v>
      </c>
      <c r="AE195" s="154">
        <f>'32 days'!O64</f>
        <v>0</v>
      </c>
      <c r="AF195" s="163">
        <f t="shared" si="49"/>
        <v>0</v>
      </c>
      <c r="AG195" s="160">
        <f t="shared" si="50"/>
        <v>0</v>
      </c>
      <c r="AI195" s="325" t="s">
        <v>117</v>
      </c>
      <c r="AJ195" s="162">
        <f t="shared" si="57"/>
        <v>60</v>
      </c>
      <c r="AK195" s="163" t="str">
        <f>INDEX(Map!$W$2:$W$67, MATCH('Raw data'!AJ195, Map!$V$2:$V$67,0))</f>
        <v>T5</v>
      </c>
      <c r="AL195" s="165" t="str">
        <f>INDEX(Map!$X$2:$X$67, MATCH('Raw data'!AJ195, Map!$V$2:$V$67,0))</f>
        <v>R9</v>
      </c>
      <c r="AM195" s="325">
        <f t="shared" si="128"/>
        <v>57.15</v>
      </c>
      <c r="AN195" s="160">
        <f t="shared" si="59"/>
        <v>1.4653846153846153</v>
      </c>
      <c r="AO195" s="148">
        <f t="shared" ref="AO195:AP195" si="181">R195+R129</f>
        <v>42.827249999999999</v>
      </c>
      <c r="AP195" s="150">
        <f t="shared" si="181"/>
        <v>1.0981346153846152</v>
      </c>
      <c r="AQ195" s="151">
        <f t="shared" ref="AQ195:AR195" si="182">U195+U129</f>
        <v>87.7</v>
      </c>
      <c r="AR195" s="149">
        <f t="shared" si="182"/>
        <v>2.2487179487179487</v>
      </c>
      <c r="AS195" s="150">
        <f t="shared" si="62"/>
        <v>2.0288128437501807</v>
      </c>
    </row>
    <row r="196" spans="10:45" x14ac:dyDescent="0.25">
      <c r="K196" s="164" t="s">
        <v>89</v>
      </c>
      <c r="L196" s="162">
        <f>'32 days'!$A65</f>
        <v>61</v>
      </c>
      <c r="M196" s="163">
        <f t="shared" si="47"/>
        <v>36</v>
      </c>
      <c r="N196" s="163" t="str">
        <f>INDEX(Map!$W$2:$W$67, MATCH('Raw data'!L196, Map!$V$2:$V$67,0))</f>
        <v>T2</v>
      </c>
      <c r="O196" s="165" t="str">
        <f>INDEX(Map!$X$2:$X$67, MATCH('Raw data'!L196, Map!$V$2:$V$67,0))</f>
        <v>R9</v>
      </c>
      <c r="P196" s="158">
        <f>('32 days'!$C65-'32 days'!$C$3)+('32 days'!$D65-'32 days'!$C$3)</f>
        <v>53.349999999999994</v>
      </c>
      <c r="Q196" s="154">
        <f t="shared" ref="Q196:Q259" si="183">P196/M196</f>
        <v>1.4819444444444443</v>
      </c>
      <c r="R196" s="155">
        <f t="shared" ref="R196:R259" si="184">S196*M196</f>
        <v>16.620270270270268</v>
      </c>
      <c r="S196" s="328">
        <f t="shared" si="119"/>
        <v>0.46167417417417411</v>
      </c>
      <c r="T196" s="336">
        <f>IF((IF(('32 days'!$E65-'32 days'!$E$3)&lt;0, 0, ('32 days'!$E65-'32 days'!$E$3)))+(IF(('32 days'!$F65-'32 days'!$F$3)&lt;0, 0, ('32 days'!$F65-'32 days'!$F$3)))+('32 days'!$H65*'32 days'!$G65)+('32 days'!$I65)&lt;0, 0, (IF(('32 days'!$E65-'32 days'!$E$3)&lt;0, 0, ('32 days'!$E65-'32 days'!$E$3)))+(IF(('32 days'!$F65-'32 days'!$F$3)&lt;0, 0, ('32 days'!$F65-'32 days'!$F$3)))+('32 days'!$H65*'32 days'!$G65)+('32 days'!$I65))</f>
        <v>12.45</v>
      </c>
      <c r="U196" s="158">
        <f t="shared" si="122"/>
        <v>51.064999999999998</v>
      </c>
      <c r="V196" s="154">
        <f t="shared" ref="V196:V259" si="185">U196/M196</f>
        <v>1.4184722222222221</v>
      </c>
      <c r="W196" s="155">
        <f t="shared" si="125"/>
        <v>1.8163738208622988</v>
      </c>
      <c r="X196" s="196">
        <f t="shared" si="54"/>
        <v>37</v>
      </c>
      <c r="Y196" s="213">
        <f t="shared" si="48"/>
        <v>36</v>
      </c>
      <c r="Z196" s="163">
        <f>'32 days'!J65</f>
        <v>0</v>
      </c>
      <c r="AA196" s="154">
        <f>'32 days'!K65</f>
        <v>0</v>
      </c>
      <c r="AB196" s="163">
        <f>'32 days'!L65</f>
        <v>1</v>
      </c>
      <c r="AC196" s="154">
        <f>'32 days'!M65</f>
        <v>1</v>
      </c>
      <c r="AD196" s="213">
        <f>'32 days'!N65</f>
        <v>0</v>
      </c>
      <c r="AE196" s="154">
        <f>'32 days'!O65</f>
        <v>0</v>
      </c>
      <c r="AF196" s="163">
        <f t="shared" si="49"/>
        <v>1</v>
      </c>
      <c r="AG196" s="160">
        <f t="shared" si="50"/>
        <v>1</v>
      </c>
      <c r="AI196" s="325" t="s">
        <v>117</v>
      </c>
      <c r="AJ196" s="162">
        <f t="shared" si="57"/>
        <v>61</v>
      </c>
      <c r="AK196" s="163" t="str">
        <f>INDEX(Map!$W$2:$W$67, MATCH('Raw data'!AJ196, Map!$V$2:$V$67,0))</f>
        <v>T2</v>
      </c>
      <c r="AL196" s="165" t="str">
        <f>INDEX(Map!$X$2:$X$67, MATCH('Raw data'!AJ196, Map!$V$2:$V$67,0))</f>
        <v>R9</v>
      </c>
      <c r="AM196" s="325">
        <f t="shared" si="128"/>
        <v>53.349999999999994</v>
      </c>
      <c r="AN196" s="160">
        <f t="shared" si="59"/>
        <v>1.4819444444444443</v>
      </c>
      <c r="AO196" s="148">
        <f t="shared" ref="AO196:AP196" si="186">R196+R130</f>
        <v>40.830270270270262</v>
      </c>
      <c r="AP196" s="150">
        <f t="shared" si="186"/>
        <v>1.1159984984984983</v>
      </c>
      <c r="AQ196" s="151">
        <f t="shared" ref="AQ196:AR196" si="187">U196+U130</f>
        <v>83.55</v>
      </c>
      <c r="AR196" s="149">
        <f t="shared" si="187"/>
        <v>2.296445195195195</v>
      </c>
      <c r="AS196" s="150">
        <f t="shared" si="62"/>
        <v>1.9973574031478565</v>
      </c>
    </row>
    <row r="197" spans="10:45" x14ac:dyDescent="0.25">
      <c r="K197" s="164" t="s">
        <v>89</v>
      </c>
      <c r="L197" s="162">
        <f>'32 days'!$A66</f>
        <v>62</v>
      </c>
      <c r="M197" s="163">
        <f t="shared" ref="M197:M201" si="188">Y197</f>
        <v>37</v>
      </c>
      <c r="N197" s="163" t="str">
        <f>INDEX(Map!$W$2:$W$67, MATCH('Raw data'!L197, Map!$V$2:$V$67,0))</f>
        <v>T6</v>
      </c>
      <c r="O197" s="165" t="str">
        <f>INDEX(Map!$X$2:$X$67, MATCH('Raw data'!L197, Map!$V$2:$V$67,0))</f>
        <v>R9</v>
      </c>
      <c r="P197" s="158">
        <f>('32 days'!$C66-'32 days'!$C$3)+('32 days'!$D66-'32 days'!$C$3)</f>
        <v>53.75</v>
      </c>
      <c r="Q197" s="154">
        <f t="shared" si="183"/>
        <v>1.4527027027027026</v>
      </c>
      <c r="R197" s="155">
        <f t="shared" si="184"/>
        <v>16.652631578947371</v>
      </c>
      <c r="S197" s="328">
        <f t="shared" si="119"/>
        <v>0.45007112375533431</v>
      </c>
      <c r="T197" s="336">
        <f>IF((IF(('32 days'!$E66-'32 days'!$E$3)&lt;0, 0, ('32 days'!$E66-'32 days'!$E$3)))+(IF(('32 days'!$F66-'32 days'!$F$3)&lt;0, 0, ('32 days'!$F66-'32 days'!$F$3)))+('32 days'!$H66*'32 days'!$G66)+('32 days'!$I66)&lt;0, 0, (IF(('32 days'!$E66-'32 days'!$E$3)&lt;0, 0, ('32 days'!$E66-'32 days'!$E$3)))+(IF(('32 days'!$F66-'32 days'!$F$3)&lt;0, 0, ('32 days'!$F66-'32 days'!$F$3)))+('32 days'!$H66*'32 days'!$G66)+('32 days'!$I66))</f>
        <v>11.350000000000001</v>
      </c>
      <c r="U197" s="158">
        <f t="shared" si="122"/>
        <v>52.015000000000001</v>
      </c>
      <c r="V197" s="154">
        <f t="shared" si="185"/>
        <v>1.4058108108108107</v>
      </c>
      <c r="W197" s="155">
        <f t="shared" si="125"/>
        <v>1.7961863644540386</v>
      </c>
      <c r="X197" s="196">
        <f t="shared" si="54"/>
        <v>38</v>
      </c>
      <c r="Y197" s="213">
        <f t="shared" ref="Y197:Y260" si="189">X197-AF197</f>
        <v>37</v>
      </c>
      <c r="Z197" s="163">
        <f>'32 days'!J66</f>
        <v>0</v>
      </c>
      <c r="AA197" s="154">
        <f>'32 days'!K66</f>
        <v>0</v>
      </c>
      <c r="AB197" s="163">
        <f>'32 days'!L66</f>
        <v>1</v>
      </c>
      <c r="AC197" s="154">
        <f>'32 days'!M66</f>
        <v>1.1000000000000001</v>
      </c>
      <c r="AD197" s="213">
        <f>'32 days'!N66</f>
        <v>0</v>
      </c>
      <c r="AE197" s="154">
        <f>'32 days'!O66</f>
        <v>0</v>
      </c>
      <c r="AF197" s="163">
        <f t="shared" ref="AF197:AF260" si="190">SUM(Z197,AB197,AD197)</f>
        <v>1</v>
      </c>
      <c r="AG197" s="160">
        <f t="shared" ref="AG197:AG260" si="191">SUM(AA197,AC197,AE197)</f>
        <v>1.1000000000000001</v>
      </c>
      <c r="AI197" s="325" t="s">
        <v>117</v>
      </c>
      <c r="AJ197" s="162">
        <f t="shared" si="57"/>
        <v>62</v>
      </c>
      <c r="AK197" s="163" t="str">
        <f>INDEX(Map!$W$2:$W$67, MATCH('Raw data'!AJ197, Map!$V$2:$V$67,0))</f>
        <v>T6</v>
      </c>
      <c r="AL197" s="165" t="str">
        <f>INDEX(Map!$X$2:$X$67, MATCH('Raw data'!AJ197, Map!$V$2:$V$67,0))</f>
        <v>R9</v>
      </c>
      <c r="AM197" s="325">
        <f t="shared" si="128"/>
        <v>53.75</v>
      </c>
      <c r="AN197" s="160">
        <f t="shared" si="59"/>
        <v>1.4527027027027026</v>
      </c>
      <c r="AO197" s="148">
        <f t="shared" ref="AO197:AP197" si="192">R197+R131</f>
        <v>41.889631578947366</v>
      </c>
      <c r="AP197" s="150">
        <f t="shared" si="192"/>
        <v>1.1142027027027026</v>
      </c>
      <c r="AQ197" s="151">
        <f t="shared" ref="AQ197:AR197" si="193">U197+U131</f>
        <v>84.65</v>
      </c>
      <c r="AR197" s="149">
        <f t="shared" si="193"/>
        <v>2.2646266002844948</v>
      </c>
      <c r="AS197" s="150">
        <f t="shared" si="62"/>
        <v>1.9357583620885754</v>
      </c>
    </row>
    <row r="198" spans="10:45" x14ac:dyDescent="0.25">
      <c r="K198" s="164" t="s">
        <v>89</v>
      </c>
      <c r="L198" s="162">
        <f>'32 days'!$A67</f>
        <v>63</v>
      </c>
      <c r="M198" s="163">
        <f t="shared" si="188"/>
        <v>38</v>
      </c>
      <c r="N198" s="163" t="str">
        <f>INDEX(Map!$W$2:$W$67, MATCH('Raw data'!L198, Map!$V$2:$V$67,0))</f>
        <v>T1</v>
      </c>
      <c r="O198" s="165" t="str">
        <f>INDEX(Map!$X$2:$X$67, MATCH('Raw data'!L198, Map!$V$2:$V$67,0))</f>
        <v>R9</v>
      </c>
      <c r="P198" s="158">
        <f>('32 days'!$C67-'32 days'!$C$3)+('32 days'!$D67-'32 days'!$C$3)</f>
        <v>58.399999999999991</v>
      </c>
      <c r="Q198" s="154">
        <f t="shared" si="183"/>
        <v>1.5368421052631576</v>
      </c>
      <c r="R198" s="155">
        <f t="shared" si="184"/>
        <v>19.766666666666648</v>
      </c>
      <c r="S198" s="328">
        <f t="shared" ref="S198:S229" si="194">Q198-Q132</f>
        <v>0.52017543859649074</v>
      </c>
      <c r="T198" s="336">
        <f>IF((IF(('32 days'!$E67-'32 days'!$E$3)&lt;0, 0, ('32 days'!$E67-'32 days'!$E$3)))+(IF(('32 days'!$F67-'32 days'!$F$3)&lt;0, 0, ('32 days'!$F67-'32 days'!$F$3)))+('32 days'!$H67*'32 days'!$G67)+('32 days'!$I67)&lt;0, 0, (IF(('32 days'!$E67-'32 days'!$E$3)&lt;0, 0, ('32 days'!$E67-'32 days'!$E$3)))+(IF(('32 days'!$F67-'32 days'!$F$3)&lt;0, 0, ('32 days'!$F67-'32 days'!$F$3)))+('32 days'!$H67*'32 days'!$G67)+('32 days'!$I67))</f>
        <v>7.35</v>
      </c>
      <c r="U198" s="158">
        <f t="shared" ref="U198:U201" si="195">T132-T198</f>
        <v>55.064999999999998</v>
      </c>
      <c r="V198" s="154">
        <f t="shared" si="185"/>
        <v>1.4490789473684209</v>
      </c>
      <c r="W198" s="155">
        <f t="shared" si="125"/>
        <v>1.7615062761506277</v>
      </c>
      <c r="X198" s="196">
        <f t="shared" si="54"/>
        <v>39</v>
      </c>
      <c r="Y198" s="213">
        <f t="shared" si="189"/>
        <v>38</v>
      </c>
      <c r="Z198" s="163">
        <f>'32 days'!J67</f>
        <v>0</v>
      </c>
      <c r="AA198" s="154">
        <f>'32 days'!K67</f>
        <v>0</v>
      </c>
      <c r="AB198" s="163">
        <f>'32 days'!L67</f>
        <v>1</v>
      </c>
      <c r="AC198" s="154">
        <f>'32 days'!M67</f>
        <v>1.1000000000000001</v>
      </c>
      <c r="AD198" s="213">
        <f>'32 days'!N67</f>
        <v>0</v>
      </c>
      <c r="AE198" s="154">
        <f>'32 days'!O67</f>
        <v>0</v>
      </c>
      <c r="AF198" s="163">
        <f t="shared" si="190"/>
        <v>1</v>
      </c>
      <c r="AG198" s="160">
        <f t="shared" si="191"/>
        <v>1.1000000000000001</v>
      </c>
      <c r="AI198" s="325" t="s">
        <v>117</v>
      </c>
      <c r="AJ198" s="162">
        <f t="shared" si="57"/>
        <v>63</v>
      </c>
      <c r="AK198" s="163" t="str">
        <f>INDEX(Map!$W$2:$W$67, MATCH('Raw data'!AJ198, Map!$V$2:$V$67,0))</f>
        <v>T1</v>
      </c>
      <c r="AL198" s="165" t="str">
        <f>INDEX(Map!$X$2:$X$67, MATCH('Raw data'!AJ198, Map!$V$2:$V$67,0))</f>
        <v>R9</v>
      </c>
      <c r="AM198" s="325">
        <f t="shared" si="128"/>
        <v>58.399999999999991</v>
      </c>
      <c r="AN198" s="160">
        <f t="shared" si="59"/>
        <v>1.5368421052631576</v>
      </c>
      <c r="AO198" s="148">
        <f t="shared" ref="AO198:AP198" si="196">R198+R132</f>
        <v>45.176666666666648</v>
      </c>
      <c r="AP198" s="150">
        <f t="shared" si="196"/>
        <v>1.1717139001349524</v>
      </c>
      <c r="AQ198" s="151">
        <f t="shared" ref="AQ198:AR198" si="197">U198+U132</f>
        <v>88.65</v>
      </c>
      <c r="AR198" s="149">
        <f t="shared" si="197"/>
        <v>2.3102327935222671</v>
      </c>
      <c r="AS198" s="150">
        <f t="shared" si="62"/>
        <v>1.9156522365482973</v>
      </c>
    </row>
    <row r="199" spans="10:45" x14ac:dyDescent="0.25">
      <c r="K199" s="164" t="s">
        <v>89</v>
      </c>
      <c r="L199" s="162">
        <f>'32 days'!$A68</f>
        <v>64</v>
      </c>
      <c r="M199" s="163">
        <f t="shared" si="188"/>
        <v>36</v>
      </c>
      <c r="N199" s="163" t="str">
        <f>INDEX(Map!$W$2:$W$67, MATCH('Raw data'!L199, Map!$V$2:$V$67,0))</f>
        <v>T4</v>
      </c>
      <c r="O199" s="165" t="str">
        <f>INDEX(Map!$X$2:$X$67, MATCH('Raw data'!L199, Map!$V$2:$V$67,0))</f>
        <v>R9</v>
      </c>
      <c r="P199" s="158">
        <f>('32 days'!$C68-'32 days'!$C$3)+('32 days'!$D68-'32 days'!$C$3)</f>
        <v>52.4</v>
      </c>
      <c r="Q199" s="154">
        <f t="shared" si="183"/>
        <v>1.4555555555555555</v>
      </c>
      <c r="R199" s="155">
        <f t="shared" si="184"/>
        <v>16.448648648648643</v>
      </c>
      <c r="S199" s="328">
        <f t="shared" si="194"/>
        <v>0.45690690690690672</v>
      </c>
      <c r="T199" s="336">
        <f>IF((IF(('32 days'!$E68-'32 days'!$E$3)&lt;0, 0, ('32 days'!$E68-'32 days'!$E$3)))+(IF(('32 days'!$F68-'32 days'!$F$3)&lt;0, 0, ('32 days'!$F68-'32 days'!$F$3)))+('32 days'!$H68*'32 days'!$G68)+('32 days'!$I68)&lt;0, 0, (IF(('32 days'!$E68-'32 days'!$E$3)&lt;0, 0, ('32 days'!$E68-'32 days'!$E$3)))+(IF(('32 days'!$F68-'32 days'!$F$3)&lt;0, 0, ('32 days'!$F68-'32 days'!$F$3)))+('32 days'!$H68*'32 days'!$G68)+('32 days'!$I68))</f>
        <v>13.7</v>
      </c>
      <c r="U199" s="158">
        <f t="shared" si="195"/>
        <v>50.215000000000003</v>
      </c>
      <c r="V199" s="154">
        <f t="shared" si="185"/>
        <v>1.3948611111111111</v>
      </c>
      <c r="W199" s="155">
        <f t="shared" si="125"/>
        <v>1.795600366636114</v>
      </c>
      <c r="X199" s="196">
        <f t="shared" ref="X199:X262" si="198">X133-AF133</f>
        <v>37</v>
      </c>
      <c r="Y199" s="213">
        <f t="shared" si="189"/>
        <v>36</v>
      </c>
      <c r="Z199" s="163">
        <f>'32 days'!J68</f>
        <v>0</v>
      </c>
      <c r="AA199" s="154">
        <f>'32 days'!K68</f>
        <v>0</v>
      </c>
      <c r="AB199" s="163">
        <f>'32 days'!L68</f>
        <v>1</v>
      </c>
      <c r="AC199" s="154">
        <f>'32 days'!M68</f>
        <v>1.1499999999999999</v>
      </c>
      <c r="AD199" s="213">
        <f>'32 days'!N68</f>
        <v>0</v>
      </c>
      <c r="AE199" s="154">
        <f>'32 days'!O68</f>
        <v>0</v>
      </c>
      <c r="AF199" s="163">
        <f t="shared" si="190"/>
        <v>1</v>
      </c>
      <c r="AG199" s="160">
        <f t="shared" si="191"/>
        <v>1.1499999999999999</v>
      </c>
      <c r="AI199" s="325" t="s">
        <v>117</v>
      </c>
      <c r="AJ199" s="162">
        <f t="shared" si="57"/>
        <v>64</v>
      </c>
      <c r="AK199" s="163" t="str">
        <f>INDEX(Map!$W$2:$W$67, MATCH('Raw data'!AJ199, Map!$V$2:$V$67,0))</f>
        <v>T4</v>
      </c>
      <c r="AL199" s="165" t="str">
        <f>INDEX(Map!$X$2:$X$67, MATCH('Raw data'!AJ199, Map!$V$2:$V$67,0))</f>
        <v>R9</v>
      </c>
      <c r="AM199" s="325">
        <f t="shared" si="128"/>
        <v>52.4</v>
      </c>
      <c r="AN199" s="160">
        <f t="shared" si="59"/>
        <v>1.4555555555555555</v>
      </c>
      <c r="AO199" s="148">
        <f t="shared" ref="AO199:AP199" si="199">R199+R133</f>
        <v>40.117596017069701</v>
      </c>
      <c r="AP199" s="150">
        <f t="shared" si="199"/>
        <v>1.0966081871345028</v>
      </c>
      <c r="AQ199" s="151">
        <f t="shared" ref="AQ199:AR199" si="200">U199+U133</f>
        <v>82.300000000000011</v>
      </c>
      <c r="AR199" s="149">
        <f t="shared" si="200"/>
        <v>2.2620232732732735</v>
      </c>
      <c r="AS199" s="150">
        <f t="shared" si="62"/>
        <v>1.961036795305733</v>
      </c>
    </row>
    <row r="200" spans="10:45" x14ac:dyDescent="0.25">
      <c r="K200" s="164" t="s">
        <v>89</v>
      </c>
      <c r="L200" s="162">
        <f>'32 days'!$A69</f>
        <v>65</v>
      </c>
      <c r="M200" s="163">
        <f t="shared" si="188"/>
        <v>37</v>
      </c>
      <c r="N200" s="163" t="str">
        <f>INDEX(Map!$W$2:$W$67, MATCH('Raw data'!L200, Map!$V$2:$V$67,0))</f>
        <v>T3</v>
      </c>
      <c r="O200" s="165" t="str">
        <f>INDEX(Map!$X$2:$X$67, MATCH('Raw data'!L200, Map!$V$2:$V$67,0))</f>
        <v>R11</v>
      </c>
      <c r="P200" s="158">
        <f>('32 days'!$C69-'32 days'!$C$3)+('32 days'!$D69-'32 days'!$C$3)</f>
        <v>54.699999999999996</v>
      </c>
      <c r="Q200" s="154">
        <f t="shared" si="183"/>
        <v>1.4783783783783782</v>
      </c>
      <c r="R200" s="155">
        <f t="shared" si="184"/>
        <v>16.823684210526302</v>
      </c>
      <c r="S200" s="328">
        <f t="shared" si="194"/>
        <v>0.45469416785206218</v>
      </c>
      <c r="T200" s="336">
        <f>IF((IF(('32 days'!$E69-'32 days'!$E$3)&lt;0, 0, ('32 days'!$E69-'32 days'!$E$3)))+(IF(('32 days'!$F69-'32 days'!$F$3)&lt;0, 0, ('32 days'!$F69-'32 days'!$F$3)))+('32 days'!$H69*'32 days'!$G69)+('32 days'!$I69)&lt;0, 0, (IF(('32 days'!$E69-'32 days'!$E$3)&lt;0, 0, ('32 days'!$E69-'32 days'!$E$3)))+(IF(('32 days'!$F69-'32 days'!$F$3)&lt;0, 0, ('32 days'!$F69-'32 days'!$F$3)))+('32 days'!$H69*'32 days'!$G69)+('32 days'!$I69))</f>
        <v>8.35</v>
      </c>
      <c r="U200" s="158">
        <f t="shared" si="195"/>
        <v>52.664999999999999</v>
      </c>
      <c r="V200" s="154">
        <f t="shared" si="185"/>
        <v>1.4233783783783784</v>
      </c>
      <c r="W200" s="155">
        <f t="shared" ref="W200:W201" si="201">(U200+U134+U68)/(P200+AG200+AG134+AG68)</f>
        <v>1.7950517634672751</v>
      </c>
      <c r="X200" s="196">
        <f t="shared" si="198"/>
        <v>38</v>
      </c>
      <c r="Y200" s="213">
        <f t="shared" si="189"/>
        <v>37</v>
      </c>
      <c r="Z200" s="163">
        <f>'32 days'!J69</f>
        <v>1</v>
      </c>
      <c r="AA200" s="154">
        <f>'32 days'!K69</f>
        <v>1.89</v>
      </c>
      <c r="AB200" s="163">
        <f>'32 days'!L69</f>
        <v>0</v>
      </c>
      <c r="AC200" s="154">
        <f>'32 days'!M69</f>
        <v>0</v>
      </c>
      <c r="AD200" s="213">
        <f>'32 days'!N69</f>
        <v>0</v>
      </c>
      <c r="AE200" s="154">
        <f>'32 days'!O69</f>
        <v>0</v>
      </c>
      <c r="AF200" s="163">
        <f t="shared" si="190"/>
        <v>1</v>
      </c>
      <c r="AG200" s="160">
        <f t="shared" si="191"/>
        <v>1.89</v>
      </c>
      <c r="AI200" s="325" t="s">
        <v>117</v>
      </c>
      <c r="AJ200" s="162">
        <f t="shared" si="57"/>
        <v>65</v>
      </c>
      <c r="AK200" s="163" t="str">
        <f>INDEX(Map!$W$2:$W$67, MATCH('Raw data'!AJ200, Map!$V$2:$V$67,0))</f>
        <v>T3</v>
      </c>
      <c r="AL200" s="165" t="str">
        <f>INDEX(Map!$X$2:$X$67, MATCH('Raw data'!AJ200, Map!$V$2:$V$67,0))</f>
        <v>R11</v>
      </c>
      <c r="AM200" s="325">
        <f t="shared" si="128"/>
        <v>54.699999999999996</v>
      </c>
      <c r="AN200" s="160">
        <f t="shared" si="59"/>
        <v>1.4783783783783782</v>
      </c>
      <c r="AO200" s="148">
        <f t="shared" ref="AO200:AP200" si="202">R200+R134</f>
        <v>41.483684210526306</v>
      </c>
      <c r="AP200" s="150">
        <f t="shared" si="202"/>
        <v>1.1036415362731149</v>
      </c>
      <c r="AQ200" s="151">
        <f t="shared" ref="AQ200:AR200" si="203">U200+U134</f>
        <v>86</v>
      </c>
      <c r="AR200" s="149">
        <f t="shared" si="203"/>
        <v>2.3006152204836416</v>
      </c>
      <c r="AS200" s="150">
        <f t="shared" si="62"/>
        <v>1.9827690814221579</v>
      </c>
    </row>
    <row r="201" spans="10:45" ht="15.75" thickBot="1" x14ac:dyDescent="0.3">
      <c r="K201" s="183" t="s">
        <v>89</v>
      </c>
      <c r="L201" s="184">
        <f>'32 days'!$A70</f>
        <v>66</v>
      </c>
      <c r="M201" s="185">
        <f t="shared" si="188"/>
        <v>35</v>
      </c>
      <c r="N201" s="185" t="str">
        <f>INDEX(Map!$W$2:$W$67, MATCH('Raw data'!L201, Map!$V$2:$V$67,0))</f>
        <v>T1</v>
      </c>
      <c r="O201" s="186" t="str">
        <f>INDEX(Map!$X$2:$X$67, MATCH('Raw data'!L201, Map!$V$2:$V$67,0))</f>
        <v>R11</v>
      </c>
      <c r="P201" s="187">
        <f>('32 days'!$C70-'32 days'!$C$3)+('32 days'!$D70-'32 days'!$C$3)</f>
        <v>51.649999999999991</v>
      </c>
      <c r="Q201" s="188">
        <f t="shared" si="183"/>
        <v>1.4757142857142855</v>
      </c>
      <c r="R201" s="189">
        <f t="shared" si="184"/>
        <v>15.544736842105253</v>
      </c>
      <c r="S201" s="331">
        <f t="shared" si="194"/>
        <v>0.44413533834586438</v>
      </c>
      <c r="T201" s="339">
        <f>IF((IF(('32 days'!$E70-'32 days'!$E$3)&lt;0, 0, ('32 days'!$E70-'32 days'!$E$3)))+(IF(('32 days'!$F70-'32 days'!$F$3)&lt;0, 0, ('32 days'!$F70-'32 days'!$F$3)))+('32 days'!$H70*'32 days'!$G70)+('32 days'!$I70)&lt;0, 0, (IF(('32 days'!$E70-'32 days'!$E$3)&lt;0, 0, ('32 days'!$E70-'32 days'!$E$3)))+(IF(('32 days'!$F70-'32 days'!$F$3)&lt;0, 0, ('32 days'!$F70-'32 days'!$F$3)))+('32 days'!$H70*'32 days'!$G70)+('32 days'!$I70))</f>
        <v>10.35</v>
      </c>
      <c r="U201" s="187">
        <f t="shared" si="195"/>
        <v>51.914999999999999</v>
      </c>
      <c r="V201" s="188">
        <f t="shared" si="185"/>
        <v>1.4832857142857143</v>
      </c>
      <c r="W201" s="189">
        <f t="shared" si="201"/>
        <v>1.7970703822793856</v>
      </c>
      <c r="X201" s="197">
        <f t="shared" si="198"/>
        <v>38</v>
      </c>
      <c r="Y201" s="214">
        <f t="shared" si="189"/>
        <v>35</v>
      </c>
      <c r="Z201" s="168">
        <f>'32 days'!J70</f>
        <v>2</v>
      </c>
      <c r="AA201" s="157">
        <f>'32 days'!K70</f>
        <v>2.79</v>
      </c>
      <c r="AB201" s="168">
        <f>'32 days'!L70</f>
        <v>1</v>
      </c>
      <c r="AC201" s="157">
        <f>'32 days'!M70</f>
        <v>0.8</v>
      </c>
      <c r="AD201" s="214">
        <f>'32 days'!N70</f>
        <v>0</v>
      </c>
      <c r="AE201" s="157">
        <f>'32 days'!O70</f>
        <v>0</v>
      </c>
      <c r="AF201" s="168">
        <f t="shared" si="190"/>
        <v>3</v>
      </c>
      <c r="AG201" s="161">
        <f t="shared" si="191"/>
        <v>3.59</v>
      </c>
      <c r="AI201" s="326" t="s">
        <v>117</v>
      </c>
      <c r="AJ201" s="184">
        <f t="shared" ref="AJ201" si="204">L201</f>
        <v>66</v>
      </c>
      <c r="AK201" s="185" t="str">
        <f>INDEX(Map!$W$2:$W$67, MATCH('Raw data'!AJ201, Map!$V$2:$V$67,0))</f>
        <v>T1</v>
      </c>
      <c r="AL201" s="186" t="str">
        <f>INDEX(Map!$X$2:$X$67, MATCH('Raw data'!AJ201, Map!$V$2:$V$67,0))</f>
        <v>R11</v>
      </c>
      <c r="AM201" s="326">
        <f t="shared" si="128"/>
        <v>51.649999999999991</v>
      </c>
      <c r="AN201" s="190">
        <f>Q201</f>
        <v>1.4757142857142855</v>
      </c>
      <c r="AO201" s="191">
        <f t="shared" ref="AO201:AP201" si="205">R201+R135</f>
        <v>40.333967611336028</v>
      </c>
      <c r="AP201" s="192">
        <f t="shared" si="205"/>
        <v>1.0964835164835163</v>
      </c>
      <c r="AQ201" s="193">
        <f t="shared" ref="AQ201:AR201" si="206">U201+U135</f>
        <v>84.050000000000011</v>
      </c>
      <c r="AR201" s="194">
        <f t="shared" si="206"/>
        <v>2.3289436090225566</v>
      </c>
      <c r="AS201" s="192">
        <f t="shared" ref="AS201" si="207">AQ201/(AO201+AG201+AG135)</f>
        <v>1.8924226886351729</v>
      </c>
    </row>
    <row r="202" spans="10:45" x14ac:dyDescent="0.25">
      <c r="J202" s="1" t="str">
        <f>IF(M202=Y202,"OK","Verificar")</f>
        <v>OK</v>
      </c>
      <c r="K202" s="179" t="s">
        <v>90</v>
      </c>
      <c r="L202" s="180">
        <f>'39 days'!$A5</f>
        <v>1</v>
      </c>
      <c r="M202" s="181">
        <f>'39 days'!B5</f>
        <v>39</v>
      </c>
      <c r="N202" s="181" t="str">
        <f>INDEX(Map!$W$2:$W$67, MATCH('Raw data'!L202, Map!$V$2:$V$67,0))</f>
        <v>T6</v>
      </c>
      <c r="O202" s="182" t="str">
        <f>INDEX(Map!$X$2:$X$67, MATCH('Raw data'!L202, Map!$V$2:$V$67,0))</f>
        <v>R10</v>
      </c>
      <c r="P202" s="143">
        <f>('39 days'!$C5-'39 days'!$C$3)+('39 days'!$D5-'39 days'!$C$3)</f>
        <v>89.6</v>
      </c>
      <c r="Q202" s="145">
        <f t="shared" si="183"/>
        <v>2.2974358974358973</v>
      </c>
      <c r="R202" s="9">
        <f t="shared" si="184"/>
        <v>33.589999999999996</v>
      </c>
      <c r="S202" s="327">
        <f t="shared" si="194"/>
        <v>0.86128205128205115</v>
      </c>
      <c r="T202" s="335">
        <f t="array" ref="T202">IF((IF(('39 days'!$E5-'39 days'!$E$3)&lt;0, 0, ('39 days'!$E5-'39 days'!$E$3)))+(IF(('39 days'!$F5-'39 days'!$F$3)&lt;0, 0, ('39 days'!$F5-'39 days'!$F$3)))+('39 days'!$H5*'39 days'!$G5)+('39 days'!$I5)&lt;0, 0, (IF(('39 days'!$E5-'39 days'!$E$3)&lt;0, 0, ('39 days'!$E5-'39 days'!$E$3)))+(IF(('39 days'!$F5-'39 days'!$F$3)&lt;0, 0, ('39 days'!$F5-'39 days'!$F$3)))+('39 days'!$H5*'39 days'!$G5)+('39 days'!$I5))</f>
        <v>7.5</v>
      </c>
      <c r="U202" s="143">
        <f>I4-'Raw data'!T202</f>
        <v>55.5</v>
      </c>
      <c r="V202" s="145">
        <f t="shared" si="185"/>
        <v>1.4230769230769231</v>
      </c>
      <c r="W202" s="9">
        <f t="shared" ref="W202:W233" si="208">(U202+U136+U70+U4)/(P202+AG202+AG136+AG70+AG4)</f>
        <v>1.744622173193602</v>
      </c>
      <c r="X202" s="198">
        <f t="shared" si="198"/>
        <v>39</v>
      </c>
      <c r="Y202" s="212">
        <f t="shared" si="189"/>
        <v>39</v>
      </c>
      <c r="Z202" s="181">
        <f>'39 days'!J5</f>
        <v>0</v>
      </c>
      <c r="AA202" s="145">
        <f>'39 days'!K5</f>
        <v>0</v>
      </c>
      <c r="AB202" s="181">
        <f>'39 days'!L5</f>
        <v>0</v>
      </c>
      <c r="AC202" s="145">
        <f>'39 days'!M5</f>
        <v>0</v>
      </c>
      <c r="AD202" s="212">
        <f>'39 days'!N5</f>
        <v>0</v>
      </c>
      <c r="AE202" s="145">
        <f>'39 days'!O5</f>
        <v>0</v>
      </c>
      <c r="AF202" s="181">
        <f t="shared" si="190"/>
        <v>0</v>
      </c>
      <c r="AG202" s="10">
        <f t="shared" si="191"/>
        <v>0</v>
      </c>
      <c r="AI202" s="323" t="s">
        <v>118</v>
      </c>
      <c r="AJ202" s="180">
        <f>L202</f>
        <v>1</v>
      </c>
      <c r="AK202" s="181" t="str">
        <f>INDEX(Map!$W$2:$W$67, MATCH('Raw data'!AJ202, Map!$V$2:$V$67,0))</f>
        <v>T6</v>
      </c>
      <c r="AL202" s="182" t="str">
        <f>INDEX(Map!$X$2:$X$67, MATCH('Raw data'!AJ202, Map!$V$2:$V$67,0))</f>
        <v>R10</v>
      </c>
      <c r="AM202" s="323">
        <f t="shared" si="128"/>
        <v>89.6</v>
      </c>
      <c r="AN202" s="310">
        <f>Q202</f>
        <v>2.2974358974358973</v>
      </c>
      <c r="AO202" s="315">
        <f>R202</f>
        <v>33.589999999999996</v>
      </c>
      <c r="AP202" s="310">
        <f>S202</f>
        <v>0.86128205128205115</v>
      </c>
      <c r="AQ202" s="315">
        <f>U202</f>
        <v>55.5</v>
      </c>
      <c r="AR202" s="311">
        <f>V202</f>
        <v>1.4230769230769231</v>
      </c>
      <c r="AS202" s="310">
        <f>AQ202/(AO202+AG202)</f>
        <v>1.6522774635308128</v>
      </c>
    </row>
    <row r="203" spans="10:45" x14ac:dyDescent="0.25">
      <c r="J203" s="1" t="str">
        <f t="shared" ref="J203:J266" si="209">IF(M203=Y203,"OK","Verificar")</f>
        <v>OK</v>
      </c>
      <c r="K203" s="164" t="s">
        <v>90</v>
      </c>
      <c r="L203" s="162">
        <f>'39 days'!$A6</f>
        <v>2</v>
      </c>
      <c r="M203" s="163">
        <f>'39 days'!B6</f>
        <v>38</v>
      </c>
      <c r="N203" s="163" t="str">
        <f>INDEX(Map!$W$2:$W$67, MATCH('Raw data'!L203, Map!$V$2:$V$67,0))</f>
        <v>T2</v>
      </c>
      <c r="O203" s="165" t="str">
        <f>INDEX(Map!$X$2:$X$67, MATCH('Raw data'!L203, Map!$V$2:$V$67,0))</f>
        <v>R10</v>
      </c>
      <c r="P203" s="158">
        <f>('39 days'!$C6-'39 days'!$C$3)+('39 days'!$D6-'39 days'!$C$3)</f>
        <v>86.75</v>
      </c>
      <c r="Q203" s="154">
        <f t="shared" si="183"/>
        <v>2.2828947368421053</v>
      </c>
      <c r="R203" s="155">
        <f t="shared" si="184"/>
        <v>31.601282051282055</v>
      </c>
      <c r="S203" s="328">
        <f t="shared" si="194"/>
        <v>0.83161268556005408</v>
      </c>
      <c r="T203" s="336">
        <f>IF((IF(('39 days'!$E6-'39 days'!$E$3)&lt;0, 0, ('39 days'!$E6-'39 days'!$E$3)))+(IF(('39 days'!$F6-'39 days'!$F$3)&lt;0, 0, ('39 days'!$F6-'39 days'!$F$3)))+('39 days'!$H6*'39 days'!$G6)+('39 days'!$I6)&lt;0, 0, (IF(('39 days'!$E6-'39 days'!$E$3)&lt;0, 0, ('39 days'!$E6-'39 days'!$E$3)))+(IF(('39 days'!$F6-'39 days'!$F$3)&lt;0, 0, ('39 days'!$F6-'39 days'!$F$3)))+('39 days'!$H6*'39 days'!$G6)+('39 days'!$I6))</f>
        <v>8.3000000000000007</v>
      </c>
      <c r="U203" s="158">
        <f>I5-'Raw data'!T203</f>
        <v>54.7</v>
      </c>
      <c r="V203" s="154">
        <f t="shared" si="185"/>
        <v>1.4394736842105265</v>
      </c>
      <c r="W203" s="155">
        <f t="shared" si="208"/>
        <v>1.7615507878572065</v>
      </c>
      <c r="X203" s="196">
        <f t="shared" si="198"/>
        <v>39</v>
      </c>
      <c r="Y203" s="213">
        <f t="shared" si="189"/>
        <v>38</v>
      </c>
      <c r="Z203" s="163">
        <f>'39 days'!J6</f>
        <v>1</v>
      </c>
      <c r="AA203" s="154">
        <f>'39 days'!K6</f>
        <v>2.1139999999999999</v>
      </c>
      <c r="AB203" s="163">
        <f>'39 days'!L6</f>
        <v>0</v>
      </c>
      <c r="AC203" s="154">
        <f>'39 days'!M6</f>
        <v>0</v>
      </c>
      <c r="AD203" s="213">
        <f>'39 days'!N6</f>
        <v>0</v>
      </c>
      <c r="AE203" s="154">
        <f>'39 days'!O6</f>
        <v>0</v>
      </c>
      <c r="AF203" s="163">
        <f t="shared" si="190"/>
        <v>1</v>
      </c>
      <c r="AG203" s="160">
        <f t="shared" si="191"/>
        <v>2.1139999999999999</v>
      </c>
      <c r="AI203" s="319" t="s">
        <v>118</v>
      </c>
      <c r="AJ203" s="162">
        <f t="shared" ref="AJ203:AJ266" si="210">L203</f>
        <v>2</v>
      </c>
      <c r="AK203" s="163" t="str">
        <f>INDEX(Map!$W$2:$W$67, MATCH('Raw data'!AJ203, Map!$V$2:$V$67,0))</f>
        <v>T2</v>
      </c>
      <c r="AL203" s="165" t="str">
        <f>INDEX(Map!$X$2:$X$67, MATCH('Raw data'!AJ203, Map!$V$2:$V$67,0))</f>
        <v>R10</v>
      </c>
      <c r="AM203" s="319">
        <f t="shared" ref="AM203:AM266" si="211">P203</f>
        <v>86.75</v>
      </c>
      <c r="AN203" s="150">
        <f t="shared" ref="AN203:AN266" si="212">Q203</f>
        <v>2.2828947368421053</v>
      </c>
      <c r="AO203" s="151">
        <f t="shared" ref="AO203:AO266" si="213">R203</f>
        <v>31.601282051282055</v>
      </c>
      <c r="AP203" s="150">
        <f t="shared" ref="AP203:AP266" si="214">S203</f>
        <v>0.83161268556005408</v>
      </c>
      <c r="AQ203" s="151">
        <f t="shared" ref="AQ203:AQ266" si="215">U203</f>
        <v>54.7</v>
      </c>
      <c r="AR203" s="149">
        <f t="shared" ref="AR203:AR266" si="216">V203</f>
        <v>1.4394736842105265</v>
      </c>
      <c r="AS203" s="150">
        <f t="shared" ref="AS203:AS266" si="217">AQ203/(AO203+AG203)</f>
        <v>1.6224096810698336</v>
      </c>
    </row>
    <row r="204" spans="10:45" x14ac:dyDescent="0.25">
      <c r="J204" s="1" t="str">
        <f t="shared" si="209"/>
        <v>OK</v>
      </c>
      <c r="K204" s="164" t="s">
        <v>90</v>
      </c>
      <c r="L204" s="162">
        <f>'39 days'!$A7</f>
        <v>3</v>
      </c>
      <c r="M204" s="163">
        <f>'39 days'!B7</f>
        <v>35</v>
      </c>
      <c r="N204" s="163" t="str">
        <f>INDEX(Map!$W$2:$W$67, MATCH('Raw data'!L204, Map!$V$2:$V$67,0))</f>
        <v>T5</v>
      </c>
      <c r="O204" s="165" t="str">
        <f>INDEX(Map!$X$2:$X$67, MATCH('Raw data'!L204, Map!$V$2:$V$67,0))</f>
        <v>R1</v>
      </c>
      <c r="P204" s="158">
        <f>('39 days'!$C7-'39 days'!$C$3)+('39 days'!$D7-'39 days'!$C$3)</f>
        <v>79.849999999999994</v>
      </c>
      <c r="Q204" s="154">
        <f t="shared" si="183"/>
        <v>2.2814285714285711</v>
      </c>
      <c r="R204" s="155">
        <f t="shared" si="184"/>
        <v>29.731944444444434</v>
      </c>
      <c r="S204" s="328">
        <f t="shared" si="194"/>
        <v>0.84948412698412668</v>
      </c>
      <c r="T204" s="336">
        <f>IF((IF(('39 days'!$E7-'39 days'!$E$3)&lt;0, 0, ('39 days'!$E7-'39 days'!$E$3)))+(IF(('39 days'!$F7-'39 days'!$F$3)&lt;0, 0, ('39 days'!$F7-'39 days'!$F$3)))+('39 days'!$H7*'39 days'!$G7)+('39 days'!$I7)&lt;0, 0, (IF(('39 days'!$E7-'39 days'!$E$3)&lt;0, 0, ('39 days'!$E7-'39 days'!$E$3)))+(IF(('39 days'!$F7-'39 days'!$F$3)&lt;0, 0, ('39 days'!$F7-'39 days'!$F$3)))+('39 days'!$H7*'39 days'!$G7)+('39 days'!$I7))</f>
        <v>12.35</v>
      </c>
      <c r="U204" s="158">
        <f>I6-'Raw data'!T204</f>
        <v>50.65</v>
      </c>
      <c r="V204" s="154">
        <f t="shared" si="185"/>
        <v>1.4471428571428571</v>
      </c>
      <c r="W204" s="155">
        <f t="shared" si="208"/>
        <v>1.7686928198495953</v>
      </c>
      <c r="X204" s="196">
        <f t="shared" si="198"/>
        <v>36</v>
      </c>
      <c r="Y204" s="213">
        <f t="shared" si="189"/>
        <v>35</v>
      </c>
      <c r="Z204" s="163">
        <f>'39 days'!J7</f>
        <v>1</v>
      </c>
      <c r="AA204" s="154">
        <f>'39 days'!K7</f>
        <v>2.3010000000000002</v>
      </c>
      <c r="AB204" s="163">
        <f>'39 days'!L7</f>
        <v>0</v>
      </c>
      <c r="AC204" s="154">
        <f>'39 days'!M7</f>
        <v>0</v>
      </c>
      <c r="AD204" s="213">
        <f>'39 days'!N7</f>
        <v>0</v>
      </c>
      <c r="AE204" s="154">
        <f>'39 days'!O7</f>
        <v>0</v>
      </c>
      <c r="AF204" s="163">
        <f t="shared" si="190"/>
        <v>1</v>
      </c>
      <c r="AG204" s="160">
        <f t="shared" si="191"/>
        <v>2.3010000000000002</v>
      </c>
      <c r="AI204" s="319" t="s">
        <v>118</v>
      </c>
      <c r="AJ204" s="162">
        <f t="shared" si="210"/>
        <v>3</v>
      </c>
      <c r="AK204" s="163" t="str">
        <f>INDEX(Map!$W$2:$W$67, MATCH('Raw data'!AJ204, Map!$V$2:$V$67,0))</f>
        <v>T5</v>
      </c>
      <c r="AL204" s="165" t="str">
        <f>INDEX(Map!$X$2:$X$67, MATCH('Raw data'!AJ204, Map!$V$2:$V$67,0))</f>
        <v>R1</v>
      </c>
      <c r="AM204" s="319">
        <f t="shared" si="211"/>
        <v>79.849999999999994</v>
      </c>
      <c r="AN204" s="150">
        <f t="shared" si="212"/>
        <v>2.2814285714285711</v>
      </c>
      <c r="AO204" s="151">
        <f t="shared" si="213"/>
        <v>29.731944444444434</v>
      </c>
      <c r="AP204" s="150">
        <f t="shared" si="214"/>
        <v>0.84948412698412668</v>
      </c>
      <c r="AQ204" s="151">
        <f t="shared" si="215"/>
        <v>50.65</v>
      </c>
      <c r="AR204" s="149">
        <f t="shared" si="216"/>
        <v>1.4471428571428571</v>
      </c>
      <c r="AS204" s="150">
        <f t="shared" si="217"/>
        <v>1.5811846484435301</v>
      </c>
    </row>
    <row r="205" spans="10:45" x14ac:dyDescent="0.25">
      <c r="J205" s="1" t="str">
        <f t="shared" si="209"/>
        <v>OK</v>
      </c>
      <c r="K205" s="164" t="s">
        <v>90</v>
      </c>
      <c r="L205" s="162">
        <f>'39 days'!$A8</f>
        <v>4</v>
      </c>
      <c r="M205" s="163">
        <f>'39 days'!B8</f>
        <v>37</v>
      </c>
      <c r="N205" s="163" t="str">
        <f>INDEX(Map!$W$2:$W$67, MATCH('Raw data'!L205, Map!$V$2:$V$67,0))</f>
        <v>T3</v>
      </c>
      <c r="O205" s="165" t="str">
        <f>INDEX(Map!$X$2:$X$67, MATCH('Raw data'!L205, Map!$V$2:$V$67,0))</f>
        <v>R1</v>
      </c>
      <c r="P205" s="158">
        <f>('39 days'!$C8-'39 days'!$C$3)+('39 days'!$D8-'39 days'!$C$3)</f>
        <v>88.550000000000011</v>
      </c>
      <c r="Q205" s="154">
        <f t="shared" si="183"/>
        <v>2.3932432432432433</v>
      </c>
      <c r="R205" s="155">
        <f t="shared" si="184"/>
        <v>32.196153846153855</v>
      </c>
      <c r="S205" s="328">
        <f t="shared" si="194"/>
        <v>0.87016632016632034</v>
      </c>
      <c r="T205" s="336">
        <f>IF((IF(('39 days'!$E8-'39 days'!$E$3)&lt;0, 0, ('39 days'!$E8-'39 days'!$E$3)))+(IF(('39 days'!$F8-'39 days'!$F$3)&lt;0, 0, ('39 days'!$F8-'39 days'!$F$3)))+('39 days'!$H8*'39 days'!$G8)+('39 days'!$I8)&lt;0, 0, (IF(('39 days'!$E8-'39 days'!$E$3)&lt;0, 0, ('39 days'!$E8-'39 days'!$E$3)))+(IF(('39 days'!$F8-'39 days'!$F$3)&lt;0, 0, ('39 days'!$F8-'39 days'!$F$3)))+('39 days'!$H8*'39 days'!$G8)+('39 days'!$I8))</f>
        <v>8.1</v>
      </c>
      <c r="U205" s="158">
        <f>I7-'Raw data'!T205</f>
        <v>54.9</v>
      </c>
      <c r="V205" s="154">
        <f t="shared" si="185"/>
        <v>1.4837837837837837</v>
      </c>
      <c r="W205" s="155">
        <f t="shared" si="208"/>
        <v>1.7287935656836457</v>
      </c>
      <c r="X205" s="196">
        <f t="shared" si="198"/>
        <v>39</v>
      </c>
      <c r="Y205" s="213">
        <f t="shared" si="189"/>
        <v>37</v>
      </c>
      <c r="Z205" s="163">
        <f>'39 days'!J8</f>
        <v>2</v>
      </c>
      <c r="AA205" s="154">
        <f>'39 days'!K8</f>
        <v>4.4000000000000004</v>
      </c>
      <c r="AB205" s="163">
        <f>'39 days'!L8</f>
        <v>0</v>
      </c>
      <c r="AC205" s="154">
        <f>'39 days'!M8</f>
        <v>0</v>
      </c>
      <c r="AD205" s="213">
        <f>'39 days'!N8</f>
        <v>0</v>
      </c>
      <c r="AE205" s="154">
        <f>'39 days'!O8</f>
        <v>0</v>
      </c>
      <c r="AF205" s="163">
        <f t="shared" si="190"/>
        <v>2</v>
      </c>
      <c r="AG205" s="160">
        <f t="shared" si="191"/>
        <v>4.4000000000000004</v>
      </c>
      <c r="AI205" s="319" t="s">
        <v>118</v>
      </c>
      <c r="AJ205" s="162">
        <f t="shared" si="210"/>
        <v>4</v>
      </c>
      <c r="AK205" s="163" t="str">
        <f>INDEX(Map!$W$2:$W$67, MATCH('Raw data'!AJ205, Map!$V$2:$V$67,0))</f>
        <v>T3</v>
      </c>
      <c r="AL205" s="165" t="str">
        <f>INDEX(Map!$X$2:$X$67, MATCH('Raw data'!AJ205, Map!$V$2:$V$67,0))</f>
        <v>R1</v>
      </c>
      <c r="AM205" s="319">
        <f t="shared" si="211"/>
        <v>88.550000000000011</v>
      </c>
      <c r="AN205" s="150">
        <f t="shared" si="212"/>
        <v>2.3932432432432433</v>
      </c>
      <c r="AO205" s="151">
        <f t="shared" si="213"/>
        <v>32.196153846153855</v>
      </c>
      <c r="AP205" s="150">
        <f t="shared" si="214"/>
        <v>0.87016632016632034</v>
      </c>
      <c r="AQ205" s="151">
        <f t="shared" si="215"/>
        <v>54.9</v>
      </c>
      <c r="AR205" s="149">
        <f t="shared" si="216"/>
        <v>1.4837837837837837</v>
      </c>
      <c r="AS205" s="150">
        <f t="shared" si="217"/>
        <v>1.5001576458223853</v>
      </c>
    </row>
    <row r="206" spans="10:45" x14ac:dyDescent="0.25">
      <c r="J206" s="1" t="str">
        <f t="shared" si="209"/>
        <v>OK</v>
      </c>
      <c r="K206" s="164" t="s">
        <v>90</v>
      </c>
      <c r="L206" s="162">
        <f>'39 days'!$A9</f>
        <v>5</v>
      </c>
      <c r="M206" s="163">
        <f>'39 days'!B9</f>
        <v>39</v>
      </c>
      <c r="N206" s="163" t="str">
        <f>INDEX(Map!$W$2:$W$67, MATCH('Raw data'!L206, Map!$V$2:$V$67,0))</f>
        <v>T6</v>
      </c>
      <c r="O206" s="165" t="str">
        <f>INDEX(Map!$X$2:$X$67, MATCH('Raw data'!L206, Map!$V$2:$V$67,0))</f>
        <v>R1</v>
      </c>
      <c r="P206" s="158">
        <f>('39 days'!$C9-'39 days'!$C$3)+('39 days'!$D9-'39 days'!$C$3)</f>
        <v>92.15</v>
      </c>
      <c r="Q206" s="154">
        <f t="shared" si="183"/>
        <v>2.3628205128205129</v>
      </c>
      <c r="R206" s="155">
        <f t="shared" si="184"/>
        <v>34.750000000000007</v>
      </c>
      <c r="S206" s="328">
        <f t="shared" si="194"/>
        <v>0.89102564102564119</v>
      </c>
      <c r="T206" s="336">
        <f>IF((IF(('39 days'!$E9-'39 days'!$E$3)&lt;0, 0, ('39 days'!$E9-'39 days'!$E$3)))+(IF(('39 days'!$F9-'39 days'!$F$3)&lt;0, 0, ('39 days'!$F9-'39 days'!$F$3)))+('39 days'!$H9*'39 days'!$G9)+('39 days'!$I9)&lt;0, 0, (IF(('39 days'!$E9-'39 days'!$E$3)&lt;0, 0, ('39 days'!$E9-'39 days'!$E$3)))+(IF(('39 days'!$F9-'39 days'!$F$3)&lt;0, 0, ('39 days'!$F9-'39 days'!$F$3)))+('39 days'!$H9*'39 days'!$G9)+('39 days'!$I9))</f>
        <v>5.8000000000000007</v>
      </c>
      <c r="U206" s="158">
        <f>I8-'Raw data'!T206</f>
        <v>57.2</v>
      </c>
      <c r="V206" s="154">
        <f t="shared" si="185"/>
        <v>1.4666666666666668</v>
      </c>
      <c r="W206" s="155">
        <f t="shared" si="208"/>
        <v>1.7351206434316353</v>
      </c>
      <c r="X206" s="196">
        <f t="shared" si="198"/>
        <v>39</v>
      </c>
      <c r="Y206" s="213">
        <f t="shared" si="189"/>
        <v>39</v>
      </c>
      <c r="Z206" s="163">
        <f>'39 days'!J9</f>
        <v>0</v>
      </c>
      <c r="AA206" s="154">
        <f>'39 days'!K9</f>
        <v>0</v>
      </c>
      <c r="AB206" s="163">
        <f>'39 days'!L9</f>
        <v>0</v>
      </c>
      <c r="AC206" s="154">
        <f>'39 days'!M9</f>
        <v>0</v>
      </c>
      <c r="AD206" s="213">
        <f>'39 days'!N9</f>
        <v>0</v>
      </c>
      <c r="AE206" s="154">
        <f>'39 days'!O9</f>
        <v>0</v>
      </c>
      <c r="AF206" s="163">
        <f t="shared" si="190"/>
        <v>0</v>
      </c>
      <c r="AG206" s="160">
        <f t="shared" si="191"/>
        <v>0</v>
      </c>
      <c r="AI206" s="319" t="s">
        <v>118</v>
      </c>
      <c r="AJ206" s="162">
        <f t="shared" si="210"/>
        <v>5</v>
      </c>
      <c r="AK206" s="163" t="str">
        <f>INDEX(Map!$W$2:$W$67, MATCH('Raw data'!AJ206, Map!$V$2:$V$67,0))</f>
        <v>T6</v>
      </c>
      <c r="AL206" s="165" t="str">
        <f>INDEX(Map!$X$2:$X$67, MATCH('Raw data'!AJ206, Map!$V$2:$V$67,0))</f>
        <v>R1</v>
      </c>
      <c r="AM206" s="319">
        <f t="shared" si="211"/>
        <v>92.15</v>
      </c>
      <c r="AN206" s="150">
        <f t="shared" si="212"/>
        <v>2.3628205128205129</v>
      </c>
      <c r="AO206" s="151">
        <f t="shared" si="213"/>
        <v>34.750000000000007</v>
      </c>
      <c r="AP206" s="150">
        <f t="shared" si="214"/>
        <v>0.89102564102564119</v>
      </c>
      <c r="AQ206" s="151">
        <f t="shared" si="215"/>
        <v>57.2</v>
      </c>
      <c r="AR206" s="149">
        <f t="shared" si="216"/>
        <v>1.4666666666666668</v>
      </c>
      <c r="AS206" s="150">
        <f t="shared" si="217"/>
        <v>1.6460431654676257</v>
      </c>
    </row>
    <row r="207" spans="10:45" x14ac:dyDescent="0.25">
      <c r="J207" s="1" t="str">
        <f t="shared" si="209"/>
        <v>OK</v>
      </c>
      <c r="K207" s="164" t="s">
        <v>90</v>
      </c>
      <c r="L207" s="162">
        <f>'39 days'!$A10</f>
        <v>6</v>
      </c>
      <c r="M207" s="163">
        <f>'39 days'!B10</f>
        <v>36</v>
      </c>
      <c r="N207" s="163" t="str">
        <f>INDEX(Map!$W$2:$W$67, MATCH('Raw data'!L207, Map!$V$2:$V$67,0))</f>
        <v>T4</v>
      </c>
      <c r="O207" s="165" t="str">
        <f>INDEX(Map!$X$2:$X$67, MATCH('Raw data'!L207, Map!$V$2:$V$67,0))</f>
        <v>R1</v>
      </c>
      <c r="P207" s="158">
        <f>('39 days'!$C10-'39 days'!$C$3)+('39 days'!$D10-'39 days'!$C$3)</f>
        <v>78.349999999999994</v>
      </c>
      <c r="Q207" s="154">
        <f t="shared" si="183"/>
        <v>2.1763888888888889</v>
      </c>
      <c r="R207" s="155">
        <f t="shared" si="184"/>
        <v>28.900000000000009</v>
      </c>
      <c r="S207" s="328">
        <f t="shared" si="194"/>
        <v>0.80277777777777803</v>
      </c>
      <c r="T207" s="336">
        <f>IF((IF(('39 days'!$E10-'39 days'!$E$3)&lt;0, 0, ('39 days'!$E10-'39 days'!$E$3)))+(IF(('39 days'!$F10-'39 days'!$F$3)&lt;0, 0, ('39 days'!$F10-'39 days'!$F$3)))+('39 days'!$H10*'39 days'!$G10)+('39 days'!$I10)&lt;0, 0, (IF(('39 days'!$E10-'39 days'!$E$3)&lt;0, 0, ('39 days'!$E10-'39 days'!$E$3)))+(IF(('39 days'!$F10-'39 days'!$F$3)&lt;0, 0, ('39 days'!$F10-'39 days'!$F$3)))+('39 days'!$H10*'39 days'!$G10)+('39 days'!$I10))</f>
        <v>13.8</v>
      </c>
      <c r="U207" s="158">
        <f>I9-'Raw data'!T207</f>
        <v>49.2</v>
      </c>
      <c r="V207" s="154">
        <f t="shared" si="185"/>
        <v>1.3666666666666667</v>
      </c>
      <c r="W207" s="155">
        <f t="shared" si="208"/>
        <v>1.7973734975515658</v>
      </c>
      <c r="X207" s="196">
        <f t="shared" si="198"/>
        <v>36</v>
      </c>
      <c r="Y207" s="213">
        <f t="shared" si="189"/>
        <v>36</v>
      </c>
      <c r="Z207" s="163">
        <f>'39 days'!J10</f>
        <v>0</v>
      </c>
      <c r="AA207" s="154">
        <f>'39 days'!K10</f>
        <v>0</v>
      </c>
      <c r="AB207" s="163">
        <f>'39 days'!L10</f>
        <v>0</v>
      </c>
      <c r="AC207" s="154">
        <f>'39 days'!M10</f>
        <v>0</v>
      </c>
      <c r="AD207" s="213">
        <f>'39 days'!N10</f>
        <v>0</v>
      </c>
      <c r="AE207" s="154">
        <f>'39 days'!O10</f>
        <v>0</v>
      </c>
      <c r="AF207" s="163">
        <f t="shared" si="190"/>
        <v>0</v>
      </c>
      <c r="AG207" s="160">
        <f t="shared" si="191"/>
        <v>0</v>
      </c>
      <c r="AI207" s="319" t="s">
        <v>118</v>
      </c>
      <c r="AJ207" s="162">
        <f t="shared" si="210"/>
        <v>6</v>
      </c>
      <c r="AK207" s="163" t="str">
        <f>INDEX(Map!$W$2:$W$67, MATCH('Raw data'!AJ207, Map!$V$2:$V$67,0))</f>
        <v>T4</v>
      </c>
      <c r="AL207" s="165" t="str">
        <f>INDEX(Map!$X$2:$X$67, MATCH('Raw data'!AJ207, Map!$V$2:$V$67,0))</f>
        <v>R1</v>
      </c>
      <c r="AM207" s="319">
        <f t="shared" si="211"/>
        <v>78.349999999999994</v>
      </c>
      <c r="AN207" s="150">
        <f t="shared" si="212"/>
        <v>2.1763888888888889</v>
      </c>
      <c r="AO207" s="151">
        <f t="shared" si="213"/>
        <v>28.900000000000009</v>
      </c>
      <c r="AP207" s="150">
        <f t="shared" si="214"/>
        <v>0.80277777777777803</v>
      </c>
      <c r="AQ207" s="151">
        <f t="shared" si="215"/>
        <v>49.2</v>
      </c>
      <c r="AR207" s="149">
        <f t="shared" si="216"/>
        <v>1.3666666666666667</v>
      </c>
      <c r="AS207" s="150">
        <f t="shared" si="217"/>
        <v>1.7024221453287194</v>
      </c>
    </row>
    <row r="208" spans="10:45" x14ac:dyDescent="0.25">
      <c r="J208" s="1" t="str">
        <f t="shared" si="209"/>
        <v>OK</v>
      </c>
      <c r="K208" s="164" t="s">
        <v>90</v>
      </c>
      <c r="L208" s="162">
        <f>'39 days'!$A11</f>
        <v>7</v>
      </c>
      <c r="M208" s="163">
        <f>'39 days'!B11</f>
        <v>38</v>
      </c>
      <c r="N208" s="163" t="str">
        <f>INDEX(Map!$W$2:$W$67, MATCH('Raw data'!L208, Map!$V$2:$V$67,0))</f>
        <v>T2</v>
      </c>
      <c r="O208" s="165" t="str">
        <f>INDEX(Map!$X$2:$X$67, MATCH('Raw data'!L208, Map!$V$2:$V$67,0))</f>
        <v>R1</v>
      </c>
      <c r="P208" s="158">
        <f>('39 days'!$C11-'39 days'!$C$3)+('39 days'!$D11-'39 days'!$C$3)</f>
        <v>87.9</v>
      </c>
      <c r="Q208" s="154">
        <f t="shared" si="183"/>
        <v>2.3131578947368423</v>
      </c>
      <c r="R208" s="155">
        <f t="shared" si="184"/>
        <v>29.850000000000005</v>
      </c>
      <c r="S208" s="328">
        <f t="shared" si="194"/>
        <v>0.78552631578947385</v>
      </c>
      <c r="T208" s="336">
        <f>IF((IF(('39 days'!$E11-'39 days'!$E$3)&lt;0, 0, ('39 days'!$E11-'39 days'!$E$3)))+(IF(('39 days'!$F11-'39 days'!$F$3)&lt;0, 0, ('39 days'!$F11-'39 days'!$F$3)))+('39 days'!$H11*'39 days'!$G11)+('39 days'!$I11)&lt;0, 0, (IF(('39 days'!$E11-'39 days'!$E$3)&lt;0, 0, ('39 days'!$E11-'39 days'!$E$3)))+(IF(('39 days'!$F11-'39 days'!$F$3)&lt;0, 0, ('39 days'!$F11-'39 days'!$F$3)))+('39 days'!$H11*'39 days'!$G11)+('39 days'!$I11))</f>
        <v>10.8</v>
      </c>
      <c r="U208" s="158">
        <f>I10-'Raw data'!T208</f>
        <v>52.2</v>
      </c>
      <c r="V208" s="154">
        <f t="shared" si="185"/>
        <v>1.3736842105263158</v>
      </c>
      <c r="W208" s="155">
        <f t="shared" si="208"/>
        <v>1.7525529978767145</v>
      </c>
      <c r="X208" s="196">
        <f t="shared" si="198"/>
        <v>38</v>
      </c>
      <c r="Y208" s="213">
        <f t="shared" si="189"/>
        <v>38</v>
      </c>
      <c r="Z208" s="163">
        <f>'39 days'!J11</f>
        <v>0</v>
      </c>
      <c r="AA208" s="154">
        <f>'39 days'!K11</f>
        <v>0</v>
      </c>
      <c r="AB208" s="163">
        <f>'39 days'!L11</f>
        <v>0</v>
      </c>
      <c r="AC208" s="154">
        <f>'39 days'!M11</f>
        <v>0</v>
      </c>
      <c r="AD208" s="213">
        <f>'39 days'!N11</f>
        <v>0</v>
      </c>
      <c r="AE208" s="154">
        <f>'39 days'!O11</f>
        <v>0</v>
      </c>
      <c r="AF208" s="163">
        <f t="shared" si="190"/>
        <v>0</v>
      </c>
      <c r="AG208" s="160">
        <f t="shared" si="191"/>
        <v>0</v>
      </c>
      <c r="AI208" s="319" t="s">
        <v>118</v>
      </c>
      <c r="AJ208" s="162">
        <f t="shared" si="210"/>
        <v>7</v>
      </c>
      <c r="AK208" s="163" t="str">
        <f>INDEX(Map!$W$2:$W$67, MATCH('Raw data'!AJ208, Map!$V$2:$V$67,0))</f>
        <v>T2</v>
      </c>
      <c r="AL208" s="165" t="str">
        <f>INDEX(Map!$X$2:$X$67, MATCH('Raw data'!AJ208, Map!$V$2:$V$67,0))</f>
        <v>R1</v>
      </c>
      <c r="AM208" s="319">
        <f t="shared" si="211"/>
        <v>87.9</v>
      </c>
      <c r="AN208" s="150">
        <f t="shared" si="212"/>
        <v>2.3131578947368423</v>
      </c>
      <c r="AO208" s="151">
        <f t="shared" si="213"/>
        <v>29.850000000000005</v>
      </c>
      <c r="AP208" s="150">
        <f t="shared" si="214"/>
        <v>0.78552631578947385</v>
      </c>
      <c r="AQ208" s="151">
        <f t="shared" si="215"/>
        <v>52.2</v>
      </c>
      <c r="AR208" s="149">
        <f t="shared" si="216"/>
        <v>1.3736842105263158</v>
      </c>
      <c r="AS208" s="150">
        <f t="shared" si="217"/>
        <v>1.7487437185929646</v>
      </c>
    </row>
    <row r="209" spans="10:45" x14ac:dyDescent="0.25">
      <c r="J209" s="1" t="str">
        <f t="shared" si="209"/>
        <v>OK</v>
      </c>
      <c r="K209" s="164" t="s">
        <v>90</v>
      </c>
      <c r="L209" s="162">
        <f>'39 days'!$A12</f>
        <v>8</v>
      </c>
      <c r="M209" s="163">
        <f>'39 days'!B12</f>
        <v>36</v>
      </c>
      <c r="N209" s="163" t="str">
        <f>INDEX(Map!$W$2:$W$67, MATCH('Raw data'!L209, Map!$V$2:$V$67,0))</f>
        <v>T1</v>
      </c>
      <c r="O209" s="165" t="str">
        <f>INDEX(Map!$X$2:$X$67, MATCH('Raw data'!L209, Map!$V$2:$V$67,0))</f>
        <v>R1</v>
      </c>
      <c r="P209" s="158">
        <f>('39 days'!$C12-'39 days'!$C$3)+('39 days'!$D12-'39 days'!$C$3)</f>
        <v>80.849999999999994</v>
      </c>
      <c r="Q209" s="154">
        <f t="shared" si="183"/>
        <v>2.2458333333333331</v>
      </c>
      <c r="R209" s="155">
        <f t="shared" si="184"/>
        <v>29.64473684210526</v>
      </c>
      <c r="S209" s="328">
        <f t="shared" si="194"/>
        <v>0.82346491228070162</v>
      </c>
      <c r="T209" s="336">
        <f>IF((IF(('39 days'!$E12-'39 days'!$E$3)&lt;0, 0, ('39 days'!$E12-'39 days'!$E$3)))+(IF(('39 days'!$F12-'39 days'!$F$3)&lt;0, 0, ('39 days'!$F12-'39 days'!$F$3)))+('39 days'!$H12*'39 days'!$G12)+('39 days'!$I12)&lt;0, 0, (IF(('39 days'!$E12-'39 days'!$E$3)&lt;0, 0, ('39 days'!$E12-'39 days'!$E$3)))+(IF(('39 days'!$F12-'39 days'!$F$3)&lt;0, 0, ('39 days'!$F12-'39 days'!$F$3)))+('39 days'!$H12*'39 days'!$G12)+('39 days'!$I12))</f>
        <v>10.450000000000001</v>
      </c>
      <c r="U209" s="158">
        <f>I11-'Raw data'!T209</f>
        <v>52.55</v>
      </c>
      <c r="V209" s="154">
        <f t="shared" si="185"/>
        <v>1.4597222222222221</v>
      </c>
      <c r="W209" s="155">
        <f t="shared" si="208"/>
        <v>1.7726331945768705</v>
      </c>
      <c r="X209" s="196">
        <f t="shared" si="198"/>
        <v>38</v>
      </c>
      <c r="Y209" s="213">
        <f t="shared" si="189"/>
        <v>36</v>
      </c>
      <c r="Z209" s="163">
        <f>'39 days'!J12</f>
        <v>2</v>
      </c>
      <c r="AA209" s="154">
        <f>'39 days'!K12</f>
        <v>4.2329999999999997</v>
      </c>
      <c r="AB209" s="163">
        <f>'39 days'!L12</f>
        <v>0</v>
      </c>
      <c r="AC209" s="154">
        <f>'39 days'!M12</f>
        <v>0</v>
      </c>
      <c r="AD209" s="213">
        <f>'39 days'!N12</f>
        <v>0</v>
      </c>
      <c r="AE209" s="154">
        <f>'39 days'!O12</f>
        <v>0</v>
      </c>
      <c r="AF209" s="163">
        <f t="shared" si="190"/>
        <v>2</v>
      </c>
      <c r="AG209" s="160">
        <f t="shared" si="191"/>
        <v>4.2329999999999997</v>
      </c>
      <c r="AI209" s="319" t="s">
        <v>118</v>
      </c>
      <c r="AJ209" s="162">
        <f t="shared" si="210"/>
        <v>8</v>
      </c>
      <c r="AK209" s="163" t="str">
        <f>INDEX(Map!$W$2:$W$67, MATCH('Raw data'!AJ209, Map!$V$2:$V$67,0))</f>
        <v>T1</v>
      </c>
      <c r="AL209" s="165" t="str">
        <f>INDEX(Map!$X$2:$X$67, MATCH('Raw data'!AJ209, Map!$V$2:$V$67,0))</f>
        <v>R1</v>
      </c>
      <c r="AM209" s="319">
        <f t="shared" si="211"/>
        <v>80.849999999999994</v>
      </c>
      <c r="AN209" s="150">
        <f t="shared" si="212"/>
        <v>2.2458333333333331</v>
      </c>
      <c r="AO209" s="151">
        <f t="shared" si="213"/>
        <v>29.64473684210526</v>
      </c>
      <c r="AP209" s="150">
        <f t="shared" si="214"/>
        <v>0.82346491228070162</v>
      </c>
      <c r="AQ209" s="151">
        <f t="shared" si="215"/>
        <v>52.55</v>
      </c>
      <c r="AR209" s="149">
        <f t="shared" si="216"/>
        <v>1.4597222222222221</v>
      </c>
      <c r="AS209" s="150">
        <f t="shared" si="217"/>
        <v>1.5511661904961651</v>
      </c>
    </row>
    <row r="210" spans="10:45" x14ac:dyDescent="0.25">
      <c r="J210" s="1" t="str">
        <f>IF(M210=Y210,"OK","Verificar")</f>
        <v>Verificar</v>
      </c>
      <c r="K210" s="164" t="s">
        <v>90</v>
      </c>
      <c r="L210" s="162">
        <f>'39 days'!$A13</f>
        <v>9</v>
      </c>
      <c r="M210" s="163">
        <f>'39 days'!B13</f>
        <v>40</v>
      </c>
      <c r="N210" s="163" t="str">
        <f>INDEX(Map!$W$2:$W$67, MATCH('Raw data'!L210, Map!$V$2:$V$67,0))</f>
        <v>T4</v>
      </c>
      <c r="O210" s="165" t="str">
        <f>INDEX(Map!$X$2:$X$67, MATCH('Raw data'!L210, Map!$V$2:$V$67,0))</f>
        <v>R2</v>
      </c>
      <c r="P210" s="158">
        <f>('39 days'!$C13-'39 days'!$C$3)+('39 days'!$D13-'39 days'!$C$3)</f>
        <v>83.35</v>
      </c>
      <c r="Q210" s="154">
        <f t="shared" si="183"/>
        <v>2.0837499999999998</v>
      </c>
      <c r="R210" s="155">
        <f t="shared" si="184"/>
        <v>28.632051282051272</v>
      </c>
      <c r="S210" s="328">
        <f t="shared" si="194"/>
        <v>0.7158012820512818</v>
      </c>
      <c r="T210" s="336">
        <f>IF((IF(('39 days'!$E13-'39 days'!$E$3)&lt;0, 0, ('39 days'!$E13-'39 days'!$E$3)))+(IF(('39 days'!$F13-'39 days'!$F$3)&lt;0, 0, ('39 days'!$F13-'39 days'!$F$3)))+('39 days'!$H13*'39 days'!$G13)+('39 days'!$I13)&lt;0, 0, (IF(('39 days'!$E13-'39 days'!$E$3)&lt;0, 0, ('39 days'!$E13-'39 days'!$E$3)))+(IF(('39 days'!$F13-'39 days'!$F$3)&lt;0, 0, ('39 days'!$F13-'39 days'!$F$3)))+('39 days'!$H13*'39 days'!$G13)+('39 days'!$I13))</f>
        <v>11.1</v>
      </c>
      <c r="U210" s="158">
        <f>I12-'Raw data'!T210</f>
        <v>51.9</v>
      </c>
      <c r="V210" s="154">
        <f t="shared" si="185"/>
        <v>1.2974999999999999</v>
      </c>
      <c r="W210" s="155">
        <f t="shared" si="208"/>
        <v>1.7861374407582939</v>
      </c>
      <c r="X210" s="196">
        <f t="shared" si="198"/>
        <v>39</v>
      </c>
      <c r="Y210" s="213">
        <f t="shared" si="189"/>
        <v>39</v>
      </c>
      <c r="Z210" s="163">
        <f>'39 days'!J13</f>
        <v>0</v>
      </c>
      <c r="AA210" s="154">
        <f>'39 days'!K13</f>
        <v>0</v>
      </c>
      <c r="AB210" s="163">
        <f>'39 days'!L13</f>
        <v>0</v>
      </c>
      <c r="AC210" s="154">
        <f>'39 days'!M13</f>
        <v>0</v>
      </c>
      <c r="AD210" s="213">
        <f>'39 days'!N13</f>
        <v>0</v>
      </c>
      <c r="AE210" s="154">
        <f>'39 days'!O13</f>
        <v>0</v>
      </c>
      <c r="AF210" s="163">
        <f t="shared" si="190"/>
        <v>0</v>
      </c>
      <c r="AG210" s="160">
        <f t="shared" si="191"/>
        <v>0</v>
      </c>
      <c r="AI210" s="319" t="s">
        <v>118</v>
      </c>
      <c r="AJ210" s="162">
        <f t="shared" si="210"/>
        <v>9</v>
      </c>
      <c r="AK210" s="163" t="str">
        <f>INDEX(Map!$W$2:$W$67, MATCH('Raw data'!AJ210, Map!$V$2:$V$67,0))</f>
        <v>T4</v>
      </c>
      <c r="AL210" s="165" t="str">
        <f>INDEX(Map!$X$2:$X$67, MATCH('Raw data'!AJ210, Map!$V$2:$V$67,0))</f>
        <v>R2</v>
      </c>
      <c r="AM210" s="319">
        <f t="shared" si="211"/>
        <v>83.35</v>
      </c>
      <c r="AN210" s="150">
        <f t="shared" si="212"/>
        <v>2.0837499999999998</v>
      </c>
      <c r="AO210" s="151">
        <f t="shared" si="213"/>
        <v>28.632051282051272</v>
      </c>
      <c r="AP210" s="150">
        <f t="shared" si="214"/>
        <v>0.7158012820512818</v>
      </c>
      <c r="AQ210" s="151">
        <f t="shared" si="215"/>
        <v>51.9</v>
      </c>
      <c r="AR210" s="149">
        <f t="shared" si="216"/>
        <v>1.2974999999999999</v>
      </c>
      <c r="AS210" s="150">
        <f t="shared" si="217"/>
        <v>1.8126539202077649</v>
      </c>
    </row>
    <row r="211" spans="10:45" x14ac:dyDescent="0.25">
      <c r="J211" s="1" t="str">
        <f t="shared" si="209"/>
        <v>OK</v>
      </c>
      <c r="K211" s="164" t="s">
        <v>90</v>
      </c>
      <c r="L211" s="162">
        <f>'39 days'!$A14</f>
        <v>10</v>
      </c>
      <c r="M211" s="163">
        <f>'39 days'!B14</f>
        <v>36</v>
      </c>
      <c r="N211" s="163" t="str">
        <f>INDEX(Map!$W$2:$W$67, MATCH('Raw data'!L211, Map!$V$2:$V$67,0))</f>
        <v>T6</v>
      </c>
      <c r="O211" s="165" t="str">
        <f>INDEX(Map!$X$2:$X$67, MATCH('Raw data'!L211, Map!$V$2:$V$67,0))</f>
        <v>R2</v>
      </c>
      <c r="P211" s="158">
        <f>('39 days'!$C14-'39 days'!$C$3)+('39 days'!$D14-'39 days'!$C$3)</f>
        <v>91.05</v>
      </c>
      <c r="Q211" s="154">
        <f t="shared" si="183"/>
        <v>2.5291666666666668</v>
      </c>
      <c r="R211" s="155">
        <f t="shared" si="184"/>
        <v>31.163513513513518</v>
      </c>
      <c r="S211" s="328">
        <f t="shared" si="194"/>
        <v>0.86565315315315328</v>
      </c>
      <c r="T211" s="336">
        <f>IF((IF(('39 days'!$E14-'39 days'!$E$3)&lt;0, 0, ('39 days'!$E14-'39 days'!$E$3)))+(IF(('39 days'!$F14-'39 days'!$F$3)&lt;0, 0, ('39 days'!$F14-'39 days'!$F$3)))+('39 days'!$H14*'39 days'!$G14)+('39 days'!$I14)&lt;0, 0, (IF(('39 days'!$E14-'39 days'!$E$3)&lt;0, 0, ('39 days'!$E14-'39 days'!$E$3)))+(IF(('39 days'!$F14-'39 days'!$F$3)&lt;0, 0, ('39 days'!$F14-'39 days'!$F$3)))+('39 days'!$H14*'39 days'!$G14)+('39 days'!$I14))</f>
        <v>7.3000000000000007</v>
      </c>
      <c r="U211" s="158">
        <f>I13-'Raw data'!T211</f>
        <v>55.7</v>
      </c>
      <c r="V211" s="154">
        <f t="shared" si="185"/>
        <v>1.5472222222222223</v>
      </c>
      <c r="W211" s="155">
        <f t="shared" si="208"/>
        <v>1.7519874156733986</v>
      </c>
      <c r="X211" s="196">
        <f t="shared" si="198"/>
        <v>37</v>
      </c>
      <c r="Y211" s="213">
        <f t="shared" si="189"/>
        <v>36</v>
      </c>
      <c r="Z211" s="163">
        <f>'39 days'!J14</f>
        <v>1</v>
      </c>
      <c r="AA211" s="154">
        <f>'39 days'!K14</f>
        <v>2.468</v>
      </c>
      <c r="AB211" s="163">
        <f>'39 days'!L14</f>
        <v>0</v>
      </c>
      <c r="AC211" s="154">
        <f>'39 days'!M14</f>
        <v>0</v>
      </c>
      <c r="AD211" s="213">
        <f>'39 days'!N14</f>
        <v>0</v>
      </c>
      <c r="AE211" s="154">
        <f>'39 days'!O14</f>
        <v>0</v>
      </c>
      <c r="AF211" s="163">
        <f t="shared" si="190"/>
        <v>1</v>
      </c>
      <c r="AG211" s="160">
        <f t="shared" si="191"/>
        <v>2.468</v>
      </c>
      <c r="AI211" s="319" t="s">
        <v>118</v>
      </c>
      <c r="AJ211" s="162">
        <f t="shared" si="210"/>
        <v>10</v>
      </c>
      <c r="AK211" s="163" t="str">
        <f>INDEX(Map!$W$2:$W$67, MATCH('Raw data'!AJ211, Map!$V$2:$V$67,0))</f>
        <v>T6</v>
      </c>
      <c r="AL211" s="165" t="str">
        <f>INDEX(Map!$X$2:$X$67, MATCH('Raw data'!AJ211, Map!$V$2:$V$67,0))</f>
        <v>R2</v>
      </c>
      <c r="AM211" s="319">
        <f t="shared" si="211"/>
        <v>91.05</v>
      </c>
      <c r="AN211" s="150">
        <f t="shared" si="212"/>
        <v>2.5291666666666668</v>
      </c>
      <c r="AO211" s="151">
        <f t="shared" si="213"/>
        <v>31.163513513513518</v>
      </c>
      <c r="AP211" s="150">
        <f t="shared" si="214"/>
        <v>0.86565315315315328</v>
      </c>
      <c r="AQ211" s="151">
        <f t="shared" si="215"/>
        <v>55.7</v>
      </c>
      <c r="AR211" s="149">
        <f t="shared" si="216"/>
        <v>1.5472222222222223</v>
      </c>
      <c r="AS211" s="150">
        <f t="shared" si="217"/>
        <v>1.6561847559319363</v>
      </c>
    </row>
    <row r="212" spans="10:45" x14ac:dyDescent="0.25">
      <c r="J212" s="1" t="str">
        <f t="shared" si="209"/>
        <v>OK</v>
      </c>
      <c r="K212" s="164" t="s">
        <v>90</v>
      </c>
      <c r="L212" s="162">
        <f>'39 days'!$A15</f>
        <v>11</v>
      </c>
      <c r="M212" s="163">
        <f>'39 days'!B15</f>
        <v>38</v>
      </c>
      <c r="N212" s="163" t="str">
        <f>INDEX(Map!$W$2:$W$67, MATCH('Raw data'!L212, Map!$V$2:$V$67,0))</f>
        <v>T2</v>
      </c>
      <c r="O212" s="165" t="str">
        <f>INDEX(Map!$X$2:$X$67, MATCH('Raw data'!L212, Map!$V$2:$V$67,0))</f>
        <v>R2</v>
      </c>
      <c r="P212" s="158">
        <f>('39 days'!$C15-'39 days'!$C$3)+('39 days'!$D15-'39 days'!$C$3)</f>
        <v>81.3</v>
      </c>
      <c r="Q212" s="154">
        <f t="shared" si="183"/>
        <v>2.1394736842105262</v>
      </c>
      <c r="R212" s="155">
        <f t="shared" si="184"/>
        <v>31.1</v>
      </c>
      <c r="S212" s="328">
        <f t="shared" si="194"/>
        <v>0.81842105263157894</v>
      </c>
      <c r="T212" s="336">
        <f>IF((IF(('39 days'!$E15-'39 days'!$E$3)&lt;0, 0, ('39 days'!$E15-'39 days'!$E$3)))+(IF(('39 days'!$F15-'39 days'!$F$3)&lt;0, 0, ('39 days'!$F15-'39 days'!$F$3)))+('39 days'!$H15*'39 days'!$G15)+('39 days'!$I15)&lt;0, 0, (IF(('39 days'!$E15-'39 days'!$E$3)&lt;0, 0, ('39 days'!$E15-'39 days'!$E$3)))+(IF(('39 days'!$F15-'39 days'!$F$3)&lt;0, 0, ('39 days'!$F15-'39 days'!$F$3)))+('39 days'!$H15*'39 days'!$G15)+('39 days'!$I15))</f>
        <v>11.5</v>
      </c>
      <c r="U212" s="158">
        <f>I14-'Raw data'!T212</f>
        <v>51.5</v>
      </c>
      <c r="V212" s="154">
        <f t="shared" si="185"/>
        <v>1.3552631578947369</v>
      </c>
      <c r="W212" s="155">
        <f t="shared" si="208"/>
        <v>1.7529164694028674</v>
      </c>
      <c r="X212" s="196">
        <f t="shared" si="198"/>
        <v>38</v>
      </c>
      <c r="Y212" s="213">
        <f t="shared" si="189"/>
        <v>38</v>
      </c>
      <c r="Z212" s="163">
        <f>'39 days'!J15</f>
        <v>0</v>
      </c>
      <c r="AA212" s="154">
        <f>'39 days'!K15</f>
        <v>0</v>
      </c>
      <c r="AB212" s="163">
        <f>'39 days'!L15</f>
        <v>0</v>
      </c>
      <c r="AC212" s="154">
        <f>'39 days'!M15</f>
        <v>0</v>
      </c>
      <c r="AD212" s="213">
        <f>'39 days'!N15</f>
        <v>0</v>
      </c>
      <c r="AE212" s="154">
        <f>'39 days'!O15</f>
        <v>0</v>
      </c>
      <c r="AF212" s="163">
        <f t="shared" si="190"/>
        <v>0</v>
      </c>
      <c r="AG212" s="160">
        <f t="shared" si="191"/>
        <v>0</v>
      </c>
      <c r="AI212" s="319" t="s">
        <v>118</v>
      </c>
      <c r="AJ212" s="162">
        <f t="shared" si="210"/>
        <v>11</v>
      </c>
      <c r="AK212" s="163" t="str">
        <f>INDEX(Map!$W$2:$W$67, MATCH('Raw data'!AJ212, Map!$V$2:$V$67,0))</f>
        <v>T2</v>
      </c>
      <c r="AL212" s="165" t="str">
        <f>INDEX(Map!$X$2:$X$67, MATCH('Raw data'!AJ212, Map!$V$2:$V$67,0))</f>
        <v>R2</v>
      </c>
      <c r="AM212" s="319">
        <f t="shared" si="211"/>
        <v>81.3</v>
      </c>
      <c r="AN212" s="150">
        <f t="shared" si="212"/>
        <v>2.1394736842105262</v>
      </c>
      <c r="AO212" s="151">
        <f t="shared" si="213"/>
        <v>31.1</v>
      </c>
      <c r="AP212" s="150">
        <f t="shared" si="214"/>
        <v>0.81842105263157894</v>
      </c>
      <c r="AQ212" s="151">
        <f t="shared" si="215"/>
        <v>51.5</v>
      </c>
      <c r="AR212" s="149">
        <f t="shared" si="216"/>
        <v>1.3552631578947369</v>
      </c>
      <c r="AS212" s="150">
        <f t="shared" si="217"/>
        <v>1.6559485530546623</v>
      </c>
    </row>
    <row r="213" spans="10:45" x14ac:dyDescent="0.25">
      <c r="J213" s="1" t="str">
        <f t="shared" si="209"/>
        <v>OK</v>
      </c>
      <c r="K213" s="164" t="s">
        <v>90</v>
      </c>
      <c r="L213" s="162">
        <f>'39 days'!$A16</f>
        <v>12</v>
      </c>
      <c r="M213" s="163">
        <f>'39 days'!B16</f>
        <v>38</v>
      </c>
      <c r="N213" s="163" t="str">
        <f>INDEX(Map!$W$2:$W$67, MATCH('Raw data'!L213, Map!$V$2:$V$67,0))</f>
        <v>T1</v>
      </c>
      <c r="O213" s="165" t="str">
        <f>INDEX(Map!$X$2:$X$67, MATCH('Raw data'!L213, Map!$V$2:$V$67,0))</f>
        <v>R2</v>
      </c>
      <c r="P213" s="158">
        <f>('39 days'!$C16-'39 days'!$C$3)+('39 days'!$D16-'39 days'!$C$3)</f>
        <v>83.199999999999989</v>
      </c>
      <c r="Q213" s="154">
        <f t="shared" si="183"/>
        <v>2.189473684210526</v>
      </c>
      <c r="R213" s="155">
        <f t="shared" si="184"/>
        <v>30.149999999999995</v>
      </c>
      <c r="S213" s="328">
        <f t="shared" si="194"/>
        <v>0.7934210526315788</v>
      </c>
      <c r="T213" s="336">
        <f>IF((IF(('39 days'!$E16-'39 days'!$E$3)&lt;0, 0, ('39 days'!$E16-'39 days'!$E$3)))+(IF(('39 days'!$F16-'39 days'!$F$3)&lt;0, 0, ('39 days'!$F16-'39 days'!$F$3)))+('39 days'!$H16*'39 days'!$G16)+('39 days'!$I16)&lt;0, 0, (IF(('39 days'!$E16-'39 days'!$E$3)&lt;0, 0, ('39 days'!$E16-'39 days'!$E$3)))+(IF(('39 days'!$F16-'39 days'!$F$3)&lt;0, 0, ('39 days'!$F16-'39 days'!$F$3)))+('39 days'!$H16*'39 days'!$G16)+('39 days'!$I16))</f>
        <v>10.650000000000002</v>
      </c>
      <c r="U213" s="158">
        <f>I15-'Raw data'!T213</f>
        <v>52.349999999999994</v>
      </c>
      <c r="V213" s="154">
        <f t="shared" si="185"/>
        <v>1.3776315789473683</v>
      </c>
      <c r="W213" s="155">
        <f t="shared" si="208"/>
        <v>1.7982698108999564</v>
      </c>
      <c r="X213" s="196">
        <f t="shared" si="198"/>
        <v>38</v>
      </c>
      <c r="Y213" s="213">
        <f t="shared" si="189"/>
        <v>38</v>
      </c>
      <c r="Z213" s="163">
        <f>'39 days'!J16</f>
        <v>0</v>
      </c>
      <c r="AA213" s="154">
        <f>'39 days'!K16</f>
        <v>0</v>
      </c>
      <c r="AB213" s="163">
        <f>'39 days'!L16</f>
        <v>0</v>
      </c>
      <c r="AC213" s="154">
        <f>'39 days'!M16</f>
        <v>0</v>
      </c>
      <c r="AD213" s="213">
        <f>'39 days'!N16</f>
        <v>0</v>
      </c>
      <c r="AE213" s="154">
        <f>'39 days'!O16</f>
        <v>0</v>
      </c>
      <c r="AF213" s="163">
        <f t="shared" si="190"/>
        <v>0</v>
      </c>
      <c r="AG213" s="160">
        <f t="shared" si="191"/>
        <v>0</v>
      </c>
      <c r="AI213" s="319" t="s">
        <v>118</v>
      </c>
      <c r="AJ213" s="162">
        <f t="shared" si="210"/>
        <v>12</v>
      </c>
      <c r="AK213" s="163" t="str">
        <f>INDEX(Map!$W$2:$W$67, MATCH('Raw data'!AJ213, Map!$V$2:$V$67,0))</f>
        <v>T1</v>
      </c>
      <c r="AL213" s="165" t="str">
        <f>INDEX(Map!$X$2:$X$67, MATCH('Raw data'!AJ213, Map!$V$2:$V$67,0))</f>
        <v>R2</v>
      </c>
      <c r="AM213" s="319">
        <f t="shared" si="211"/>
        <v>83.199999999999989</v>
      </c>
      <c r="AN213" s="150">
        <f t="shared" si="212"/>
        <v>2.189473684210526</v>
      </c>
      <c r="AO213" s="151">
        <f t="shared" si="213"/>
        <v>30.149999999999995</v>
      </c>
      <c r="AP213" s="150">
        <f t="shared" si="214"/>
        <v>0.7934210526315788</v>
      </c>
      <c r="AQ213" s="151">
        <f t="shared" si="215"/>
        <v>52.349999999999994</v>
      </c>
      <c r="AR213" s="149">
        <f t="shared" si="216"/>
        <v>1.3776315789473683</v>
      </c>
      <c r="AS213" s="150">
        <f t="shared" si="217"/>
        <v>1.7363184079601992</v>
      </c>
    </row>
    <row r="214" spans="10:45" x14ac:dyDescent="0.25">
      <c r="J214" s="1" t="str">
        <f t="shared" si="209"/>
        <v>OK</v>
      </c>
      <c r="K214" s="164" t="s">
        <v>90</v>
      </c>
      <c r="L214" s="162">
        <f>'39 days'!$A17</f>
        <v>13</v>
      </c>
      <c r="M214" s="163">
        <f>'39 days'!B17</f>
        <v>38</v>
      </c>
      <c r="N214" s="163" t="str">
        <f>INDEX(Map!$W$2:$W$67, MATCH('Raw data'!L214, Map!$V$2:$V$67,0))</f>
        <v>T3</v>
      </c>
      <c r="O214" s="165" t="str">
        <f>INDEX(Map!$X$2:$X$67, MATCH('Raw data'!L214, Map!$V$2:$V$67,0))</f>
        <v>R2</v>
      </c>
      <c r="P214" s="158">
        <f>('39 days'!$C17-'39 days'!$C$3)+('39 days'!$D17-'39 days'!$C$3)</f>
        <v>86.55</v>
      </c>
      <c r="Q214" s="154">
        <f t="shared" si="183"/>
        <v>2.2776315789473682</v>
      </c>
      <c r="R214" s="155">
        <f t="shared" si="184"/>
        <v>31.549999999999997</v>
      </c>
      <c r="S214" s="328">
        <f t="shared" si="194"/>
        <v>0.83026315789473681</v>
      </c>
      <c r="T214" s="336">
        <f>IF((IF(('39 days'!$E17-'39 days'!$E$3)&lt;0, 0, ('39 days'!$E17-'39 days'!$E$3)))+(IF(('39 days'!$F17-'39 days'!$F$3)&lt;0, 0, ('39 days'!$F17-'39 days'!$F$3)))+('39 days'!$H17*'39 days'!$G17)+('39 days'!$I17)&lt;0, 0, (IF(('39 days'!$E17-'39 days'!$E$3)&lt;0, 0, ('39 days'!$E17-'39 days'!$E$3)))+(IF(('39 days'!$F17-'39 days'!$F$3)&lt;0, 0, ('39 days'!$F17-'39 days'!$F$3)))+('39 days'!$H17*'39 days'!$G17)+('39 days'!$I17))</f>
        <v>10.149999999999999</v>
      </c>
      <c r="U214" s="158">
        <f>I16-'Raw data'!T214</f>
        <v>52.85</v>
      </c>
      <c r="V214" s="154">
        <f t="shared" si="185"/>
        <v>1.3907894736842106</v>
      </c>
      <c r="W214" s="155">
        <f t="shared" si="208"/>
        <v>1.7660892508890675</v>
      </c>
      <c r="X214" s="196">
        <f t="shared" si="198"/>
        <v>38</v>
      </c>
      <c r="Y214" s="213">
        <f t="shared" si="189"/>
        <v>38</v>
      </c>
      <c r="Z214" s="163">
        <f>'39 days'!J17</f>
        <v>0</v>
      </c>
      <c r="AA214" s="154">
        <f>'39 days'!K17</f>
        <v>0</v>
      </c>
      <c r="AB214" s="163">
        <f>'39 days'!L17</f>
        <v>0</v>
      </c>
      <c r="AC214" s="154">
        <f>'39 days'!M17</f>
        <v>0</v>
      </c>
      <c r="AD214" s="213">
        <f>'39 days'!N17</f>
        <v>0</v>
      </c>
      <c r="AE214" s="154">
        <f>'39 days'!O17</f>
        <v>0</v>
      </c>
      <c r="AF214" s="163">
        <f t="shared" si="190"/>
        <v>0</v>
      </c>
      <c r="AG214" s="160">
        <f t="shared" si="191"/>
        <v>0</v>
      </c>
      <c r="AI214" s="319" t="s">
        <v>118</v>
      </c>
      <c r="AJ214" s="162">
        <f t="shared" si="210"/>
        <v>13</v>
      </c>
      <c r="AK214" s="163" t="str">
        <f>INDEX(Map!$W$2:$W$67, MATCH('Raw data'!AJ214, Map!$V$2:$V$67,0))</f>
        <v>T3</v>
      </c>
      <c r="AL214" s="165" t="str">
        <f>INDEX(Map!$X$2:$X$67, MATCH('Raw data'!AJ214, Map!$V$2:$V$67,0))</f>
        <v>R2</v>
      </c>
      <c r="AM214" s="319">
        <f t="shared" si="211"/>
        <v>86.55</v>
      </c>
      <c r="AN214" s="150">
        <f t="shared" si="212"/>
        <v>2.2776315789473682</v>
      </c>
      <c r="AO214" s="151">
        <f t="shared" si="213"/>
        <v>31.549999999999997</v>
      </c>
      <c r="AP214" s="150">
        <f t="shared" si="214"/>
        <v>0.83026315789473681</v>
      </c>
      <c r="AQ214" s="151">
        <f t="shared" si="215"/>
        <v>52.85</v>
      </c>
      <c r="AR214" s="149">
        <f t="shared" si="216"/>
        <v>1.3907894736842106</v>
      </c>
      <c r="AS214" s="150">
        <f t="shared" si="217"/>
        <v>1.6751188589540413</v>
      </c>
    </row>
    <row r="215" spans="10:45" x14ac:dyDescent="0.25">
      <c r="J215" s="1" t="str">
        <f t="shared" si="209"/>
        <v>OK</v>
      </c>
      <c r="K215" s="164" t="s">
        <v>90</v>
      </c>
      <c r="L215" s="162">
        <f>'39 days'!$A18</f>
        <v>14</v>
      </c>
      <c r="M215" s="163">
        <f>'39 days'!B18</f>
        <v>37</v>
      </c>
      <c r="N215" s="163" t="str">
        <f>INDEX(Map!$W$2:$W$67, MATCH('Raw data'!L215, Map!$V$2:$V$67,0))</f>
        <v>T5</v>
      </c>
      <c r="O215" s="165" t="str">
        <f>INDEX(Map!$X$2:$X$67, MATCH('Raw data'!L215, Map!$V$2:$V$67,0))</f>
        <v>R2</v>
      </c>
      <c r="P215" s="158">
        <f>('39 days'!$C18-'39 days'!$C$3)+('39 days'!$D18-'39 days'!$C$3)</f>
        <v>84.2</v>
      </c>
      <c r="Q215" s="154">
        <f t="shared" si="183"/>
        <v>2.275675675675676</v>
      </c>
      <c r="R215" s="155">
        <f t="shared" si="184"/>
        <v>30.600000000000009</v>
      </c>
      <c r="S215" s="328">
        <f t="shared" si="194"/>
        <v>0.82702702702702724</v>
      </c>
      <c r="T215" s="336">
        <f>IF((IF(('39 days'!$E18-'39 days'!$E$3)&lt;0, 0, ('39 days'!$E18-'39 days'!$E$3)))+(IF(('39 days'!$F18-'39 days'!$F$3)&lt;0, 0, ('39 days'!$F18-'39 days'!$F$3)))+('39 days'!$H18*'39 days'!$G18)+('39 days'!$I18)&lt;0, 0, (IF(('39 days'!$E18-'39 days'!$E$3)&lt;0, 0, ('39 days'!$E18-'39 days'!$E$3)))+(IF(('39 days'!$F18-'39 days'!$F$3)&lt;0, 0, ('39 days'!$F18-'39 days'!$F$3)))+('39 days'!$H18*'39 days'!$G18)+('39 days'!$I18))</f>
        <v>12.4</v>
      </c>
      <c r="U215" s="158">
        <f>I17-'Raw data'!T215</f>
        <v>50.6</v>
      </c>
      <c r="V215" s="154">
        <f t="shared" si="185"/>
        <v>1.3675675675675676</v>
      </c>
      <c r="W215" s="155">
        <f t="shared" si="208"/>
        <v>1.7307342990781529</v>
      </c>
      <c r="X215" s="196">
        <f t="shared" si="198"/>
        <v>37</v>
      </c>
      <c r="Y215" s="213">
        <f t="shared" si="189"/>
        <v>37</v>
      </c>
      <c r="Z215" s="163">
        <f>'39 days'!J18</f>
        <v>0</v>
      </c>
      <c r="AA215" s="154">
        <f>'39 days'!K18</f>
        <v>0</v>
      </c>
      <c r="AB215" s="163">
        <f>'39 days'!L18</f>
        <v>0</v>
      </c>
      <c r="AC215" s="154">
        <f>'39 days'!M18</f>
        <v>0</v>
      </c>
      <c r="AD215" s="213">
        <f>'39 days'!N18</f>
        <v>0</v>
      </c>
      <c r="AE215" s="154">
        <f>'39 days'!O18</f>
        <v>0</v>
      </c>
      <c r="AF215" s="163">
        <f t="shared" si="190"/>
        <v>0</v>
      </c>
      <c r="AG215" s="160">
        <f t="shared" si="191"/>
        <v>0</v>
      </c>
      <c r="AI215" s="319" t="s">
        <v>118</v>
      </c>
      <c r="AJ215" s="162">
        <f t="shared" si="210"/>
        <v>14</v>
      </c>
      <c r="AK215" s="163" t="str">
        <f>INDEX(Map!$W$2:$W$67, MATCH('Raw data'!AJ215, Map!$V$2:$V$67,0))</f>
        <v>T5</v>
      </c>
      <c r="AL215" s="165" t="str">
        <f>INDEX(Map!$X$2:$X$67, MATCH('Raw data'!AJ215, Map!$V$2:$V$67,0))</f>
        <v>R2</v>
      </c>
      <c r="AM215" s="319">
        <f t="shared" si="211"/>
        <v>84.2</v>
      </c>
      <c r="AN215" s="150">
        <f t="shared" si="212"/>
        <v>2.275675675675676</v>
      </c>
      <c r="AO215" s="151">
        <f t="shared" si="213"/>
        <v>30.600000000000009</v>
      </c>
      <c r="AP215" s="150">
        <f t="shared" si="214"/>
        <v>0.82702702702702724</v>
      </c>
      <c r="AQ215" s="151">
        <f t="shared" si="215"/>
        <v>50.6</v>
      </c>
      <c r="AR215" s="149">
        <f t="shared" si="216"/>
        <v>1.3675675675675676</v>
      </c>
      <c r="AS215" s="150">
        <f t="shared" si="217"/>
        <v>1.6535947712418297</v>
      </c>
    </row>
    <row r="216" spans="10:45" x14ac:dyDescent="0.25">
      <c r="J216" s="1" t="str">
        <f t="shared" si="209"/>
        <v>OK</v>
      </c>
      <c r="K216" s="164" t="s">
        <v>90</v>
      </c>
      <c r="L216" s="162">
        <f>'39 days'!$A19</f>
        <v>15</v>
      </c>
      <c r="M216" s="163">
        <f>'39 days'!B19</f>
        <v>37</v>
      </c>
      <c r="N216" s="163" t="str">
        <f>INDEX(Map!$W$2:$W$67, MATCH('Raw data'!L216, Map!$V$2:$V$67,0))</f>
        <v>T4</v>
      </c>
      <c r="O216" s="165" t="str">
        <f>INDEX(Map!$X$2:$X$67, MATCH('Raw data'!L216, Map!$V$2:$V$67,0))</f>
        <v>R3</v>
      </c>
      <c r="P216" s="158">
        <f>('39 days'!$C19-'39 days'!$C$3)+('39 days'!$D19-'39 days'!$C$3)</f>
        <v>84.55</v>
      </c>
      <c r="Q216" s="154">
        <f t="shared" si="183"/>
        <v>2.285135135135135</v>
      </c>
      <c r="R216" s="155">
        <f t="shared" si="184"/>
        <v>30.049999999999994</v>
      </c>
      <c r="S216" s="328">
        <f t="shared" si="194"/>
        <v>0.81216216216216197</v>
      </c>
      <c r="T216" s="336">
        <f>IF((IF(('39 days'!$E19-'39 days'!$E$3)&lt;0, 0, ('39 days'!$E19-'39 days'!$E$3)))+(IF(('39 days'!$F19-'39 days'!$F$3)&lt;0, 0, ('39 days'!$F19-'39 days'!$F$3)))+('39 days'!$H19*'39 days'!$G19)+('39 days'!$I19)&lt;0, 0, (IF(('39 days'!$E19-'39 days'!$E$3)&lt;0, 0, ('39 days'!$E19-'39 days'!$E$3)))+(IF(('39 days'!$F19-'39 days'!$F$3)&lt;0, 0, ('39 days'!$F19-'39 days'!$F$3)))+('39 days'!$H19*'39 days'!$G19)+('39 days'!$I19))</f>
        <v>12.100000000000001</v>
      </c>
      <c r="U216" s="158">
        <f>I18-'Raw data'!T216</f>
        <v>50.9</v>
      </c>
      <c r="V216" s="154">
        <f t="shared" si="185"/>
        <v>1.3756756756756756</v>
      </c>
      <c r="W216" s="155">
        <f t="shared" si="208"/>
        <v>1.7605797101449274</v>
      </c>
      <c r="X216" s="196">
        <f t="shared" si="198"/>
        <v>37</v>
      </c>
      <c r="Y216" s="213">
        <f t="shared" si="189"/>
        <v>37</v>
      </c>
      <c r="Z216" s="163">
        <f>'39 days'!J19</f>
        <v>0</v>
      </c>
      <c r="AA216" s="154">
        <f>'39 days'!K19</f>
        <v>0</v>
      </c>
      <c r="AB216" s="163">
        <f>'39 days'!L19</f>
        <v>0</v>
      </c>
      <c r="AC216" s="154">
        <f>'39 days'!M19</f>
        <v>0</v>
      </c>
      <c r="AD216" s="213">
        <f>'39 days'!N19</f>
        <v>0</v>
      </c>
      <c r="AE216" s="154">
        <f>'39 days'!O19</f>
        <v>0</v>
      </c>
      <c r="AF216" s="163">
        <f t="shared" si="190"/>
        <v>0</v>
      </c>
      <c r="AG216" s="160">
        <f t="shared" si="191"/>
        <v>0</v>
      </c>
      <c r="AI216" s="319" t="s">
        <v>118</v>
      </c>
      <c r="AJ216" s="162">
        <f t="shared" si="210"/>
        <v>15</v>
      </c>
      <c r="AK216" s="163" t="str">
        <f>INDEX(Map!$W$2:$W$67, MATCH('Raw data'!AJ216, Map!$V$2:$V$67,0))</f>
        <v>T4</v>
      </c>
      <c r="AL216" s="165" t="str">
        <f>INDEX(Map!$X$2:$X$67, MATCH('Raw data'!AJ216, Map!$V$2:$V$67,0))</f>
        <v>R3</v>
      </c>
      <c r="AM216" s="319">
        <f t="shared" si="211"/>
        <v>84.55</v>
      </c>
      <c r="AN216" s="150">
        <f t="shared" si="212"/>
        <v>2.285135135135135</v>
      </c>
      <c r="AO216" s="151">
        <f t="shared" si="213"/>
        <v>30.049999999999994</v>
      </c>
      <c r="AP216" s="150">
        <f t="shared" si="214"/>
        <v>0.81216216216216197</v>
      </c>
      <c r="AQ216" s="151">
        <f t="shared" si="215"/>
        <v>50.9</v>
      </c>
      <c r="AR216" s="149">
        <f t="shared" si="216"/>
        <v>1.3756756756756756</v>
      </c>
      <c r="AS216" s="150">
        <f t="shared" si="217"/>
        <v>1.6938435940099836</v>
      </c>
    </row>
    <row r="217" spans="10:45" x14ac:dyDescent="0.25">
      <c r="J217" s="1" t="str">
        <f t="shared" si="209"/>
        <v>OK</v>
      </c>
      <c r="K217" s="164" t="s">
        <v>90</v>
      </c>
      <c r="L217" s="162">
        <f>'39 days'!$A20</f>
        <v>16</v>
      </c>
      <c r="M217" s="163">
        <f>'39 days'!B20</f>
        <v>38</v>
      </c>
      <c r="N217" s="163" t="str">
        <f>INDEX(Map!$W$2:$W$67, MATCH('Raw data'!L217, Map!$V$2:$V$67,0))</f>
        <v>T2</v>
      </c>
      <c r="O217" s="165" t="str">
        <f>INDEX(Map!$X$2:$X$67, MATCH('Raw data'!L217, Map!$V$2:$V$67,0))</f>
        <v>R3</v>
      </c>
      <c r="P217" s="158">
        <f>('39 days'!$C20-'39 days'!$C$3)+('39 days'!$D20-'39 days'!$C$3)</f>
        <v>92.300000000000011</v>
      </c>
      <c r="Q217" s="154">
        <f t="shared" si="183"/>
        <v>2.4289473684210527</v>
      </c>
      <c r="R217" s="155">
        <f t="shared" si="184"/>
        <v>34.500000000000007</v>
      </c>
      <c r="S217" s="328">
        <f t="shared" si="194"/>
        <v>0.90789473684210553</v>
      </c>
      <c r="T217" s="336">
        <f>IF((IF(('39 days'!$E20-'39 days'!$E$3)&lt;0, 0, ('39 days'!$E20-'39 days'!$E$3)))+(IF(('39 days'!$F20-'39 days'!$F$3)&lt;0, 0, ('39 days'!$F20-'39 days'!$F$3)))+('39 days'!$H20*'39 days'!$G20)+('39 days'!$I20)&lt;0, 0, (IF(('39 days'!$E20-'39 days'!$E$3)&lt;0, 0, ('39 days'!$E20-'39 days'!$E$3)))+(IF(('39 days'!$F20-'39 days'!$F$3)&lt;0, 0, ('39 days'!$F20-'39 days'!$F$3)))+('39 days'!$H20*'39 days'!$G20)+('39 days'!$I20))</f>
        <v>8.0500000000000007</v>
      </c>
      <c r="U217" s="158">
        <f>I19-'Raw data'!T217</f>
        <v>54.95</v>
      </c>
      <c r="V217" s="154">
        <f t="shared" si="185"/>
        <v>1.4460526315789475</v>
      </c>
      <c r="W217" s="155">
        <f t="shared" si="208"/>
        <v>1.708448998403018</v>
      </c>
      <c r="X217" s="196">
        <f t="shared" si="198"/>
        <v>38</v>
      </c>
      <c r="Y217" s="213">
        <f t="shared" si="189"/>
        <v>38</v>
      </c>
      <c r="Z217" s="163">
        <f>'39 days'!J20</f>
        <v>0</v>
      </c>
      <c r="AA217" s="154">
        <f>'39 days'!K20</f>
        <v>0</v>
      </c>
      <c r="AB217" s="163">
        <f>'39 days'!L20</f>
        <v>0</v>
      </c>
      <c r="AC217" s="154">
        <f>'39 days'!M20</f>
        <v>0</v>
      </c>
      <c r="AD217" s="213">
        <f>'39 days'!N20</f>
        <v>0</v>
      </c>
      <c r="AE217" s="154">
        <f>'39 days'!O20</f>
        <v>0</v>
      </c>
      <c r="AF217" s="163">
        <f t="shared" si="190"/>
        <v>0</v>
      </c>
      <c r="AG217" s="160">
        <f t="shared" si="191"/>
        <v>0</v>
      </c>
      <c r="AI217" s="319" t="s">
        <v>118</v>
      </c>
      <c r="AJ217" s="162">
        <f t="shared" si="210"/>
        <v>16</v>
      </c>
      <c r="AK217" s="163" t="str">
        <f>INDEX(Map!$W$2:$W$67, MATCH('Raw data'!AJ217, Map!$V$2:$V$67,0))</f>
        <v>T2</v>
      </c>
      <c r="AL217" s="165" t="str">
        <f>INDEX(Map!$X$2:$X$67, MATCH('Raw data'!AJ217, Map!$V$2:$V$67,0))</f>
        <v>R3</v>
      </c>
      <c r="AM217" s="319">
        <f t="shared" si="211"/>
        <v>92.300000000000011</v>
      </c>
      <c r="AN217" s="150">
        <f t="shared" si="212"/>
        <v>2.4289473684210527</v>
      </c>
      <c r="AO217" s="151">
        <f t="shared" si="213"/>
        <v>34.500000000000007</v>
      </c>
      <c r="AP217" s="150">
        <f t="shared" si="214"/>
        <v>0.90789473684210553</v>
      </c>
      <c r="AQ217" s="151">
        <f t="shared" si="215"/>
        <v>54.95</v>
      </c>
      <c r="AR217" s="149">
        <f t="shared" si="216"/>
        <v>1.4460526315789475</v>
      </c>
      <c r="AS217" s="150">
        <f t="shared" si="217"/>
        <v>1.5927536231884056</v>
      </c>
    </row>
    <row r="218" spans="10:45" x14ac:dyDescent="0.25">
      <c r="J218" s="1" t="str">
        <f t="shared" si="209"/>
        <v>OK</v>
      </c>
      <c r="K218" s="164" t="s">
        <v>90</v>
      </c>
      <c r="L218" s="162">
        <f>'39 days'!$A21</f>
        <v>17</v>
      </c>
      <c r="M218" s="163">
        <f>'39 days'!B21</f>
        <v>39</v>
      </c>
      <c r="N218" s="163" t="str">
        <f>INDEX(Map!$W$2:$W$67, MATCH('Raw data'!L218, Map!$V$2:$V$67,0))</f>
        <v>T6</v>
      </c>
      <c r="O218" s="165" t="str">
        <f>INDEX(Map!$X$2:$X$67, MATCH('Raw data'!L218, Map!$V$2:$V$67,0))</f>
        <v>R3</v>
      </c>
      <c r="P218" s="158">
        <f>('39 days'!$C21-'39 days'!$C$3)+('39 days'!$D21-'39 days'!$C$3)</f>
        <v>87.699999999999989</v>
      </c>
      <c r="Q218" s="154">
        <f t="shared" si="183"/>
        <v>2.2487179487179483</v>
      </c>
      <c r="R218" s="155">
        <f t="shared" si="184"/>
        <v>32.949999999999989</v>
      </c>
      <c r="S218" s="328">
        <f t="shared" si="194"/>
        <v>0.84487179487179453</v>
      </c>
      <c r="T218" s="336">
        <f>IF((IF(('39 days'!$E21-'39 days'!$E$3)&lt;0, 0, ('39 days'!$E21-'39 days'!$E$3)))+(IF(('39 days'!$F21-'39 days'!$F$3)&lt;0, 0, ('39 days'!$F21-'39 days'!$F$3)))+('39 days'!$H21*'39 days'!$G21)+('39 days'!$I21)&lt;0, 0, (IF(('39 days'!$E21-'39 days'!$E$3)&lt;0, 0, ('39 days'!$E21-'39 days'!$E$3)))+(IF(('39 days'!$F21-'39 days'!$F$3)&lt;0, 0, ('39 days'!$F21-'39 days'!$F$3)))+('39 days'!$H21*'39 days'!$G21)+('39 days'!$I21))</f>
        <v>8.5</v>
      </c>
      <c r="U218" s="158">
        <f>I20-'Raw data'!T218</f>
        <v>54.5</v>
      </c>
      <c r="V218" s="154">
        <f t="shared" si="185"/>
        <v>1.3974358974358974</v>
      </c>
      <c r="W218" s="155">
        <f t="shared" si="208"/>
        <v>1.7492957746478877</v>
      </c>
      <c r="X218" s="196">
        <f t="shared" si="198"/>
        <v>39</v>
      </c>
      <c r="Y218" s="213">
        <f t="shared" si="189"/>
        <v>39</v>
      </c>
      <c r="Z218" s="163">
        <f>'39 days'!J21</f>
        <v>0</v>
      </c>
      <c r="AA218" s="154">
        <f>'39 days'!K21</f>
        <v>0</v>
      </c>
      <c r="AB218" s="163">
        <f>'39 days'!L21</f>
        <v>0</v>
      </c>
      <c r="AC218" s="154">
        <f>'39 days'!M21</f>
        <v>0</v>
      </c>
      <c r="AD218" s="213">
        <f>'39 days'!N21</f>
        <v>0</v>
      </c>
      <c r="AE218" s="154">
        <f>'39 days'!O21</f>
        <v>0</v>
      </c>
      <c r="AF218" s="163">
        <f t="shared" si="190"/>
        <v>0</v>
      </c>
      <c r="AG218" s="160">
        <f t="shared" si="191"/>
        <v>0</v>
      </c>
      <c r="AI218" s="319" t="s">
        <v>118</v>
      </c>
      <c r="AJ218" s="162">
        <f t="shared" si="210"/>
        <v>17</v>
      </c>
      <c r="AK218" s="163" t="str">
        <f>INDEX(Map!$W$2:$W$67, MATCH('Raw data'!AJ218, Map!$V$2:$V$67,0))</f>
        <v>T6</v>
      </c>
      <c r="AL218" s="165" t="str">
        <f>INDEX(Map!$X$2:$X$67, MATCH('Raw data'!AJ218, Map!$V$2:$V$67,0))</f>
        <v>R3</v>
      </c>
      <c r="AM218" s="319">
        <f t="shared" si="211"/>
        <v>87.699999999999989</v>
      </c>
      <c r="AN218" s="150">
        <f t="shared" si="212"/>
        <v>2.2487179487179483</v>
      </c>
      <c r="AO218" s="151">
        <f t="shared" si="213"/>
        <v>32.949999999999989</v>
      </c>
      <c r="AP218" s="150">
        <f t="shared" si="214"/>
        <v>0.84487179487179453</v>
      </c>
      <c r="AQ218" s="151">
        <f t="shared" si="215"/>
        <v>54.5</v>
      </c>
      <c r="AR218" s="149">
        <f t="shared" si="216"/>
        <v>1.3974358974358974</v>
      </c>
      <c r="AS218" s="150">
        <f t="shared" si="217"/>
        <v>1.6540212443095605</v>
      </c>
    </row>
    <row r="219" spans="10:45" x14ac:dyDescent="0.25">
      <c r="J219" s="1" t="str">
        <f t="shared" si="209"/>
        <v>OK</v>
      </c>
      <c r="K219" s="164" t="s">
        <v>90</v>
      </c>
      <c r="L219" s="162">
        <f>'39 days'!$A22</f>
        <v>18</v>
      </c>
      <c r="M219" s="163">
        <f>'39 days'!B22</f>
        <v>39</v>
      </c>
      <c r="N219" s="163" t="str">
        <f>INDEX(Map!$W$2:$W$67, MATCH('Raw data'!L219, Map!$V$2:$V$67,0))</f>
        <v>T5</v>
      </c>
      <c r="O219" s="165" t="str">
        <f>INDEX(Map!$X$2:$X$67, MATCH('Raw data'!L219, Map!$V$2:$V$67,0))</f>
        <v>R3</v>
      </c>
      <c r="P219" s="158">
        <f>('39 days'!$C22-'39 days'!$C$3)+('39 days'!$D22-'39 days'!$C$3)</f>
        <v>91</v>
      </c>
      <c r="Q219" s="154">
        <f t="shared" si="183"/>
        <v>2.3333333333333335</v>
      </c>
      <c r="R219" s="155">
        <f t="shared" si="184"/>
        <v>32.646250000000009</v>
      </c>
      <c r="S219" s="328">
        <f t="shared" si="194"/>
        <v>0.83708333333333362</v>
      </c>
      <c r="T219" s="336">
        <f>IF((IF(('39 days'!$E22-'39 days'!$E$3)&lt;0, 0, ('39 days'!$E22-'39 days'!$E$3)))+(IF(('39 days'!$F22-'39 days'!$F$3)&lt;0, 0, ('39 days'!$F22-'39 days'!$F$3)))+('39 days'!$H22*'39 days'!$G22)+('39 days'!$I22)&lt;0, 0, (IF(('39 days'!$E22-'39 days'!$E$3)&lt;0, 0, ('39 days'!$E22-'39 days'!$E$3)))+(IF(('39 days'!$F22-'39 days'!$F$3)&lt;0, 0, ('39 days'!$F22-'39 days'!$F$3)))+('39 days'!$H22*'39 days'!$G22)+('39 days'!$I22))</f>
        <v>6.35</v>
      </c>
      <c r="U219" s="158">
        <f>I21-'Raw data'!T219</f>
        <v>56.65</v>
      </c>
      <c r="V219" s="154">
        <f t="shared" si="185"/>
        <v>1.4525641025641025</v>
      </c>
      <c r="W219" s="155">
        <f t="shared" si="208"/>
        <v>1.7325146823278161</v>
      </c>
      <c r="X219" s="196">
        <f t="shared" si="198"/>
        <v>40</v>
      </c>
      <c r="Y219" s="213">
        <f t="shared" si="189"/>
        <v>39</v>
      </c>
      <c r="Z219" s="163">
        <f>'39 days'!J22</f>
        <v>1</v>
      </c>
      <c r="AA219" s="154">
        <f>'39 days'!K22</f>
        <v>2.65</v>
      </c>
      <c r="AB219" s="163">
        <f>'39 days'!L22</f>
        <v>0</v>
      </c>
      <c r="AC219" s="154">
        <f>'39 days'!M22</f>
        <v>0</v>
      </c>
      <c r="AD219" s="213">
        <f>'39 days'!N22</f>
        <v>0</v>
      </c>
      <c r="AE219" s="154">
        <f>'39 days'!O22</f>
        <v>0</v>
      </c>
      <c r="AF219" s="163">
        <f t="shared" si="190"/>
        <v>1</v>
      </c>
      <c r="AG219" s="160">
        <f t="shared" si="191"/>
        <v>2.65</v>
      </c>
      <c r="AI219" s="319" t="s">
        <v>118</v>
      </c>
      <c r="AJ219" s="162">
        <f t="shared" si="210"/>
        <v>18</v>
      </c>
      <c r="AK219" s="163" t="str">
        <f>INDEX(Map!$W$2:$W$67, MATCH('Raw data'!AJ219, Map!$V$2:$V$67,0))</f>
        <v>T5</v>
      </c>
      <c r="AL219" s="165" t="str">
        <f>INDEX(Map!$X$2:$X$67, MATCH('Raw data'!AJ219, Map!$V$2:$V$67,0))</f>
        <v>R3</v>
      </c>
      <c r="AM219" s="319">
        <f t="shared" si="211"/>
        <v>91</v>
      </c>
      <c r="AN219" s="150">
        <f t="shared" si="212"/>
        <v>2.3333333333333335</v>
      </c>
      <c r="AO219" s="151">
        <f t="shared" si="213"/>
        <v>32.646250000000009</v>
      </c>
      <c r="AP219" s="150">
        <f t="shared" si="214"/>
        <v>0.83708333333333362</v>
      </c>
      <c r="AQ219" s="151">
        <f t="shared" si="215"/>
        <v>56.65</v>
      </c>
      <c r="AR219" s="149">
        <f t="shared" si="216"/>
        <v>1.4525641025641025</v>
      </c>
      <c r="AS219" s="150">
        <f t="shared" si="217"/>
        <v>1.6049863654070895</v>
      </c>
    </row>
    <row r="220" spans="10:45" x14ac:dyDescent="0.25">
      <c r="J220" s="1" t="str">
        <f t="shared" si="209"/>
        <v>OK</v>
      </c>
      <c r="K220" s="164" t="s">
        <v>90</v>
      </c>
      <c r="L220" s="162">
        <f>'39 days'!$A23</f>
        <v>19</v>
      </c>
      <c r="M220" s="163">
        <f>'39 days'!B23</f>
        <v>34</v>
      </c>
      <c r="N220" s="163" t="str">
        <f>INDEX(Map!$W$2:$W$67, MATCH('Raw data'!L220, Map!$V$2:$V$67,0))</f>
        <v>T3</v>
      </c>
      <c r="O220" s="165" t="str">
        <f>INDEX(Map!$X$2:$X$67, MATCH('Raw data'!L220, Map!$V$2:$V$67,0))</f>
        <v>R3</v>
      </c>
      <c r="P220" s="158">
        <f>('39 days'!$C23-'39 days'!$C$3)+('39 days'!$D23-'39 days'!$C$3)</f>
        <v>74.8</v>
      </c>
      <c r="Q220" s="154">
        <f t="shared" si="183"/>
        <v>2.1999999999999997</v>
      </c>
      <c r="R220" s="155">
        <f t="shared" si="184"/>
        <v>29.149999999999995</v>
      </c>
      <c r="S220" s="328">
        <f t="shared" si="194"/>
        <v>0.85735294117647043</v>
      </c>
      <c r="T220" s="336">
        <f>IF((IF(('39 days'!$E23-'39 days'!$E$3)&lt;0, 0, ('39 days'!$E23-'39 days'!$E$3)))+(IF(('39 days'!$F23-'39 days'!$F$3)&lt;0, 0, ('39 days'!$F23-'39 days'!$F$3)))+('39 days'!$H23*'39 days'!$G23)+('39 days'!$I23)&lt;0, 0, (IF(('39 days'!$E23-'39 days'!$E$3)&lt;0, 0, ('39 days'!$E23-'39 days'!$E$3)))+(IF(('39 days'!$F23-'39 days'!$F$3)&lt;0, 0, ('39 days'!$F23-'39 days'!$F$3)))+('39 days'!$H23*'39 days'!$G23)+('39 days'!$I23))</f>
        <v>15.200000000000001</v>
      </c>
      <c r="U220" s="158">
        <f>I22-'Raw data'!T220</f>
        <v>47.8</v>
      </c>
      <c r="V220" s="154">
        <f t="shared" si="185"/>
        <v>1.4058823529411764</v>
      </c>
      <c r="W220" s="155">
        <f t="shared" si="208"/>
        <v>1.7763586602371957</v>
      </c>
      <c r="X220" s="196">
        <f t="shared" si="198"/>
        <v>34</v>
      </c>
      <c r="Y220" s="213">
        <f t="shared" si="189"/>
        <v>34</v>
      </c>
      <c r="Z220" s="163">
        <f>'39 days'!J23</f>
        <v>0</v>
      </c>
      <c r="AA220" s="154">
        <f>'39 days'!K23</f>
        <v>0</v>
      </c>
      <c r="AB220" s="163">
        <f>'39 days'!L23</f>
        <v>0</v>
      </c>
      <c r="AC220" s="154">
        <f>'39 days'!M23</f>
        <v>0</v>
      </c>
      <c r="AD220" s="213">
        <f>'39 days'!N23</f>
        <v>0</v>
      </c>
      <c r="AE220" s="154">
        <f>'39 days'!O23</f>
        <v>0</v>
      </c>
      <c r="AF220" s="163">
        <f t="shared" si="190"/>
        <v>0</v>
      </c>
      <c r="AG220" s="160">
        <f t="shared" si="191"/>
        <v>0</v>
      </c>
      <c r="AI220" s="319" t="s">
        <v>118</v>
      </c>
      <c r="AJ220" s="162">
        <f t="shared" si="210"/>
        <v>19</v>
      </c>
      <c r="AK220" s="163" t="str">
        <f>INDEX(Map!$W$2:$W$67, MATCH('Raw data'!AJ220, Map!$V$2:$V$67,0))</f>
        <v>T3</v>
      </c>
      <c r="AL220" s="165" t="str">
        <f>INDEX(Map!$X$2:$X$67, MATCH('Raw data'!AJ220, Map!$V$2:$V$67,0))</f>
        <v>R3</v>
      </c>
      <c r="AM220" s="319">
        <f t="shared" si="211"/>
        <v>74.8</v>
      </c>
      <c r="AN220" s="150">
        <f t="shared" si="212"/>
        <v>2.1999999999999997</v>
      </c>
      <c r="AO220" s="151">
        <f t="shared" si="213"/>
        <v>29.149999999999995</v>
      </c>
      <c r="AP220" s="150">
        <f t="shared" si="214"/>
        <v>0.85735294117647043</v>
      </c>
      <c r="AQ220" s="151">
        <f t="shared" si="215"/>
        <v>47.8</v>
      </c>
      <c r="AR220" s="149">
        <f t="shared" si="216"/>
        <v>1.4058823529411764</v>
      </c>
      <c r="AS220" s="150">
        <f t="shared" si="217"/>
        <v>1.639794168096055</v>
      </c>
    </row>
    <row r="221" spans="10:45" x14ac:dyDescent="0.25">
      <c r="J221" s="1" t="str">
        <f t="shared" si="209"/>
        <v>OK</v>
      </c>
      <c r="K221" s="164" t="s">
        <v>90</v>
      </c>
      <c r="L221" s="162">
        <f>'39 days'!$A24</f>
        <v>20</v>
      </c>
      <c r="M221" s="163">
        <f>'39 days'!B24</f>
        <v>38</v>
      </c>
      <c r="N221" s="163" t="str">
        <f>INDEX(Map!$W$2:$W$67, MATCH('Raw data'!L221, Map!$V$2:$V$67,0))</f>
        <v>T1</v>
      </c>
      <c r="O221" s="165" t="str">
        <f>INDEX(Map!$X$2:$X$67, MATCH('Raw data'!L221, Map!$V$2:$V$67,0))</f>
        <v>R3</v>
      </c>
      <c r="P221" s="158">
        <f>('39 days'!$C24-'39 days'!$C$3)+('39 days'!$D24-'39 days'!$C$3)</f>
        <v>86.85</v>
      </c>
      <c r="Q221" s="154">
        <f t="shared" si="183"/>
        <v>2.2855263157894736</v>
      </c>
      <c r="R221" s="155">
        <f t="shared" si="184"/>
        <v>31.262820512820515</v>
      </c>
      <c r="S221" s="328">
        <f t="shared" si="194"/>
        <v>0.8227058029689609</v>
      </c>
      <c r="T221" s="336">
        <f>IF((IF(('39 days'!$E24-'39 days'!$E$3)&lt;0, 0, ('39 days'!$E24-'39 days'!$E$3)))+(IF(('39 days'!$F24-'39 days'!$F$3)&lt;0, 0, ('39 days'!$F24-'39 days'!$F$3)))+('39 days'!$H24*'39 days'!$G24)+('39 days'!$I24)&lt;0, 0, (IF(('39 days'!$E24-'39 days'!$E$3)&lt;0, 0, ('39 days'!$E24-'39 days'!$E$3)))+(IF(('39 days'!$F24-'39 days'!$F$3)&lt;0, 0, ('39 days'!$F24-'39 days'!$F$3)))+('39 days'!$H24*'39 days'!$G24)+('39 days'!$I24))</f>
        <v>8.0500000000000007</v>
      </c>
      <c r="U221" s="158">
        <f>I23-'Raw data'!T221</f>
        <v>54.95</v>
      </c>
      <c r="V221" s="154">
        <f t="shared" si="185"/>
        <v>1.4460526315789475</v>
      </c>
      <c r="W221" s="155">
        <f t="shared" si="208"/>
        <v>1.755576146667549</v>
      </c>
      <c r="X221" s="196">
        <f t="shared" si="198"/>
        <v>39</v>
      </c>
      <c r="Y221" s="213">
        <f t="shared" si="189"/>
        <v>38</v>
      </c>
      <c r="Z221" s="163">
        <f>'39 days'!J24</f>
        <v>1</v>
      </c>
      <c r="AA221" s="154">
        <f>'39 days'!K24</f>
        <v>2.8039999999999998</v>
      </c>
      <c r="AB221" s="163">
        <f>'39 days'!L24</f>
        <v>0</v>
      </c>
      <c r="AC221" s="154">
        <f>'39 days'!M24</f>
        <v>0</v>
      </c>
      <c r="AD221" s="213">
        <f>'39 days'!N24</f>
        <v>0</v>
      </c>
      <c r="AE221" s="154">
        <f>'39 days'!O24</f>
        <v>0</v>
      </c>
      <c r="AF221" s="163">
        <f t="shared" si="190"/>
        <v>1</v>
      </c>
      <c r="AG221" s="160">
        <f t="shared" si="191"/>
        <v>2.8039999999999998</v>
      </c>
      <c r="AI221" s="319" t="s">
        <v>118</v>
      </c>
      <c r="AJ221" s="162">
        <f t="shared" si="210"/>
        <v>20</v>
      </c>
      <c r="AK221" s="163" t="str">
        <f>INDEX(Map!$W$2:$W$67, MATCH('Raw data'!AJ221, Map!$V$2:$V$67,0))</f>
        <v>T1</v>
      </c>
      <c r="AL221" s="165" t="str">
        <f>INDEX(Map!$X$2:$X$67, MATCH('Raw data'!AJ221, Map!$V$2:$V$67,0))</f>
        <v>R3</v>
      </c>
      <c r="AM221" s="319">
        <f t="shared" si="211"/>
        <v>86.85</v>
      </c>
      <c r="AN221" s="150">
        <f t="shared" si="212"/>
        <v>2.2855263157894736</v>
      </c>
      <c r="AO221" s="151">
        <f t="shared" si="213"/>
        <v>31.262820512820515</v>
      </c>
      <c r="AP221" s="150">
        <f t="shared" si="214"/>
        <v>0.8227058029689609</v>
      </c>
      <c r="AQ221" s="151">
        <f t="shared" si="215"/>
        <v>54.95</v>
      </c>
      <c r="AR221" s="149">
        <f t="shared" si="216"/>
        <v>1.4460526315789475</v>
      </c>
      <c r="AS221" s="150">
        <f t="shared" si="217"/>
        <v>1.613006414241694</v>
      </c>
    </row>
    <row r="222" spans="10:45" x14ac:dyDescent="0.25">
      <c r="J222" s="1" t="str">
        <f t="shared" si="209"/>
        <v>OK</v>
      </c>
      <c r="K222" s="164" t="s">
        <v>90</v>
      </c>
      <c r="L222" s="162">
        <f>'39 days'!$A25</f>
        <v>21</v>
      </c>
      <c r="M222" s="163">
        <f>'39 days'!B25</f>
        <v>34</v>
      </c>
      <c r="N222" s="163" t="str">
        <f>INDEX(Map!$W$2:$W$67, MATCH('Raw data'!L222, Map!$V$2:$V$67,0))</f>
        <v>T2</v>
      </c>
      <c r="O222" s="165" t="str">
        <f>INDEX(Map!$X$2:$X$67, MATCH('Raw data'!L222, Map!$V$2:$V$67,0))</f>
        <v>R11</v>
      </c>
      <c r="P222" s="158">
        <f>('39 days'!$C25-'39 days'!$C$3)+('39 days'!$D25-'39 days'!$C$3)</f>
        <v>73.150000000000006</v>
      </c>
      <c r="Q222" s="154">
        <f t="shared" si="183"/>
        <v>2.1514705882352945</v>
      </c>
      <c r="R222" s="155">
        <f t="shared" si="184"/>
        <v>26.570000000000007</v>
      </c>
      <c r="S222" s="328">
        <f t="shared" si="194"/>
        <v>0.78147058823529436</v>
      </c>
      <c r="T222" s="336">
        <f>IF((IF(('39 days'!$E25-'39 days'!$E$3)&lt;0, 0, ('39 days'!$E25-'39 days'!$E$3)))+(IF(('39 days'!$F25-'39 days'!$F$3)&lt;0, 0, ('39 days'!$F25-'39 days'!$F$3)))+('39 days'!$H25*'39 days'!$G25)+('39 days'!$I25)&lt;0, 0, (IF(('39 days'!$E25-'39 days'!$E$3)&lt;0, 0, ('39 days'!$E25-'39 days'!$E$3)))+(IF(('39 days'!$F25-'39 days'!$F$3)&lt;0, 0, ('39 days'!$F25-'39 days'!$F$3)))+('39 days'!$H25*'39 days'!$G25)+('39 days'!$I25))</f>
        <v>15.8</v>
      </c>
      <c r="U222" s="158">
        <f>I24-'Raw data'!T222</f>
        <v>46.05</v>
      </c>
      <c r="V222" s="154">
        <f t="shared" si="185"/>
        <v>1.3544117647058822</v>
      </c>
      <c r="W222" s="155">
        <f t="shared" si="208"/>
        <v>1.7802677832919764</v>
      </c>
      <c r="X222" s="196">
        <f t="shared" si="198"/>
        <v>35</v>
      </c>
      <c r="Y222" s="213">
        <f t="shared" si="189"/>
        <v>34</v>
      </c>
      <c r="Z222" s="163">
        <f>'39 days'!J25</f>
        <v>1</v>
      </c>
      <c r="AA222" s="154">
        <f>'39 days'!K25</f>
        <v>2.2109999999999999</v>
      </c>
      <c r="AB222" s="163">
        <f>'39 days'!L25</f>
        <v>0</v>
      </c>
      <c r="AC222" s="154">
        <f>'39 days'!M25</f>
        <v>0</v>
      </c>
      <c r="AD222" s="213">
        <f>'39 days'!N25</f>
        <v>0</v>
      </c>
      <c r="AE222" s="154">
        <f>'39 days'!O25</f>
        <v>0</v>
      </c>
      <c r="AF222" s="163">
        <f t="shared" si="190"/>
        <v>1</v>
      </c>
      <c r="AG222" s="160">
        <f t="shared" si="191"/>
        <v>2.2109999999999999</v>
      </c>
      <c r="AI222" s="319" t="s">
        <v>118</v>
      </c>
      <c r="AJ222" s="162">
        <f t="shared" si="210"/>
        <v>21</v>
      </c>
      <c r="AK222" s="163" t="str">
        <f>INDEX(Map!$W$2:$W$67, MATCH('Raw data'!AJ222, Map!$V$2:$V$67,0))</f>
        <v>T2</v>
      </c>
      <c r="AL222" s="165" t="str">
        <f>INDEX(Map!$X$2:$X$67, MATCH('Raw data'!AJ222, Map!$V$2:$V$67,0))</f>
        <v>R11</v>
      </c>
      <c r="AM222" s="319">
        <f t="shared" si="211"/>
        <v>73.150000000000006</v>
      </c>
      <c r="AN222" s="150">
        <f t="shared" si="212"/>
        <v>2.1514705882352945</v>
      </c>
      <c r="AO222" s="151">
        <f t="shared" si="213"/>
        <v>26.570000000000007</v>
      </c>
      <c r="AP222" s="150">
        <f t="shared" si="214"/>
        <v>0.78147058823529436</v>
      </c>
      <c r="AQ222" s="151">
        <f t="shared" si="215"/>
        <v>46.05</v>
      </c>
      <c r="AR222" s="149">
        <f t="shared" si="216"/>
        <v>1.3544117647058822</v>
      </c>
      <c r="AS222" s="150">
        <f t="shared" si="217"/>
        <v>1.6000138980577461</v>
      </c>
    </row>
    <row r="223" spans="10:45" x14ac:dyDescent="0.25">
      <c r="J223" s="1" t="str">
        <f t="shared" si="209"/>
        <v>OK</v>
      </c>
      <c r="K223" s="164" t="s">
        <v>90</v>
      </c>
      <c r="L223" s="162">
        <f>'39 days'!$A26</f>
        <v>22</v>
      </c>
      <c r="M223" s="163">
        <f>'39 days'!B26</f>
        <v>38</v>
      </c>
      <c r="N223" s="163" t="str">
        <f>INDEX(Map!$W$2:$W$67, MATCH('Raw data'!L223, Map!$V$2:$V$67,0))</f>
        <v>T5</v>
      </c>
      <c r="O223" s="165" t="str">
        <f>INDEX(Map!$X$2:$X$67, MATCH('Raw data'!L223, Map!$V$2:$V$67,0))</f>
        <v>R11</v>
      </c>
      <c r="P223" s="158">
        <f>('39 days'!$C26-'39 days'!$C$3)+('39 days'!$D26-'39 days'!$C$3)</f>
        <v>81.349999999999994</v>
      </c>
      <c r="Q223" s="154">
        <f t="shared" si="183"/>
        <v>2.1407894736842104</v>
      </c>
      <c r="R223" s="155">
        <f t="shared" si="184"/>
        <v>31.560256410256411</v>
      </c>
      <c r="S223" s="328">
        <f t="shared" si="194"/>
        <v>0.83053306342780031</v>
      </c>
      <c r="T223" s="336">
        <f>IF((IF(('39 days'!$E26-'39 days'!$E$3)&lt;0, 0, ('39 days'!$E26-'39 days'!$E$3)))+(IF(('39 days'!$F26-'39 days'!$F$3)&lt;0, 0, ('39 days'!$F26-'39 days'!$F$3)))+('39 days'!$H26*'39 days'!$G26)+('39 days'!$I26)&lt;0, 0, (IF(('39 days'!$E26-'39 days'!$E$3)&lt;0, 0, ('39 days'!$E26-'39 days'!$E$3)))+(IF(('39 days'!$F26-'39 days'!$F$3)&lt;0, 0, ('39 days'!$F26-'39 days'!$F$3)))+('39 days'!$H26*'39 days'!$G26)+('39 days'!$I26))</f>
        <v>9.85</v>
      </c>
      <c r="U223" s="158">
        <f>I25-'Raw data'!T223</f>
        <v>51.949999999999996</v>
      </c>
      <c r="V223" s="154">
        <f t="shared" si="185"/>
        <v>1.3671052631578946</v>
      </c>
      <c r="W223" s="155">
        <f t="shared" si="208"/>
        <v>1.7535010681224783</v>
      </c>
      <c r="X223" s="196">
        <f t="shared" si="198"/>
        <v>39</v>
      </c>
      <c r="Y223" s="213">
        <f t="shared" si="189"/>
        <v>38</v>
      </c>
      <c r="Z223" s="163">
        <f>'39 days'!J26</f>
        <v>1</v>
      </c>
      <c r="AA223" s="154">
        <f>'39 days'!K26</f>
        <v>2.19</v>
      </c>
      <c r="AB223" s="163">
        <f>'39 days'!L26</f>
        <v>0</v>
      </c>
      <c r="AC223" s="154">
        <f>'39 days'!M26</f>
        <v>0</v>
      </c>
      <c r="AD223" s="213">
        <f>'39 days'!N26</f>
        <v>0</v>
      </c>
      <c r="AE223" s="154">
        <f>'39 days'!O26</f>
        <v>0</v>
      </c>
      <c r="AF223" s="163">
        <f t="shared" si="190"/>
        <v>1</v>
      </c>
      <c r="AG223" s="160">
        <f t="shared" si="191"/>
        <v>2.19</v>
      </c>
      <c r="AI223" s="319" t="s">
        <v>118</v>
      </c>
      <c r="AJ223" s="162">
        <f t="shared" si="210"/>
        <v>22</v>
      </c>
      <c r="AK223" s="163" t="str">
        <f>INDEX(Map!$W$2:$W$67, MATCH('Raw data'!AJ223, Map!$V$2:$V$67,0))</f>
        <v>T5</v>
      </c>
      <c r="AL223" s="165" t="str">
        <f>INDEX(Map!$X$2:$X$67, MATCH('Raw data'!AJ223, Map!$V$2:$V$67,0))</f>
        <v>R11</v>
      </c>
      <c r="AM223" s="319">
        <f t="shared" si="211"/>
        <v>81.349999999999994</v>
      </c>
      <c r="AN223" s="150">
        <f t="shared" si="212"/>
        <v>2.1407894736842104</v>
      </c>
      <c r="AO223" s="151">
        <f t="shared" si="213"/>
        <v>31.560256410256411</v>
      </c>
      <c r="AP223" s="150">
        <f t="shared" si="214"/>
        <v>0.83053306342780031</v>
      </c>
      <c r="AQ223" s="151">
        <f t="shared" si="215"/>
        <v>51.949999999999996</v>
      </c>
      <c r="AR223" s="149">
        <f t="shared" si="216"/>
        <v>1.3671052631578946</v>
      </c>
      <c r="AS223" s="150">
        <f t="shared" si="217"/>
        <v>1.5392475650707305</v>
      </c>
    </row>
    <row r="224" spans="10:45" x14ac:dyDescent="0.25">
      <c r="J224" s="1" t="str">
        <f t="shared" si="209"/>
        <v>OK</v>
      </c>
      <c r="K224" s="164" t="s">
        <v>90</v>
      </c>
      <c r="L224" s="162">
        <f>'39 days'!$A27</f>
        <v>23</v>
      </c>
      <c r="M224" s="163">
        <f>'39 days'!B27</f>
        <v>39</v>
      </c>
      <c r="N224" s="163" t="str">
        <f>INDEX(Map!$W$2:$W$67, MATCH('Raw data'!L224, Map!$V$2:$V$67,0))</f>
        <v>T5</v>
      </c>
      <c r="O224" s="165" t="str">
        <f>INDEX(Map!$X$2:$X$67, MATCH('Raw data'!L224, Map!$V$2:$V$67,0))</f>
        <v>R10</v>
      </c>
      <c r="P224" s="158">
        <f>('39 days'!$C27-'39 days'!$C$3)+('39 days'!$D27-'39 days'!$C$3)</f>
        <v>88.550000000000011</v>
      </c>
      <c r="Q224" s="154">
        <f t="shared" si="183"/>
        <v>2.2705128205128209</v>
      </c>
      <c r="R224" s="155">
        <f t="shared" si="184"/>
        <v>31.800000000000026</v>
      </c>
      <c r="S224" s="328">
        <f t="shared" si="194"/>
        <v>0.81538461538461604</v>
      </c>
      <c r="T224" s="336">
        <f>IF((IF(('39 days'!$E27-'39 days'!$E$3)&lt;0, 0, ('39 days'!$E27-'39 days'!$E$3)))+(IF(('39 days'!$F27-'39 days'!$F$3)&lt;0, 0, ('39 days'!$F27-'39 days'!$F$3)))+('39 days'!$H27*'39 days'!$G27)+('39 days'!$I27)&lt;0, 0, (IF(('39 days'!$E27-'39 days'!$E$3)&lt;0, 0, ('39 days'!$E27-'39 days'!$E$3)))+(IF(('39 days'!$F27-'39 days'!$F$3)&lt;0, 0, ('39 days'!$F27-'39 days'!$F$3)))+('39 days'!$H27*'39 days'!$G27)+('39 days'!$I27))</f>
        <v>10</v>
      </c>
      <c r="U224" s="158">
        <f>I26-'Raw data'!T224</f>
        <v>53</v>
      </c>
      <c r="V224" s="154">
        <f t="shared" si="185"/>
        <v>1.358974358974359</v>
      </c>
      <c r="W224" s="155">
        <f t="shared" si="208"/>
        <v>1.749295774647887</v>
      </c>
      <c r="X224" s="196">
        <f t="shared" si="198"/>
        <v>39</v>
      </c>
      <c r="Y224" s="213">
        <f t="shared" si="189"/>
        <v>39</v>
      </c>
      <c r="Z224" s="163">
        <f>'39 days'!J27</f>
        <v>0</v>
      </c>
      <c r="AA224" s="154">
        <f>'39 days'!K27</f>
        <v>0</v>
      </c>
      <c r="AB224" s="163">
        <f>'39 days'!L27</f>
        <v>0</v>
      </c>
      <c r="AC224" s="154">
        <f>'39 days'!M27</f>
        <v>0</v>
      </c>
      <c r="AD224" s="213">
        <f>'39 days'!N27</f>
        <v>0</v>
      </c>
      <c r="AE224" s="154">
        <f>'39 days'!O27</f>
        <v>0</v>
      </c>
      <c r="AF224" s="163">
        <f t="shared" si="190"/>
        <v>0</v>
      </c>
      <c r="AG224" s="160">
        <f t="shared" si="191"/>
        <v>0</v>
      </c>
      <c r="AI224" s="319" t="s">
        <v>118</v>
      </c>
      <c r="AJ224" s="162">
        <f t="shared" si="210"/>
        <v>23</v>
      </c>
      <c r="AK224" s="163" t="str">
        <f>INDEX(Map!$W$2:$W$67, MATCH('Raw data'!AJ224, Map!$V$2:$V$67,0))</f>
        <v>T5</v>
      </c>
      <c r="AL224" s="165" t="str">
        <f>INDEX(Map!$X$2:$X$67, MATCH('Raw data'!AJ224, Map!$V$2:$V$67,0))</f>
        <v>R10</v>
      </c>
      <c r="AM224" s="319">
        <f t="shared" si="211"/>
        <v>88.550000000000011</v>
      </c>
      <c r="AN224" s="150">
        <f t="shared" si="212"/>
        <v>2.2705128205128209</v>
      </c>
      <c r="AO224" s="151">
        <f t="shared" si="213"/>
        <v>31.800000000000026</v>
      </c>
      <c r="AP224" s="150">
        <f t="shared" si="214"/>
        <v>0.81538461538461604</v>
      </c>
      <c r="AQ224" s="151">
        <f t="shared" si="215"/>
        <v>53</v>
      </c>
      <c r="AR224" s="149">
        <f t="shared" si="216"/>
        <v>1.358974358974359</v>
      </c>
      <c r="AS224" s="150">
        <f t="shared" si="217"/>
        <v>1.6666666666666654</v>
      </c>
    </row>
    <row r="225" spans="10:45" x14ac:dyDescent="0.25">
      <c r="J225" s="1" t="str">
        <f t="shared" si="209"/>
        <v>OK</v>
      </c>
      <c r="K225" s="164" t="s">
        <v>90</v>
      </c>
      <c r="L225" s="162">
        <f>'39 days'!$A28</f>
        <v>24</v>
      </c>
      <c r="M225" s="163">
        <f>'39 days'!B28</f>
        <v>39</v>
      </c>
      <c r="N225" s="163" t="str">
        <f>INDEX(Map!$W$2:$W$67, MATCH('Raw data'!L225, Map!$V$2:$V$67,0))</f>
        <v>T4</v>
      </c>
      <c r="O225" s="165" t="str">
        <f>INDEX(Map!$X$2:$X$67, MATCH('Raw data'!L225, Map!$V$2:$V$67,0))</f>
        <v>R10</v>
      </c>
      <c r="P225" s="158">
        <f>('39 days'!$C28-'39 days'!$C$3)+('39 days'!$D28-'39 days'!$C$3)</f>
        <v>89.949999999999989</v>
      </c>
      <c r="Q225" s="154">
        <f t="shared" si="183"/>
        <v>2.3064102564102562</v>
      </c>
      <c r="R225" s="155">
        <f t="shared" si="184"/>
        <v>32.25</v>
      </c>
      <c r="S225" s="328">
        <f t="shared" si="194"/>
        <v>0.82692307692307687</v>
      </c>
      <c r="T225" s="336">
        <f>IF((IF(('39 days'!$E28-'39 days'!$E$3)&lt;0, 0, ('39 days'!$E28-'39 days'!$E$3)))+(IF(('39 days'!$F28-'39 days'!$F$3)&lt;0, 0, ('39 days'!$F28-'39 days'!$F$3)))+('39 days'!$H28*'39 days'!$G28)+('39 days'!$I28)&lt;0, 0, (IF(('39 days'!$E28-'39 days'!$E$3)&lt;0, 0, ('39 days'!$E28-'39 days'!$E$3)))+(IF(('39 days'!$F28-'39 days'!$F$3)&lt;0, 0, ('39 days'!$F28-'39 days'!$F$3)))+('39 days'!$H28*'39 days'!$G28)+('39 days'!$I28))</f>
        <v>8.1000000000000014</v>
      </c>
      <c r="U225" s="158">
        <f>I27-'Raw data'!T225</f>
        <v>54.9</v>
      </c>
      <c r="V225" s="154">
        <f t="shared" si="185"/>
        <v>1.4076923076923076</v>
      </c>
      <c r="W225" s="155">
        <f t="shared" si="208"/>
        <v>1.7543956043956044</v>
      </c>
      <c r="X225" s="196">
        <f t="shared" si="198"/>
        <v>39</v>
      </c>
      <c r="Y225" s="213">
        <f t="shared" si="189"/>
        <v>39</v>
      </c>
      <c r="Z225" s="163">
        <f>'39 days'!J28</f>
        <v>0</v>
      </c>
      <c r="AA225" s="154">
        <f>'39 days'!K28</f>
        <v>0</v>
      </c>
      <c r="AB225" s="163">
        <f>'39 days'!L28</f>
        <v>0</v>
      </c>
      <c r="AC225" s="154">
        <f>'39 days'!M28</f>
        <v>0</v>
      </c>
      <c r="AD225" s="213">
        <f>'39 days'!N28</f>
        <v>0</v>
      </c>
      <c r="AE225" s="154">
        <f>'39 days'!O28</f>
        <v>0</v>
      </c>
      <c r="AF225" s="163">
        <f t="shared" si="190"/>
        <v>0</v>
      </c>
      <c r="AG225" s="160">
        <f t="shared" si="191"/>
        <v>0</v>
      </c>
      <c r="AI225" s="319" t="s">
        <v>118</v>
      </c>
      <c r="AJ225" s="162">
        <f t="shared" si="210"/>
        <v>24</v>
      </c>
      <c r="AK225" s="163" t="str">
        <f>INDEX(Map!$W$2:$W$67, MATCH('Raw data'!AJ225, Map!$V$2:$V$67,0))</f>
        <v>T4</v>
      </c>
      <c r="AL225" s="165" t="str">
        <f>INDEX(Map!$X$2:$X$67, MATCH('Raw data'!AJ225, Map!$V$2:$V$67,0))</f>
        <v>R10</v>
      </c>
      <c r="AM225" s="319">
        <f t="shared" si="211"/>
        <v>89.949999999999989</v>
      </c>
      <c r="AN225" s="150">
        <f t="shared" si="212"/>
        <v>2.3064102564102562</v>
      </c>
      <c r="AO225" s="151">
        <f t="shared" si="213"/>
        <v>32.25</v>
      </c>
      <c r="AP225" s="150">
        <f t="shared" si="214"/>
        <v>0.82692307692307687</v>
      </c>
      <c r="AQ225" s="151">
        <f t="shared" si="215"/>
        <v>54.9</v>
      </c>
      <c r="AR225" s="149">
        <f t="shared" si="216"/>
        <v>1.4076923076923076</v>
      </c>
      <c r="AS225" s="150">
        <f t="shared" si="217"/>
        <v>1.7023255813953488</v>
      </c>
    </row>
    <row r="226" spans="10:45" x14ac:dyDescent="0.25">
      <c r="J226" s="1" t="str">
        <f t="shared" si="209"/>
        <v>OK</v>
      </c>
      <c r="K226" s="164" t="s">
        <v>90</v>
      </c>
      <c r="L226" s="162">
        <f>'39 days'!$A29</f>
        <v>25</v>
      </c>
      <c r="M226" s="163">
        <f>'39 days'!B29</f>
        <v>39</v>
      </c>
      <c r="N226" s="163" t="str">
        <f>INDEX(Map!$W$2:$W$67, MATCH('Raw data'!L226, Map!$V$2:$V$67,0))</f>
        <v>T2</v>
      </c>
      <c r="O226" s="165" t="str">
        <f>INDEX(Map!$X$2:$X$67, MATCH('Raw data'!L226, Map!$V$2:$V$67,0))</f>
        <v>R4</v>
      </c>
      <c r="P226" s="158">
        <f>('39 days'!$C29-'39 days'!$C$3)+('39 days'!$D29-'39 days'!$C$3)</f>
        <v>90.3</v>
      </c>
      <c r="Q226" s="154">
        <f t="shared" si="183"/>
        <v>2.3153846153846152</v>
      </c>
      <c r="R226" s="155">
        <f t="shared" si="184"/>
        <v>33.349999999999994</v>
      </c>
      <c r="S226" s="328">
        <f t="shared" si="194"/>
        <v>0.85512820512820498</v>
      </c>
      <c r="T226" s="336">
        <f>IF((IF(('39 days'!$E29-'39 days'!$E$3)&lt;0, 0, ('39 days'!$E29-'39 days'!$E$3)))+(IF(('39 days'!$F29-'39 days'!$F$3)&lt;0, 0, ('39 days'!$F29-'39 days'!$F$3)))+('39 days'!$H29*'39 days'!$G29)+('39 days'!$I29)&lt;0, 0, (IF(('39 days'!$E29-'39 days'!$E$3)&lt;0, 0, ('39 days'!$E29-'39 days'!$E$3)))+(IF(('39 days'!$F29-'39 days'!$F$3)&lt;0, 0, ('39 days'!$F29-'39 days'!$F$3)))+('39 days'!$H29*'39 days'!$G29)+('39 days'!$I29))</f>
        <v>8.0500000000000007</v>
      </c>
      <c r="U226" s="158">
        <f>I28-'Raw data'!T226</f>
        <v>54.95</v>
      </c>
      <c r="V226" s="154">
        <f t="shared" si="185"/>
        <v>1.4089743589743591</v>
      </c>
      <c r="W226" s="155">
        <f t="shared" si="208"/>
        <v>1.7119386637458929</v>
      </c>
      <c r="X226" s="196">
        <f t="shared" si="198"/>
        <v>39</v>
      </c>
      <c r="Y226" s="213">
        <f t="shared" si="189"/>
        <v>39</v>
      </c>
      <c r="Z226" s="163">
        <f>'39 days'!J29</f>
        <v>0</v>
      </c>
      <c r="AA226" s="154">
        <f>'39 days'!K29</f>
        <v>0</v>
      </c>
      <c r="AB226" s="163">
        <f>'39 days'!L29</f>
        <v>0</v>
      </c>
      <c r="AC226" s="154">
        <f>'39 days'!M29</f>
        <v>0</v>
      </c>
      <c r="AD226" s="213">
        <f>'39 days'!N29</f>
        <v>0</v>
      </c>
      <c r="AE226" s="154">
        <f>'39 days'!O29</f>
        <v>0</v>
      </c>
      <c r="AF226" s="163">
        <f t="shared" si="190"/>
        <v>0</v>
      </c>
      <c r="AG226" s="160">
        <f t="shared" si="191"/>
        <v>0</v>
      </c>
      <c r="AI226" s="319" t="s">
        <v>118</v>
      </c>
      <c r="AJ226" s="162">
        <f t="shared" si="210"/>
        <v>25</v>
      </c>
      <c r="AK226" s="163" t="str">
        <f>INDEX(Map!$W$2:$W$67, MATCH('Raw data'!AJ226, Map!$V$2:$V$67,0))</f>
        <v>T2</v>
      </c>
      <c r="AL226" s="165" t="str">
        <f>INDEX(Map!$X$2:$X$67, MATCH('Raw data'!AJ226, Map!$V$2:$V$67,0))</f>
        <v>R4</v>
      </c>
      <c r="AM226" s="319">
        <f t="shared" si="211"/>
        <v>90.3</v>
      </c>
      <c r="AN226" s="150">
        <f t="shared" si="212"/>
        <v>2.3153846153846152</v>
      </c>
      <c r="AO226" s="151">
        <f t="shared" si="213"/>
        <v>33.349999999999994</v>
      </c>
      <c r="AP226" s="150">
        <f t="shared" si="214"/>
        <v>0.85512820512820498</v>
      </c>
      <c r="AQ226" s="151">
        <f t="shared" si="215"/>
        <v>54.95</v>
      </c>
      <c r="AR226" s="149">
        <f t="shared" si="216"/>
        <v>1.4089743589743591</v>
      </c>
      <c r="AS226" s="150">
        <f t="shared" si="217"/>
        <v>1.6476761619190408</v>
      </c>
    </row>
    <row r="227" spans="10:45" x14ac:dyDescent="0.25">
      <c r="J227" s="1" t="str">
        <f t="shared" si="209"/>
        <v>OK</v>
      </c>
      <c r="K227" s="164" t="s">
        <v>90</v>
      </c>
      <c r="L227" s="162">
        <f>'39 days'!$A30</f>
        <v>26</v>
      </c>
      <c r="M227" s="163">
        <f>'39 days'!B30</f>
        <v>39</v>
      </c>
      <c r="N227" s="163" t="str">
        <f>INDEX(Map!$W$2:$W$67, MATCH('Raw data'!L227, Map!$V$2:$V$67,0))</f>
        <v>T3</v>
      </c>
      <c r="O227" s="165" t="str">
        <f>INDEX(Map!$X$2:$X$67, MATCH('Raw data'!L227, Map!$V$2:$V$67,0))</f>
        <v>R4</v>
      </c>
      <c r="P227" s="158">
        <f>('39 days'!$C30-'39 days'!$C$3)+('39 days'!$D30-'39 days'!$C$3)</f>
        <v>86.15</v>
      </c>
      <c r="Q227" s="154">
        <f t="shared" si="183"/>
        <v>2.2089743589743591</v>
      </c>
      <c r="R227" s="155">
        <f t="shared" si="184"/>
        <v>32.000000000000007</v>
      </c>
      <c r="S227" s="328">
        <f t="shared" si="194"/>
        <v>0.82051282051282071</v>
      </c>
      <c r="T227" s="336">
        <f>IF((IF(('39 days'!$E30-'39 days'!$E$3)&lt;0, 0, ('39 days'!$E30-'39 days'!$E$3)))+(IF(('39 days'!$F30-'39 days'!$F$3)&lt;0, 0, ('39 days'!$F30-'39 days'!$F$3)))+('39 days'!$H30*'39 days'!$G30)+('39 days'!$I30)&lt;0, 0, (IF(('39 days'!$E30-'39 days'!$E$3)&lt;0, 0, ('39 days'!$E30-'39 days'!$E$3)))+(IF(('39 days'!$F30-'39 days'!$F$3)&lt;0, 0, ('39 days'!$F30-'39 days'!$F$3)))+('39 days'!$H30*'39 days'!$G30)+('39 days'!$I30))</f>
        <v>9.4500000000000011</v>
      </c>
      <c r="U227" s="158">
        <f>I29-'Raw data'!T227</f>
        <v>53.55</v>
      </c>
      <c r="V227" s="154">
        <f t="shared" si="185"/>
        <v>1.3730769230769231</v>
      </c>
      <c r="W227" s="155">
        <f t="shared" si="208"/>
        <v>1.7581018518518519</v>
      </c>
      <c r="X227" s="196">
        <f t="shared" si="198"/>
        <v>39</v>
      </c>
      <c r="Y227" s="213">
        <f t="shared" si="189"/>
        <v>39</v>
      </c>
      <c r="Z227" s="163">
        <f>'39 days'!J30</f>
        <v>0</v>
      </c>
      <c r="AA227" s="154">
        <f>'39 days'!K30</f>
        <v>0</v>
      </c>
      <c r="AB227" s="163">
        <f>'39 days'!L30</f>
        <v>0</v>
      </c>
      <c r="AC227" s="154">
        <f>'39 days'!M30</f>
        <v>0</v>
      </c>
      <c r="AD227" s="213">
        <f>'39 days'!N30</f>
        <v>0</v>
      </c>
      <c r="AE227" s="154">
        <f>'39 days'!O30</f>
        <v>0</v>
      </c>
      <c r="AF227" s="163">
        <f t="shared" si="190"/>
        <v>0</v>
      </c>
      <c r="AG227" s="160">
        <f t="shared" si="191"/>
        <v>0</v>
      </c>
      <c r="AI227" s="319" t="s">
        <v>118</v>
      </c>
      <c r="AJ227" s="162">
        <f t="shared" si="210"/>
        <v>26</v>
      </c>
      <c r="AK227" s="163" t="str">
        <f>INDEX(Map!$W$2:$W$67, MATCH('Raw data'!AJ227, Map!$V$2:$V$67,0))</f>
        <v>T3</v>
      </c>
      <c r="AL227" s="165" t="str">
        <f>INDEX(Map!$X$2:$X$67, MATCH('Raw data'!AJ227, Map!$V$2:$V$67,0))</f>
        <v>R4</v>
      </c>
      <c r="AM227" s="319">
        <f t="shared" si="211"/>
        <v>86.15</v>
      </c>
      <c r="AN227" s="150">
        <f t="shared" si="212"/>
        <v>2.2089743589743591</v>
      </c>
      <c r="AO227" s="151">
        <f t="shared" si="213"/>
        <v>32.000000000000007</v>
      </c>
      <c r="AP227" s="150">
        <f t="shared" si="214"/>
        <v>0.82051282051282071</v>
      </c>
      <c r="AQ227" s="151">
        <f t="shared" si="215"/>
        <v>53.55</v>
      </c>
      <c r="AR227" s="149">
        <f t="shared" si="216"/>
        <v>1.3730769230769231</v>
      </c>
      <c r="AS227" s="150">
        <f t="shared" si="217"/>
        <v>1.6734374999999995</v>
      </c>
    </row>
    <row r="228" spans="10:45" x14ac:dyDescent="0.25">
      <c r="J228" s="1" t="str">
        <f t="shared" si="209"/>
        <v>OK</v>
      </c>
      <c r="K228" s="164" t="s">
        <v>90</v>
      </c>
      <c r="L228" s="162">
        <f>'39 days'!$A31</f>
        <v>27</v>
      </c>
      <c r="M228" s="163">
        <f>'39 days'!B31</f>
        <v>39</v>
      </c>
      <c r="N228" s="163" t="str">
        <f>INDEX(Map!$W$2:$W$67, MATCH('Raw data'!L228, Map!$V$2:$V$67,0))</f>
        <v>T1</v>
      </c>
      <c r="O228" s="165" t="str">
        <f>INDEX(Map!$X$2:$X$67, MATCH('Raw data'!L228, Map!$V$2:$V$67,0))</f>
        <v>R4</v>
      </c>
      <c r="P228" s="158">
        <f>('39 days'!$C31-'39 days'!$C$3)+('39 days'!$D31-'39 days'!$C$3)</f>
        <v>91.699999999999989</v>
      </c>
      <c r="Q228" s="154">
        <f t="shared" si="183"/>
        <v>2.3512820512820509</v>
      </c>
      <c r="R228" s="155">
        <f t="shared" si="184"/>
        <v>33.199999999999996</v>
      </c>
      <c r="S228" s="328">
        <f t="shared" si="194"/>
        <v>0.85128205128205114</v>
      </c>
      <c r="T228" s="336">
        <f>IF((IF(('39 days'!$E31-'39 days'!$E$3)&lt;0, 0, ('39 days'!$E31-'39 days'!$E$3)))+(IF(('39 days'!$F31-'39 days'!$F$3)&lt;0, 0, ('39 days'!$F31-'39 days'!$F$3)))+('39 days'!$H31*'39 days'!$G31)+('39 days'!$I31)&lt;0, 0, (IF(('39 days'!$E31-'39 days'!$E$3)&lt;0, 0, ('39 days'!$E31-'39 days'!$E$3)))+(IF(('39 days'!$F31-'39 days'!$F$3)&lt;0, 0, ('39 days'!$F31-'39 days'!$F$3)))+('39 days'!$H31*'39 days'!$G31)+('39 days'!$I31))</f>
        <v>7.3000000000000007</v>
      </c>
      <c r="U228" s="158">
        <f>I30-'Raw data'!T228</f>
        <v>55.7</v>
      </c>
      <c r="V228" s="154">
        <f t="shared" si="185"/>
        <v>1.4282051282051282</v>
      </c>
      <c r="W228" s="155">
        <f t="shared" si="208"/>
        <v>1.7257543103448276</v>
      </c>
      <c r="X228" s="196">
        <f t="shared" si="198"/>
        <v>39</v>
      </c>
      <c r="Y228" s="213">
        <f t="shared" si="189"/>
        <v>39</v>
      </c>
      <c r="Z228" s="163">
        <f>'39 days'!J31</f>
        <v>0</v>
      </c>
      <c r="AA228" s="154">
        <f>'39 days'!K31</f>
        <v>0</v>
      </c>
      <c r="AB228" s="163">
        <f>'39 days'!L31</f>
        <v>0</v>
      </c>
      <c r="AC228" s="154">
        <f>'39 days'!M31</f>
        <v>0</v>
      </c>
      <c r="AD228" s="213">
        <f>'39 days'!N31</f>
        <v>0</v>
      </c>
      <c r="AE228" s="154">
        <f>'39 days'!O31</f>
        <v>0</v>
      </c>
      <c r="AF228" s="163">
        <f t="shared" si="190"/>
        <v>0</v>
      </c>
      <c r="AG228" s="160">
        <f t="shared" si="191"/>
        <v>0</v>
      </c>
      <c r="AI228" s="319" t="s">
        <v>118</v>
      </c>
      <c r="AJ228" s="162">
        <f t="shared" si="210"/>
        <v>27</v>
      </c>
      <c r="AK228" s="163" t="str">
        <f>INDEX(Map!$W$2:$W$67, MATCH('Raw data'!AJ228, Map!$V$2:$V$67,0))</f>
        <v>T1</v>
      </c>
      <c r="AL228" s="165" t="str">
        <f>INDEX(Map!$X$2:$X$67, MATCH('Raw data'!AJ228, Map!$V$2:$V$67,0))</f>
        <v>R4</v>
      </c>
      <c r="AM228" s="319">
        <f t="shared" si="211"/>
        <v>91.699999999999989</v>
      </c>
      <c r="AN228" s="150">
        <f t="shared" si="212"/>
        <v>2.3512820512820509</v>
      </c>
      <c r="AO228" s="151">
        <f t="shared" si="213"/>
        <v>33.199999999999996</v>
      </c>
      <c r="AP228" s="150">
        <f t="shared" si="214"/>
        <v>0.85128205128205114</v>
      </c>
      <c r="AQ228" s="151">
        <f t="shared" si="215"/>
        <v>55.7</v>
      </c>
      <c r="AR228" s="149">
        <f t="shared" si="216"/>
        <v>1.4282051282051282</v>
      </c>
      <c r="AS228" s="150">
        <f t="shared" si="217"/>
        <v>1.6777108433734942</v>
      </c>
    </row>
    <row r="229" spans="10:45" x14ac:dyDescent="0.25">
      <c r="J229" s="1" t="str">
        <f t="shared" si="209"/>
        <v>OK</v>
      </c>
      <c r="K229" s="164" t="s">
        <v>90</v>
      </c>
      <c r="L229" s="162">
        <f>'39 days'!$A32</f>
        <v>28</v>
      </c>
      <c r="M229" s="163">
        <f>'39 days'!B32</f>
        <v>38</v>
      </c>
      <c r="N229" s="163" t="str">
        <f>INDEX(Map!$W$2:$W$67, MATCH('Raw data'!L229, Map!$V$2:$V$67,0))</f>
        <v>T5</v>
      </c>
      <c r="O229" s="165" t="str">
        <f>INDEX(Map!$X$2:$X$67, MATCH('Raw data'!L229, Map!$V$2:$V$67,0))</f>
        <v>R4</v>
      </c>
      <c r="P229" s="158">
        <f>('39 days'!$C32-'39 days'!$C$3)+('39 days'!$D32-'39 days'!$C$3)</f>
        <v>83.65</v>
      </c>
      <c r="Q229" s="154">
        <f t="shared" si="183"/>
        <v>2.2013157894736843</v>
      </c>
      <c r="R229" s="155">
        <f t="shared" si="184"/>
        <v>27.077500000000004</v>
      </c>
      <c r="S229" s="328">
        <f t="shared" si="194"/>
        <v>0.71256578947368432</v>
      </c>
      <c r="T229" s="336">
        <f>IF((IF(('39 days'!$E32-'39 days'!$E$3)&lt;0, 0, ('39 days'!$E32-'39 days'!$E$3)))+(IF(('39 days'!$F32-'39 days'!$F$3)&lt;0, 0, ('39 days'!$F32-'39 days'!$F$3)))+('39 days'!$H32*'39 days'!$G32)+('39 days'!$I32)&lt;0, 0, (IF(('39 days'!$E32-'39 days'!$E$3)&lt;0, 0, ('39 days'!$E32-'39 days'!$E$3)))+(IF(('39 days'!$F32-'39 days'!$F$3)&lt;0, 0, ('39 days'!$F32-'39 days'!$F$3)))+('39 days'!$H32*'39 days'!$G32)+('39 days'!$I32))</f>
        <v>11.600000000000001</v>
      </c>
      <c r="U229" s="158">
        <f>I31-'Raw data'!T229</f>
        <v>51.4</v>
      </c>
      <c r="V229" s="154">
        <f t="shared" si="185"/>
        <v>1.3526315789473684</v>
      </c>
      <c r="W229" s="155">
        <f t="shared" si="208"/>
        <v>1.7623528086089353</v>
      </c>
      <c r="X229" s="196">
        <f t="shared" si="198"/>
        <v>40</v>
      </c>
      <c r="Y229" s="213">
        <f t="shared" si="189"/>
        <v>38</v>
      </c>
      <c r="Z229" s="163">
        <f>'39 days'!J32</f>
        <v>2</v>
      </c>
      <c r="AA229" s="154">
        <f>'39 days'!K32</f>
        <v>5.0949999999999998</v>
      </c>
      <c r="AB229" s="163">
        <f>'39 days'!L32</f>
        <v>0</v>
      </c>
      <c r="AC229" s="154">
        <f>'39 days'!M32</f>
        <v>0</v>
      </c>
      <c r="AD229" s="213">
        <f>'39 days'!N32</f>
        <v>0</v>
      </c>
      <c r="AE229" s="154">
        <f>'39 days'!O32</f>
        <v>0</v>
      </c>
      <c r="AF229" s="163">
        <f t="shared" si="190"/>
        <v>2</v>
      </c>
      <c r="AG229" s="160">
        <f t="shared" si="191"/>
        <v>5.0949999999999998</v>
      </c>
      <c r="AI229" s="319" t="s">
        <v>118</v>
      </c>
      <c r="AJ229" s="162">
        <f t="shared" si="210"/>
        <v>28</v>
      </c>
      <c r="AK229" s="163" t="str">
        <f>INDEX(Map!$W$2:$W$67, MATCH('Raw data'!AJ229, Map!$V$2:$V$67,0))</f>
        <v>T5</v>
      </c>
      <c r="AL229" s="165" t="str">
        <f>INDEX(Map!$X$2:$X$67, MATCH('Raw data'!AJ229, Map!$V$2:$V$67,0))</f>
        <v>R4</v>
      </c>
      <c r="AM229" s="319">
        <f t="shared" si="211"/>
        <v>83.65</v>
      </c>
      <c r="AN229" s="150">
        <f t="shared" si="212"/>
        <v>2.2013157894736843</v>
      </c>
      <c r="AO229" s="151">
        <f t="shared" si="213"/>
        <v>27.077500000000004</v>
      </c>
      <c r="AP229" s="150">
        <f t="shared" si="214"/>
        <v>0.71256578947368432</v>
      </c>
      <c r="AQ229" s="151">
        <f t="shared" si="215"/>
        <v>51.4</v>
      </c>
      <c r="AR229" s="149">
        <f t="shared" si="216"/>
        <v>1.3526315789473684</v>
      </c>
      <c r="AS229" s="150">
        <f t="shared" si="217"/>
        <v>1.5976377340896726</v>
      </c>
    </row>
    <row r="230" spans="10:45" x14ac:dyDescent="0.25">
      <c r="J230" s="1" t="str">
        <f t="shared" si="209"/>
        <v>OK</v>
      </c>
      <c r="K230" s="164" t="s">
        <v>90</v>
      </c>
      <c r="L230" s="162">
        <f>'39 days'!$A33</f>
        <v>29</v>
      </c>
      <c r="M230" s="163">
        <f>'39 days'!B33</f>
        <v>37</v>
      </c>
      <c r="N230" s="163" t="str">
        <f>INDEX(Map!$W$2:$W$67, MATCH('Raw data'!L230, Map!$V$2:$V$67,0))</f>
        <v>T6</v>
      </c>
      <c r="O230" s="165" t="str">
        <f>INDEX(Map!$X$2:$X$67, MATCH('Raw data'!L230, Map!$V$2:$V$67,0))</f>
        <v>R4</v>
      </c>
      <c r="P230" s="158">
        <f>('39 days'!$C33-'39 days'!$C$3)+('39 days'!$D33-'39 days'!$C$3)</f>
        <v>81.800000000000011</v>
      </c>
      <c r="Q230" s="154">
        <f t="shared" si="183"/>
        <v>2.2108108108108113</v>
      </c>
      <c r="R230" s="155">
        <f t="shared" si="184"/>
        <v>28.393421052631606</v>
      </c>
      <c r="S230" s="328">
        <f t="shared" ref="S230:S261" si="218">Q230-Q164</f>
        <v>0.76738975817923261</v>
      </c>
      <c r="T230" s="336">
        <f>IF((IF(('39 days'!$E33-'39 days'!$E$3)&lt;0, 0, ('39 days'!$E33-'39 days'!$E$3)))+(IF(('39 days'!$F33-'39 days'!$F$3)&lt;0, 0, ('39 days'!$F33-'39 days'!$F$3)))+('39 days'!$H33*'39 days'!$G33)+('39 days'!$I33)&lt;0, 0, (IF(('39 days'!$E33-'39 days'!$E$3)&lt;0, 0, ('39 days'!$E33-'39 days'!$E$3)))+(IF(('39 days'!$F33-'39 days'!$F$3)&lt;0, 0, ('39 days'!$F33-'39 days'!$F$3)))+('39 days'!$H33*'39 days'!$G33)+('39 days'!$I33))</f>
        <v>12.5</v>
      </c>
      <c r="U230" s="158">
        <f>I32-'Raw data'!T230</f>
        <v>50.5</v>
      </c>
      <c r="V230" s="154">
        <f t="shared" si="185"/>
        <v>1.3648648648648649</v>
      </c>
      <c r="W230" s="155">
        <f t="shared" si="208"/>
        <v>1.7776105579995369</v>
      </c>
      <c r="X230" s="196">
        <f t="shared" si="198"/>
        <v>38</v>
      </c>
      <c r="Y230" s="213">
        <f t="shared" si="189"/>
        <v>37</v>
      </c>
      <c r="Z230" s="163">
        <f>'39 days'!J33</f>
        <v>1</v>
      </c>
      <c r="AA230" s="154">
        <f>'39 days'!K33</f>
        <v>2.8</v>
      </c>
      <c r="AB230" s="163">
        <f>'39 days'!L33</f>
        <v>0</v>
      </c>
      <c r="AC230" s="154">
        <f>'39 days'!M33</f>
        <v>0</v>
      </c>
      <c r="AD230" s="213">
        <f>'39 days'!N33</f>
        <v>0</v>
      </c>
      <c r="AE230" s="154">
        <f>'39 days'!O33</f>
        <v>0</v>
      </c>
      <c r="AF230" s="163">
        <f t="shared" si="190"/>
        <v>1</v>
      </c>
      <c r="AG230" s="160">
        <f t="shared" si="191"/>
        <v>2.8</v>
      </c>
      <c r="AI230" s="319" t="s">
        <v>118</v>
      </c>
      <c r="AJ230" s="162">
        <f t="shared" si="210"/>
        <v>29</v>
      </c>
      <c r="AK230" s="163" t="str">
        <f>INDEX(Map!$W$2:$W$67, MATCH('Raw data'!AJ230, Map!$V$2:$V$67,0))</f>
        <v>T6</v>
      </c>
      <c r="AL230" s="165" t="str">
        <f>INDEX(Map!$X$2:$X$67, MATCH('Raw data'!AJ230, Map!$V$2:$V$67,0))</f>
        <v>R4</v>
      </c>
      <c r="AM230" s="319">
        <f t="shared" si="211"/>
        <v>81.800000000000011</v>
      </c>
      <c r="AN230" s="150">
        <f t="shared" si="212"/>
        <v>2.2108108108108113</v>
      </c>
      <c r="AO230" s="151">
        <f t="shared" si="213"/>
        <v>28.393421052631606</v>
      </c>
      <c r="AP230" s="150">
        <f t="shared" si="214"/>
        <v>0.76738975817923261</v>
      </c>
      <c r="AQ230" s="151">
        <f t="shared" si="215"/>
        <v>50.5</v>
      </c>
      <c r="AR230" s="149">
        <f t="shared" si="216"/>
        <v>1.3648648648648649</v>
      </c>
      <c r="AS230" s="150">
        <f t="shared" si="217"/>
        <v>1.6189311173914862</v>
      </c>
    </row>
    <row r="231" spans="10:45" x14ac:dyDescent="0.25">
      <c r="J231" s="1" t="str">
        <f t="shared" si="209"/>
        <v>OK</v>
      </c>
      <c r="K231" s="164" t="s">
        <v>90</v>
      </c>
      <c r="L231" s="162">
        <f>'39 days'!$A34</f>
        <v>30</v>
      </c>
      <c r="M231" s="163">
        <f>'39 days'!B34</f>
        <v>37</v>
      </c>
      <c r="N231" s="163" t="str">
        <f>INDEX(Map!$W$2:$W$67, MATCH('Raw data'!L231, Map!$V$2:$V$67,0))</f>
        <v>T4</v>
      </c>
      <c r="O231" s="165" t="str">
        <f>INDEX(Map!$X$2:$X$67, MATCH('Raw data'!L231, Map!$V$2:$V$67,0))</f>
        <v>R4</v>
      </c>
      <c r="P231" s="158">
        <f>('39 days'!$C34-'39 days'!$C$3)+('39 days'!$D34-'39 days'!$C$3)</f>
        <v>85.5</v>
      </c>
      <c r="Q231" s="154">
        <f t="shared" si="183"/>
        <v>2.310810810810811</v>
      </c>
      <c r="R231" s="155">
        <f t="shared" si="184"/>
        <v>31.250000000000007</v>
      </c>
      <c r="S231" s="328">
        <f t="shared" si="218"/>
        <v>0.84459459459459474</v>
      </c>
      <c r="T231" s="336">
        <f>IF((IF(('39 days'!$E34-'39 days'!$E$3)&lt;0, 0, ('39 days'!$E34-'39 days'!$E$3)))+(IF(('39 days'!$F34-'39 days'!$F$3)&lt;0, 0, ('39 days'!$F34-'39 days'!$F$3)))+('39 days'!$H34*'39 days'!$G34)+('39 days'!$I34)&lt;0, 0, (IF(('39 days'!$E34-'39 days'!$E$3)&lt;0, 0, ('39 days'!$E34-'39 days'!$E$3)))+(IF(('39 days'!$F34-'39 days'!$F$3)&lt;0, 0, ('39 days'!$F34-'39 days'!$F$3)))+('39 days'!$H34*'39 days'!$G34)+('39 days'!$I34))</f>
        <v>10</v>
      </c>
      <c r="U231" s="158">
        <f>I33-'Raw data'!T231</f>
        <v>53</v>
      </c>
      <c r="V231" s="154">
        <f t="shared" si="185"/>
        <v>1.4324324324324325</v>
      </c>
      <c r="W231" s="155">
        <f t="shared" si="208"/>
        <v>1.7711562751176944</v>
      </c>
      <c r="X231" s="196">
        <f t="shared" si="198"/>
        <v>37</v>
      </c>
      <c r="Y231" s="213">
        <f t="shared" si="189"/>
        <v>37</v>
      </c>
      <c r="Z231" s="163">
        <f>'39 days'!J34</f>
        <v>0</v>
      </c>
      <c r="AA231" s="154">
        <f>'39 days'!K34</f>
        <v>0</v>
      </c>
      <c r="AB231" s="163">
        <f>'39 days'!L34</f>
        <v>0</v>
      </c>
      <c r="AC231" s="154">
        <f>'39 days'!M34</f>
        <v>0</v>
      </c>
      <c r="AD231" s="213">
        <f>'39 days'!N34</f>
        <v>0</v>
      </c>
      <c r="AE231" s="154">
        <f>'39 days'!O34</f>
        <v>0</v>
      </c>
      <c r="AF231" s="163">
        <f t="shared" si="190"/>
        <v>0</v>
      </c>
      <c r="AG231" s="160">
        <f t="shared" si="191"/>
        <v>0</v>
      </c>
      <c r="AI231" s="319" t="s">
        <v>118</v>
      </c>
      <c r="AJ231" s="162">
        <f t="shared" si="210"/>
        <v>30</v>
      </c>
      <c r="AK231" s="163" t="str">
        <f>INDEX(Map!$W$2:$W$67, MATCH('Raw data'!AJ231, Map!$V$2:$V$67,0))</f>
        <v>T4</v>
      </c>
      <c r="AL231" s="165" t="str">
        <f>INDEX(Map!$X$2:$X$67, MATCH('Raw data'!AJ231, Map!$V$2:$V$67,0))</f>
        <v>R4</v>
      </c>
      <c r="AM231" s="319">
        <f t="shared" si="211"/>
        <v>85.5</v>
      </c>
      <c r="AN231" s="150">
        <f t="shared" si="212"/>
        <v>2.310810810810811</v>
      </c>
      <c r="AO231" s="151">
        <f t="shared" si="213"/>
        <v>31.250000000000007</v>
      </c>
      <c r="AP231" s="150">
        <f t="shared" si="214"/>
        <v>0.84459459459459474</v>
      </c>
      <c r="AQ231" s="151">
        <f t="shared" si="215"/>
        <v>53</v>
      </c>
      <c r="AR231" s="149">
        <f t="shared" si="216"/>
        <v>1.4324324324324325</v>
      </c>
      <c r="AS231" s="150">
        <f t="shared" si="217"/>
        <v>1.6959999999999995</v>
      </c>
    </row>
    <row r="232" spans="10:45" x14ac:dyDescent="0.25">
      <c r="J232" s="1" t="str">
        <f t="shared" si="209"/>
        <v>OK</v>
      </c>
      <c r="K232" s="164" t="s">
        <v>90</v>
      </c>
      <c r="L232" s="162">
        <f>'39 days'!$A35</f>
        <v>31</v>
      </c>
      <c r="M232" s="163">
        <f>'39 days'!B35</f>
        <v>38</v>
      </c>
      <c r="N232" s="163" t="str">
        <f>INDEX(Map!$W$2:$W$67, MATCH('Raw data'!L232, Map!$V$2:$V$67,0))</f>
        <v>T1</v>
      </c>
      <c r="O232" s="165" t="str">
        <f>INDEX(Map!$X$2:$X$67, MATCH('Raw data'!L232, Map!$V$2:$V$67,0))</f>
        <v>R5</v>
      </c>
      <c r="P232" s="158">
        <f>('39 days'!$C35-'39 days'!$C$3)+('39 days'!$D35-'39 days'!$C$3)</f>
        <v>80.7</v>
      </c>
      <c r="Q232" s="154">
        <f t="shared" si="183"/>
        <v>2.1236842105263158</v>
      </c>
      <c r="R232" s="155">
        <f t="shared" si="184"/>
        <v>29.900000000000006</v>
      </c>
      <c r="S232" s="328">
        <f t="shared" si="218"/>
        <v>0.78684210526315801</v>
      </c>
      <c r="T232" s="336">
        <f>IF((IF(('39 days'!$E35-'39 days'!$E$3)&lt;0, 0, ('39 days'!$E35-'39 days'!$E$3)))+(IF(('39 days'!$F35-'39 days'!$F$3)&lt;0, 0, ('39 days'!$F35-'39 days'!$F$3)))+('39 days'!$H35*'39 days'!$G35)+('39 days'!$I35)&lt;0, 0, (IF(('39 days'!$E35-'39 days'!$E$3)&lt;0, 0, ('39 days'!$E35-'39 days'!$E$3)))+(IF(('39 days'!$F35-'39 days'!$F$3)&lt;0, 0, ('39 days'!$F35-'39 days'!$F$3)))+('39 days'!$H35*'39 days'!$G35)+('39 days'!$I35))</f>
        <v>12.100000000000001</v>
      </c>
      <c r="U232" s="158">
        <f>I34-'Raw data'!T232</f>
        <v>50.9</v>
      </c>
      <c r="V232" s="154">
        <f t="shared" si="185"/>
        <v>1.3394736842105264</v>
      </c>
      <c r="W232" s="155">
        <f t="shared" si="208"/>
        <v>1.7971671247802292</v>
      </c>
      <c r="X232" s="196">
        <f t="shared" si="198"/>
        <v>38</v>
      </c>
      <c r="Y232" s="213">
        <f t="shared" si="189"/>
        <v>38</v>
      </c>
      <c r="Z232" s="163">
        <f>'39 days'!J35</f>
        <v>0</v>
      </c>
      <c r="AA232" s="154">
        <f>'39 days'!K35</f>
        <v>0</v>
      </c>
      <c r="AB232" s="163">
        <f>'39 days'!L35</f>
        <v>0</v>
      </c>
      <c r="AC232" s="154">
        <f>'39 days'!M35</f>
        <v>0</v>
      </c>
      <c r="AD232" s="213">
        <f>'39 days'!N35</f>
        <v>0</v>
      </c>
      <c r="AE232" s="154">
        <f>'39 days'!O35</f>
        <v>0</v>
      </c>
      <c r="AF232" s="163">
        <f t="shared" si="190"/>
        <v>0</v>
      </c>
      <c r="AG232" s="160">
        <f t="shared" si="191"/>
        <v>0</v>
      </c>
      <c r="AI232" s="319" t="s">
        <v>118</v>
      </c>
      <c r="AJ232" s="162">
        <f t="shared" si="210"/>
        <v>31</v>
      </c>
      <c r="AK232" s="163" t="str">
        <f>INDEX(Map!$W$2:$W$67, MATCH('Raw data'!AJ232, Map!$V$2:$V$67,0))</f>
        <v>T1</v>
      </c>
      <c r="AL232" s="165" t="str">
        <f>INDEX(Map!$X$2:$X$67, MATCH('Raw data'!AJ232, Map!$V$2:$V$67,0))</f>
        <v>R5</v>
      </c>
      <c r="AM232" s="319">
        <f t="shared" si="211"/>
        <v>80.7</v>
      </c>
      <c r="AN232" s="150">
        <f t="shared" si="212"/>
        <v>2.1236842105263158</v>
      </c>
      <c r="AO232" s="151">
        <f t="shared" si="213"/>
        <v>29.900000000000006</v>
      </c>
      <c r="AP232" s="150">
        <f t="shared" si="214"/>
        <v>0.78684210526315801</v>
      </c>
      <c r="AQ232" s="151">
        <f t="shared" si="215"/>
        <v>50.9</v>
      </c>
      <c r="AR232" s="149">
        <f t="shared" si="216"/>
        <v>1.3394736842105264</v>
      </c>
      <c r="AS232" s="150">
        <f t="shared" si="217"/>
        <v>1.7023411371237454</v>
      </c>
    </row>
    <row r="233" spans="10:45" x14ac:dyDescent="0.25">
      <c r="J233" s="1" t="str">
        <f t="shared" si="209"/>
        <v>OK</v>
      </c>
      <c r="K233" s="164" t="s">
        <v>90</v>
      </c>
      <c r="L233" s="162">
        <f>'39 days'!$A36</f>
        <v>32</v>
      </c>
      <c r="M233" s="163">
        <f>'39 days'!B36</f>
        <v>38</v>
      </c>
      <c r="N233" s="163" t="str">
        <f>INDEX(Map!$W$2:$W$67, MATCH('Raw data'!L233, Map!$V$2:$V$67,0))</f>
        <v>T6</v>
      </c>
      <c r="O233" s="165" t="str">
        <f>INDEX(Map!$X$2:$X$67, MATCH('Raw data'!L233, Map!$V$2:$V$67,0))</f>
        <v>R5</v>
      </c>
      <c r="P233" s="158">
        <f>('39 days'!$C36-'39 days'!$C$3)+('39 days'!$D36-'39 days'!$C$3)</f>
        <v>84.45</v>
      </c>
      <c r="Q233" s="154">
        <f t="shared" si="183"/>
        <v>2.2223684210526318</v>
      </c>
      <c r="R233" s="155">
        <f t="shared" si="184"/>
        <v>31.00641025641027</v>
      </c>
      <c r="S233" s="328">
        <f t="shared" si="218"/>
        <v>0.81595816464237547</v>
      </c>
      <c r="T233" s="336">
        <f>IF((IF(('39 days'!$E36-'39 days'!$E$3)&lt;0, 0, ('39 days'!$E36-'39 days'!$E$3)))+(IF(('39 days'!$F36-'39 days'!$F$3)&lt;0, 0, ('39 days'!$F36-'39 days'!$F$3)))+('39 days'!$H36*'39 days'!$G36)+('39 days'!$I36)&lt;0, 0, (IF(('39 days'!$E36-'39 days'!$E$3)&lt;0, 0, ('39 days'!$E36-'39 days'!$E$3)))+(IF(('39 days'!$F36-'39 days'!$F$3)&lt;0, 0, ('39 days'!$F36-'39 days'!$F$3)))+('39 days'!$H36*'39 days'!$G36)+('39 days'!$I36))</f>
        <v>10.8</v>
      </c>
      <c r="U233" s="158">
        <f>I35-'Raw data'!T233</f>
        <v>52.2</v>
      </c>
      <c r="V233" s="154">
        <f t="shared" si="185"/>
        <v>1.3736842105263158</v>
      </c>
      <c r="W233" s="155">
        <f t="shared" si="208"/>
        <v>1.7420824841420686</v>
      </c>
      <c r="X233" s="196">
        <f t="shared" si="198"/>
        <v>39</v>
      </c>
      <c r="Y233" s="213">
        <f t="shared" si="189"/>
        <v>38</v>
      </c>
      <c r="Z233" s="163">
        <f>'39 days'!J36</f>
        <v>1</v>
      </c>
      <c r="AA233" s="154">
        <f>'39 days'!K36</f>
        <v>1.9379999999999999</v>
      </c>
      <c r="AB233" s="163">
        <f>'39 days'!L36</f>
        <v>0</v>
      </c>
      <c r="AC233" s="154">
        <f>'39 days'!M36</f>
        <v>0</v>
      </c>
      <c r="AD233" s="213">
        <f>'39 days'!N36</f>
        <v>0</v>
      </c>
      <c r="AE233" s="154">
        <f>'39 days'!O36</f>
        <v>0</v>
      </c>
      <c r="AF233" s="163">
        <f t="shared" si="190"/>
        <v>1</v>
      </c>
      <c r="AG233" s="160">
        <f t="shared" si="191"/>
        <v>1.9379999999999999</v>
      </c>
      <c r="AI233" s="319" t="s">
        <v>118</v>
      </c>
      <c r="AJ233" s="162">
        <f t="shared" si="210"/>
        <v>32</v>
      </c>
      <c r="AK233" s="163" t="str">
        <f>INDEX(Map!$W$2:$W$67, MATCH('Raw data'!AJ233, Map!$V$2:$V$67,0))</f>
        <v>T6</v>
      </c>
      <c r="AL233" s="165" t="str">
        <f>INDEX(Map!$X$2:$X$67, MATCH('Raw data'!AJ233, Map!$V$2:$V$67,0))</f>
        <v>R5</v>
      </c>
      <c r="AM233" s="319">
        <f t="shared" si="211"/>
        <v>84.45</v>
      </c>
      <c r="AN233" s="150">
        <f t="shared" si="212"/>
        <v>2.2223684210526318</v>
      </c>
      <c r="AO233" s="151">
        <f t="shared" si="213"/>
        <v>31.00641025641027</v>
      </c>
      <c r="AP233" s="150">
        <f t="shared" si="214"/>
        <v>0.81595816464237547</v>
      </c>
      <c r="AQ233" s="151">
        <f t="shared" si="215"/>
        <v>52.2</v>
      </c>
      <c r="AR233" s="149">
        <f t="shared" si="216"/>
        <v>1.3736842105263158</v>
      </c>
      <c r="AS233" s="150">
        <f t="shared" si="217"/>
        <v>1.5844873104032271</v>
      </c>
    </row>
    <row r="234" spans="10:45" x14ac:dyDescent="0.25">
      <c r="J234" s="1" t="str">
        <f t="shared" si="209"/>
        <v>OK</v>
      </c>
      <c r="K234" s="164" t="s">
        <v>90</v>
      </c>
      <c r="L234" s="162">
        <f>'39 days'!$A37</f>
        <v>33</v>
      </c>
      <c r="M234" s="163">
        <f>'39 days'!B37</f>
        <v>40</v>
      </c>
      <c r="N234" s="163" t="str">
        <f>INDEX(Map!$W$2:$W$67, MATCH('Raw data'!L234, Map!$V$2:$V$67,0))</f>
        <v>T3</v>
      </c>
      <c r="O234" s="165" t="str">
        <f>INDEX(Map!$X$2:$X$67, MATCH('Raw data'!L234, Map!$V$2:$V$67,0))</f>
        <v>R5</v>
      </c>
      <c r="P234" s="158">
        <f>('39 days'!$C37-'39 days'!$C$3)+('39 days'!$D37-'39 days'!$C$3)</f>
        <v>91.85</v>
      </c>
      <c r="Q234" s="154">
        <f t="shared" si="183"/>
        <v>2.2962499999999997</v>
      </c>
      <c r="R234" s="155">
        <f t="shared" si="184"/>
        <v>33.749999999999993</v>
      </c>
      <c r="S234" s="328">
        <f t="shared" si="218"/>
        <v>0.84374999999999978</v>
      </c>
      <c r="T234" s="336">
        <f>IF((IF(('39 days'!$E37-'39 days'!$E$3)&lt;0, 0, ('39 days'!$E37-'39 days'!$E$3)))+(IF(('39 days'!$F37-'39 days'!$F$3)&lt;0, 0, ('39 days'!$F37-'39 days'!$F$3)))+('39 days'!$H37*'39 days'!$G37)+('39 days'!$I37)&lt;0, 0, (IF(('39 days'!$E37-'39 days'!$E$3)&lt;0, 0, ('39 days'!$E37-'39 days'!$E$3)))+(IF(('39 days'!$F37-'39 days'!$F$3)&lt;0, 0, ('39 days'!$F37-'39 days'!$F$3)))+('39 days'!$H37*'39 days'!$G37)+('39 days'!$I37))</f>
        <v>6.3000000000000007</v>
      </c>
      <c r="U234" s="158">
        <f>I36-'Raw data'!T234</f>
        <v>56.7</v>
      </c>
      <c r="V234" s="154">
        <f t="shared" si="185"/>
        <v>1.4175</v>
      </c>
      <c r="W234" s="155">
        <f t="shared" ref="W234:W265" si="219">(U234+U168+U102+U36)/(P234+AG234+AG168+AG102+AG36)</f>
        <v>1.7441480675013612</v>
      </c>
      <c r="X234" s="196">
        <f t="shared" si="198"/>
        <v>40</v>
      </c>
      <c r="Y234" s="213">
        <f t="shared" si="189"/>
        <v>40</v>
      </c>
      <c r="Z234" s="163">
        <f>'39 days'!J37</f>
        <v>0</v>
      </c>
      <c r="AA234" s="154">
        <f>'39 days'!K37</f>
        <v>0</v>
      </c>
      <c r="AB234" s="163">
        <f>'39 days'!L37</f>
        <v>0</v>
      </c>
      <c r="AC234" s="154">
        <f>'39 days'!M37</f>
        <v>0</v>
      </c>
      <c r="AD234" s="213">
        <f>'39 days'!N37</f>
        <v>0</v>
      </c>
      <c r="AE234" s="154">
        <f>'39 days'!O37</f>
        <v>0</v>
      </c>
      <c r="AF234" s="163">
        <f t="shared" si="190"/>
        <v>0</v>
      </c>
      <c r="AG234" s="160">
        <f t="shared" si="191"/>
        <v>0</v>
      </c>
      <c r="AI234" s="319" t="s">
        <v>118</v>
      </c>
      <c r="AJ234" s="162">
        <f t="shared" si="210"/>
        <v>33</v>
      </c>
      <c r="AK234" s="163" t="str">
        <f>INDEX(Map!$W$2:$W$67, MATCH('Raw data'!AJ234, Map!$V$2:$V$67,0))</f>
        <v>T3</v>
      </c>
      <c r="AL234" s="165" t="str">
        <f>INDEX(Map!$X$2:$X$67, MATCH('Raw data'!AJ234, Map!$V$2:$V$67,0))</f>
        <v>R5</v>
      </c>
      <c r="AM234" s="319">
        <f t="shared" si="211"/>
        <v>91.85</v>
      </c>
      <c r="AN234" s="150">
        <f t="shared" si="212"/>
        <v>2.2962499999999997</v>
      </c>
      <c r="AO234" s="151">
        <f t="shared" si="213"/>
        <v>33.749999999999993</v>
      </c>
      <c r="AP234" s="150">
        <f t="shared" si="214"/>
        <v>0.84374999999999978</v>
      </c>
      <c r="AQ234" s="151">
        <f t="shared" si="215"/>
        <v>56.7</v>
      </c>
      <c r="AR234" s="149">
        <f t="shared" si="216"/>
        <v>1.4175</v>
      </c>
      <c r="AS234" s="150">
        <f t="shared" si="217"/>
        <v>1.6800000000000004</v>
      </c>
    </row>
    <row r="235" spans="10:45" x14ac:dyDescent="0.25">
      <c r="J235" s="1" t="str">
        <f>IF(M235=Y235,"OK","Verificar")</f>
        <v>OK</v>
      </c>
      <c r="K235" s="164" t="s">
        <v>90</v>
      </c>
      <c r="L235" s="162">
        <f>'39 days'!$A38</f>
        <v>34</v>
      </c>
      <c r="M235" s="163">
        <f>'39 days'!B38</f>
        <v>37</v>
      </c>
      <c r="N235" s="163" t="str">
        <f>INDEX(Map!$W$2:$W$67, MATCH('Raw data'!L235, Map!$V$2:$V$67,0))</f>
        <v>T2</v>
      </c>
      <c r="O235" s="165" t="str">
        <f>INDEX(Map!$X$2:$X$67, MATCH('Raw data'!L235, Map!$V$2:$V$67,0))</f>
        <v>R5</v>
      </c>
      <c r="P235" s="158">
        <f>('39 days'!$C38-'39 days'!$C$3)+('39 days'!$D38-'39 days'!$C$3)</f>
        <v>85</v>
      </c>
      <c r="Q235" s="154">
        <f t="shared" si="183"/>
        <v>2.2972972972972974</v>
      </c>
      <c r="R235" s="155">
        <f t="shared" si="184"/>
        <v>31.492307692307705</v>
      </c>
      <c r="S235" s="328">
        <f t="shared" si="218"/>
        <v>0.85114345114345147</v>
      </c>
      <c r="T235" s="336">
        <f>IF((IF(('39 days'!$E38-'39 days'!$E$3)&lt;0, 0, ('39 days'!$E38-'39 days'!$E$3)))+(IF(('39 days'!$F38-'39 days'!$F$3)&lt;0, 0, ('39 days'!$F38-'39 days'!$F$3)))+('39 days'!$H38*'39 days'!$G38)+('39 days'!$I38)&lt;0, 0, (IF(('39 days'!$E38-'39 days'!$E$3)&lt;0, 0, ('39 days'!$E38-'39 days'!$E$3)))+(IF(('39 days'!$F38-'39 days'!$F$3)&lt;0, 0, ('39 days'!$F38-'39 days'!$F$3)))+('39 days'!$H38*'39 days'!$G38)+('39 days'!$I38))</f>
        <v>9.5500000000000007</v>
      </c>
      <c r="U235" s="158">
        <f>I37-'Raw data'!T235</f>
        <v>53.45</v>
      </c>
      <c r="V235" s="154">
        <f t="shared" si="185"/>
        <v>1.4445945945945946</v>
      </c>
      <c r="W235" s="155">
        <f t="shared" si="219"/>
        <v>1.7375489647453835</v>
      </c>
      <c r="X235" s="196">
        <f t="shared" si="198"/>
        <v>39</v>
      </c>
      <c r="Y235" s="213">
        <f t="shared" si="189"/>
        <v>37</v>
      </c>
      <c r="Z235" s="163">
        <f>'39 days'!J38</f>
        <v>2</v>
      </c>
      <c r="AA235" s="154">
        <f>'39 days'!K38</f>
        <v>3.3</v>
      </c>
      <c r="AB235" s="163">
        <f>'39 days'!L38</f>
        <v>0</v>
      </c>
      <c r="AC235" s="154">
        <f>'39 days'!M38</f>
        <v>0</v>
      </c>
      <c r="AD235" s="213">
        <f>'39 days'!N38</f>
        <v>0</v>
      </c>
      <c r="AE235" s="154">
        <f>'39 days'!O38</f>
        <v>0</v>
      </c>
      <c r="AF235" s="163">
        <f t="shared" si="190"/>
        <v>2</v>
      </c>
      <c r="AG235" s="160">
        <f t="shared" si="191"/>
        <v>3.3</v>
      </c>
      <c r="AI235" s="319" t="s">
        <v>118</v>
      </c>
      <c r="AJ235" s="162">
        <f t="shared" si="210"/>
        <v>34</v>
      </c>
      <c r="AK235" s="163" t="str">
        <f>INDEX(Map!$W$2:$W$67, MATCH('Raw data'!AJ235, Map!$V$2:$V$67,0))</f>
        <v>T2</v>
      </c>
      <c r="AL235" s="165" t="str">
        <f>INDEX(Map!$X$2:$X$67, MATCH('Raw data'!AJ235, Map!$V$2:$V$67,0))</f>
        <v>R5</v>
      </c>
      <c r="AM235" s="319">
        <f t="shared" si="211"/>
        <v>85</v>
      </c>
      <c r="AN235" s="150">
        <f t="shared" si="212"/>
        <v>2.2972972972972974</v>
      </c>
      <c r="AO235" s="151">
        <f t="shared" si="213"/>
        <v>31.492307692307705</v>
      </c>
      <c r="AP235" s="150">
        <f t="shared" si="214"/>
        <v>0.85114345114345147</v>
      </c>
      <c r="AQ235" s="151">
        <f t="shared" si="215"/>
        <v>53.45</v>
      </c>
      <c r="AR235" s="149">
        <f t="shared" si="216"/>
        <v>1.4445945945945946</v>
      </c>
      <c r="AS235" s="150">
        <f t="shared" si="217"/>
        <v>1.5362591200530618</v>
      </c>
    </row>
    <row r="236" spans="10:45" x14ac:dyDescent="0.25">
      <c r="J236" s="1" t="str">
        <f t="shared" si="209"/>
        <v>OK</v>
      </c>
      <c r="K236" s="164" t="s">
        <v>90</v>
      </c>
      <c r="L236" s="162">
        <f>'39 days'!$A39</f>
        <v>35</v>
      </c>
      <c r="M236" s="163">
        <f>'39 days'!B39</f>
        <v>37</v>
      </c>
      <c r="N236" s="163" t="str">
        <f>INDEX(Map!$W$2:$W$67, MATCH('Raw data'!L236, Map!$V$2:$V$67,0))</f>
        <v>T5</v>
      </c>
      <c r="O236" s="165" t="str">
        <f>INDEX(Map!$X$2:$X$67, MATCH('Raw data'!L236, Map!$V$2:$V$67,0))</f>
        <v>R5</v>
      </c>
      <c r="P236" s="158">
        <f>('39 days'!$C39-'39 days'!$C$3)+('39 days'!$D39-'39 days'!$C$3)</f>
        <v>83.75</v>
      </c>
      <c r="Q236" s="154">
        <f t="shared" si="183"/>
        <v>2.2635135135135136</v>
      </c>
      <c r="R236" s="155">
        <f t="shared" si="184"/>
        <v>29.750000000000004</v>
      </c>
      <c r="S236" s="328">
        <f t="shared" si="218"/>
        <v>0.80405405405405417</v>
      </c>
      <c r="T236" s="336">
        <f>IF((IF(('39 days'!$E39-'39 days'!$E$3)&lt;0, 0, ('39 days'!$E39-'39 days'!$E$3)))+(IF(('39 days'!$F39-'39 days'!$F$3)&lt;0, 0, ('39 days'!$F39-'39 days'!$F$3)))+('39 days'!$H39*'39 days'!$G39)+('39 days'!$I39)&lt;0, 0, (IF(('39 days'!$E39-'39 days'!$E$3)&lt;0, 0, ('39 days'!$E39-'39 days'!$E$3)))+(IF(('39 days'!$F39-'39 days'!$F$3)&lt;0, 0, ('39 days'!$F39-'39 days'!$F$3)))+('39 days'!$H39*'39 days'!$G39)+('39 days'!$I39))</f>
        <v>11.299999999999999</v>
      </c>
      <c r="U236" s="158">
        <f>I38-'Raw data'!T236</f>
        <v>51.7</v>
      </c>
      <c r="V236" s="154">
        <f t="shared" si="185"/>
        <v>1.3972972972972975</v>
      </c>
      <c r="W236" s="155">
        <f t="shared" si="219"/>
        <v>1.8104511599221971</v>
      </c>
      <c r="X236" s="196">
        <f t="shared" si="198"/>
        <v>37</v>
      </c>
      <c r="Y236" s="213">
        <f t="shared" si="189"/>
        <v>37</v>
      </c>
      <c r="Z236" s="163">
        <f>'39 days'!J39</f>
        <v>0</v>
      </c>
      <c r="AA236" s="154">
        <f>'39 days'!K39</f>
        <v>0</v>
      </c>
      <c r="AB236" s="163">
        <f>'39 days'!L39</f>
        <v>0</v>
      </c>
      <c r="AC236" s="154">
        <f>'39 days'!M39</f>
        <v>0</v>
      </c>
      <c r="AD236" s="213">
        <f>'39 days'!N39</f>
        <v>0</v>
      </c>
      <c r="AE236" s="154">
        <f>'39 days'!O39</f>
        <v>0</v>
      </c>
      <c r="AF236" s="163">
        <f t="shared" si="190"/>
        <v>0</v>
      </c>
      <c r="AG236" s="160">
        <f t="shared" si="191"/>
        <v>0</v>
      </c>
      <c r="AI236" s="319" t="s">
        <v>118</v>
      </c>
      <c r="AJ236" s="162">
        <f t="shared" si="210"/>
        <v>35</v>
      </c>
      <c r="AK236" s="163" t="str">
        <f>INDEX(Map!$W$2:$W$67, MATCH('Raw data'!AJ236, Map!$V$2:$V$67,0))</f>
        <v>T5</v>
      </c>
      <c r="AL236" s="165" t="str">
        <f>INDEX(Map!$X$2:$X$67, MATCH('Raw data'!AJ236, Map!$V$2:$V$67,0))</f>
        <v>R5</v>
      </c>
      <c r="AM236" s="319">
        <f t="shared" si="211"/>
        <v>83.75</v>
      </c>
      <c r="AN236" s="150">
        <f t="shared" si="212"/>
        <v>2.2635135135135136</v>
      </c>
      <c r="AO236" s="151">
        <f t="shared" si="213"/>
        <v>29.750000000000004</v>
      </c>
      <c r="AP236" s="150">
        <f t="shared" si="214"/>
        <v>0.80405405405405417</v>
      </c>
      <c r="AQ236" s="151">
        <f t="shared" si="215"/>
        <v>51.7</v>
      </c>
      <c r="AR236" s="149">
        <f t="shared" si="216"/>
        <v>1.3972972972972975</v>
      </c>
      <c r="AS236" s="150">
        <f t="shared" si="217"/>
        <v>1.73781512605042</v>
      </c>
    </row>
    <row r="237" spans="10:45" x14ac:dyDescent="0.25">
      <c r="J237" s="1" t="str">
        <f t="shared" si="209"/>
        <v>OK</v>
      </c>
      <c r="K237" s="164" t="s">
        <v>90</v>
      </c>
      <c r="L237" s="162">
        <f>'39 days'!$A40</f>
        <v>36</v>
      </c>
      <c r="M237" s="163">
        <f>'39 days'!B40</f>
        <v>32</v>
      </c>
      <c r="N237" s="163" t="str">
        <f>INDEX(Map!$W$2:$W$67, MATCH('Raw data'!L237, Map!$V$2:$V$67,0))</f>
        <v>T4</v>
      </c>
      <c r="O237" s="165" t="str">
        <f>INDEX(Map!$X$2:$X$67, MATCH('Raw data'!L237, Map!$V$2:$V$67,0))</f>
        <v>R5</v>
      </c>
      <c r="P237" s="158">
        <f>('39 days'!$C40-'39 days'!$C$3)+('39 days'!$D40-'39 days'!$C$3)</f>
        <v>69.199999999999989</v>
      </c>
      <c r="Q237" s="154">
        <f t="shared" si="183"/>
        <v>2.1624999999999996</v>
      </c>
      <c r="R237" s="155">
        <f t="shared" si="184"/>
        <v>25.999999999999993</v>
      </c>
      <c r="S237" s="328">
        <f t="shared" si="218"/>
        <v>0.81249999999999978</v>
      </c>
      <c r="T237" s="336">
        <f>IF((IF(('39 days'!$E40-'39 days'!$E$3)&lt;0, 0, ('39 days'!$E40-'39 days'!$E$3)))+(IF(('39 days'!$F40-'39 days'!$F$3)&lt;0, 0, ('39 days'!$F40-'39 days'!$F$3)))+('39 days'!$H40*'39 days'!$G40)+('39 days'!$I40)&lt;0, 0, (IF(('39 days'!$E40-'39 days'!$E$3)&lt;0, 0, ('39 days'!$E40-'39 days'!$E$3)))+(IF(('39 days'!$F40-'39 days'!$F$3)&lt;0, 0, ('39 days'!$F40-'39 days'!$F$3)))+('39 days'!$H40*'39 days'!$G40)+('39 days'!$I40))</f>
        <v>16.75</v>
      </c>
      <c r="U237" s="158">
        <f>I39-'Raw data'!T237</f>
        <v>46.25</v>
      </c>
      <c r="V237" s="154">
        <f t="shared" si="185"/>
        <v>1.4453125</v>
      </c>
      <c r="W237" s="155">
        <f t="shared" si="219"/>
        <v>1.8331691297208543</v>
      </c>
      <c r="X237" s="196">
        <f t="shared" si="198"/>
        <v>34</v>
      </c>
      <c r="Y237" s="213">
        <f t="shared" si="189"/>
        <v>32</v>
      </c>
      <c r="Z237" s="163">
        <f>'39 days'!J40</f>
        <v>2</v>
      </c>
      <c r="AA237" s="154">
        <f>'39 days'!K40</f>
        <v>3.7759999999999998</v>
      </c>
      <c r="AB237" s="163">
        <f>'39 days'!L40</f>
        <v>0</v>
      </c>
      <c r="AC237" s="154">
        <f>'39 days'!M40</f>
        <v>0</v>
      </c>
      <c r="AD237" s="213">
        <f>'39 days'!N40</f>
        <v>0</v>
      </c>
      <c r="AE237" s="154">
        <f>'39 days'!O40</f>
        <v>0</v>
      </c>
      <c r="AF237" s="163">
        <f t="shared" si="190"/>
        <v>2</v>
      </c>
      <c r="AG237" s="160">
        <f t="shared" si="191"/>
        <v>3.7759999999999998</v>
      </c>
      <c r="AI237" s="319" t="s">
        <v>118</v>
      </c>
      <c r="AJ237" s="162">
        <f t="shared" si="210"/>
        <v>36</v>
      </c>
      <c r="AK237" s="163" t="str">
        <f>INDEX(Map!$W$2:$W$67, MATCH('Raw data'!AJ237, Map!$V$2:$V$67,0))</f>
        <v>T4</v>
      </c>
      <c r="AL237" s="165" t="str">
        <f>INDEX(Map!$X$2:$X$67, MATCH('Raw data'!AJ237, Map!$V$2:$V$67,0))</f>
        <v>R5</v>
      </c>
      <c r="AM237" s="319">
        <f t="shared" si="211"/>
        <v>69.199999999999989</v>
      </c>
      <c r="AN237" s="150">
        <f t="shared" si="212"/>
        <v>2.1624999999999996</v>
      </c>
      <c r="AO237" s="151">
        <f t="shared" si="213"/>
        <v>25.999999999999993</v>
      </c>
      <c r="AP237" s="150">
        <f t="shared" si="214"/>
        <v>0.81249999999999978</v>
      </c>
      <c r="AQ237" s="151">
        <f t="shared" si="215"/>
        <v>46.25</v>
      </c>
      <c r="AR237" s="149">
        <f t="shared" si="216"/>
        <v>1.4453125</v>
      </c>
      <c r="AS237" s="150">
        <f t="shared" si="217"/>
        <v>1.5532643739924776</v>
      </c>
    </row>
    <row r="238" spans="10:45" x14ac:dyDescent="0.25">
      <c r="J238" s="1" t="str">
        <f t="shared" si="209"/>
        <v>OK</v>
      </c>
      <c r="K238" s="164" t="s">
        <v>90</v>
      </c>
      <c r="L238" s="162">
        <f>'39 days'!$A41</f>
        <v>37</v>
      </c>
      <c r="M238" s="163">
        <f>'39 days'!B41</f>
        <v>36</v>
      </c>
      <c r="N238" s="163" t="str">
        <f>INDEX(Map!$W$2:$W$67, MATCH('Raw data'!L238, Map!$V$2:$V$67,0))</f>
        <v>T2</v>
      </c>
      <c r="O238" s="165" t="str">
        <f>INDEX(Map!$X$2:$X$67, MATCH('Raw data'!L238, Map!$V$2:$V$67,0))</f>
        <v>R6</v>
      </c>
      <c r="P238" s="158">
        <f>('39 days'!$C41-'39 days'!$C$3)+('39 days'!$D41-'39 days'!$C$3)</f>
        <v>81.449999999999989</v>
      </c>
      <c r="Q238" s="154">
        <f t="shared" si="183"/>
        <v>2.2624999999999997</v>
      </c>
      <c r="R238" s="155">
        <f t="shared" si="184"/>
        <v>27.985135135135131</v>
      </c>
      <c r="S238" s="328">
        <f t="shared" si="218"/>
        <v>0.77736486486486478</v>
      </c>
      <c r="T238" s="336">
        <f>IF((IF(('39 days'!$E41-'39 days'!$E$3)&lt;0, 0, ('39 days'!$E41-'39 days'!$E$3)))+(IF(('39 days'!$F41-'39 days'!$F$3)&lt;0, 0, ('39 days'!$F41-'39 days'!$F$3)))+('39 days'!$H41*'39 days'!$G41)+('39 days'!$I41)&lt;0, 0, (IF(('39 days'!$E41-'39 days'!$E$3)&lt;0, 0, ('39 days'!$E41-'39 days'!$E$3)))+(IF(('39 days'!$F41-'39 days'!$F$3)&lt;0, 0, ('39 days'!$F41-'39 days'!$F$3)))+('39 days'!$H41*'39 days'!$G41)+('39 days'!$I41))</f>
        <v>11.35</v>
      </c>
      <c r="U238" s="158">
        <f>I40-'Raw data'!T238</f>
        <v>51.65</v>
      </c>
      <c r="V238" s="154">
        <f t="shared" si="185"/>
        <v>1.4347222222222222</v>
      </c>
      <c r="W238" s="155">
        <f t="shared" si="219"/>
        <v>1.7594248761695108</v>
      </c>
      <c r="X238" s="196">
        <f t="shared" si="198"/>
        <v>37</v>
      </c>
      <c r="Y238" s="213">
        <f t="shared" si="189"/>
        <v>36</v>
      </c>
      <c r="Z238" s="163">
        <f>'39 days'!J41</f>
        <v>1</v>
      </c>
      <c r="AA238" s="154">
        <f>'39 days'!K41</f>
        <v>2.476</v>
      </c>
      <c r="AB238" s="163">
        <f>'39 days'!L41</f>
        <v>0</v>
      </c>
      <c r="AC238" s="154">
        <f>'39 days'!M41</f>
        <v>0</v>
      </c>
      <c r="AD238" s="213">
        <f>'39 days'!N41</f>
        <v>0</v>
      </c>
      <c r="AE238" s="154">
        <f>'39 days'!O41</f>
        <v>0</v>
      </c>
      <c r="AF238" s="163">
        <f t="shared" si="190"/>
        <v>1</v>
      </c>
      <c r="AG238" s="160">
        <f t="shared" si="191"/>
        <v>2.476</v>
      </c>
      <c r="AI238" s="319" t="s">
        <v>118</v>
      </c>
      <c r="AJ238" s="162">
        <f t="shared" si="210"/>
        <v>37</v>
      </c>
      <c r="AK238" s="163" t="str">
        <f>INDEX(Map!$W$2:$W$67, MATCH('Raw data'!AJ238, Map!$V$2:$V$67,0))</f>
        <v>T2</v>
      </c>
      <c r="AL238" s="165" t="str">
        <f>INDEX(Map!$X$2:$X$67, MATCH('Raw data'!AJ238, Map!$V$2:$V$67,0))</f>
        <v>R6</v>
      </c>
      <c r="AM238" s="319">
        <f t="shared" si="211"/>
        <v>81.449999999999989</v>
      </c>
      <c r="AN238" s="150">
        <f t="shared" si="212"/>
        <v>2.2624999999999997</v>
      </c>
      <c r="AO238" s="151">
        <f t="shared" si="213"/>
        <v>27.985135135135131</v>
      </c>
      <c r="AP238" s="150">
        <f t="shared" si="214"/>
        <v>0.77736486486486478</v>
      </c>
      <c r="AQ238" s="151">
        <f t="shared" si="215"/>
        <v>51.65</v>
      </c>
      <c r="AR238" s="149">
        <f t="shared" si="216"/>
        <v>1.4347222222222222</v>
      </c>
      <c r="AS238" s="150">
        <f t="shared" si="217"/>
        <v>1.6956032587382064</v>
      </c>
    </row>
    <row r="239" spans="10:45" x14ac:dyDescent="0.25">
      <c r="J239" s="1" t="str">
        <f t="shared" si="209"/>
        <v>OK</v>
      </c>
      <c r="K239" s="164" t="s">
        <v>90</v>
      </c>
      <c r="L239" s="162">
        <f>'39 days'!$A42</f>
        <v>38</v>
      </c>
      <c r="M239" s="163">
        <f>'39 days'!B42</f>
        <v>37</v>
      </c>
      <c r="N239" s="163" t="str">
        <f>INDEX(Map!$W$2:$W$67, MATCH('Raw data'!L239, Map!$V$2:$V$67,0))</f>
        <v>T6</v>
      </c>
      <c r="O239" s="165" t="str">
        <f>INDEX(Map!$X$2:$X$67, MATCH('Raw data'!L239, Map!$V$2:$V$67,0))</f>
        <v>R6</v>
      </c>
      <c r="P239" s="158">
        <f>('39 days'!$C42-'39 days'!$C$3)+('39 days'!$D42-'39 days'!$C$3)</f>
        <v>86.7</v>
      </c>
      <c r="Q239" s="154">
        <f t="shared" si="183"/>
        <v>2.3432432432432435</v>
      </c>
      <c r="R239" s="155">
        <f t="shared" si="184"/>
        <v>32.952631578947383</v>
      </c>
      <c r="S239" s="328">
        <f t="shared" si="218"/>
        <v>0.89061166429587524</v>
      </c>
      <c r="T239" s="336">
        <f>IF((IF(('39 days'!$E42-'39 days'!$E$3)&lt;0, 0, ('39 days'!$E42-'39 days'!$E$3)))+(IF(('39 days'!$F42-'39 days'!$F$3)&lt;0, 0, ('39 days'!$F42-'39 days'!$F$3)))+('39 days'!$H42*'39 days'!$G42)+('39 days'!$I42)&lt;0, 0, (IF(('39 days'!$E42-'39 days'!$E$3)&lt;0, 0, ('39 days'!$E42-'39 days'!$E$3)))+(IF(('39 days'!$F42-'39 days'!$F$3)&lt;0, 0, ('39 days'!$F42-'39 days'!$F$3)))+('39 days'!$H42*'39 days'!$G42)+('39 days'!$I42))</f>
        <v>9.3000000000000007</v>
      </c>
      <c r="U239" s="158">
        <f>I41-'Raw data'!T239</f>
        <v>53.7</v>
      </c>
      <c r="V239" s="154">
        <f t="shared" si="185"/>
        <v>1.4513513513513514</v>
      </c>
      <c r="W239" s="155">
        <f t="shared" si="219"/>
        <v>1.6882259041118515</v>
      </c>
      <c r="X239" s="196">
        <f t="shared" si="198"/>
        <v>38</v>
      </c>
      <c r="Y239" s="213">
        <f t="shared" si="189"/>
        <v>37</v>
      </c>
      <c r="Z239" s="163">
        <f>'39 days'!J42</f>
        <v>1</v>
      </c>
      <c r="AA239" s="154">
        <f>'39 days'!K42</f>
        <v>2.7349999999999999</v>
      </c>
      <c r="AB239" s="163">
        <f>'39 days'!L42</f>
        <v>0</v>
      </c>
      <c r="AC239" s="154">
        <f>'39 days'!M42</f>
        <v>0</v>
      </c>
      <c r="AD239" s="213">
        <f>'39 days'!N42</f>
        <v>0</v>
      </c>
      <c r="AE239" s="154">
        <f>'39 days'!O42</f>
        <v>0</v>
      </c>
      <c r="AF239" s="163">
        <f t="shared" si="190"/>
        <v>1</v>
      </c>
      <c r="AG239" s="160">
        <f t="shared" si="191"/>
        <v>2.7349999999999999</v>
      </c>
      <c r="AI239" s="319" t="s">
        <v>118</v>
      </c>
      <c r="AJ239" s="162">
        <f t="shared" si="210"/>
        <v>38</v>
      </c>
      <c r="AK239" s="163" t="str">
        <f>INDEX(Map!$W$2:$W$67, MATCH('Raw data'!AJ239, Map!$V$2:$V$67,0))</f>
        <v>T6</v>
      </c>
      <c r="AL239" s="165" t="str">
        <f>INDEX(Map!$X$2:$X$67, MATCH('Raw data'!AJ239, Map!$V$2:$V$67,0))</f>
        <v>R6</v>
      </c>
      <c r="AM239" s="319">
        <f t="shared" si="211"/>
        <v>86.7</v>
      </c>
      <c r="AN239" s="150">
        <f t="shared" si="212"/>
        <v>2.3432432432432435</v>
      </c>
      <c r="AO239" s="151">
        <f t="shared" si="213"/>
        <v>32.952631578947383</v>
      </c>
      <c r="AP239" s="150">
        <f t="shared" si="214"/>
        <v>0.89061166429587524</v>
      </c>
      <c r="AQ239" s="151">
        <f t="shared" si="215"/>
        <v>53.7</v>
      </c>
      <c r="AR239" s="149">
        <f t="shared" si="216"/>
        <v>1.4513513513513514</v>
      </c>
      <c r="AS239" s="150">
        <f t="shared" si="217"/>
        <v>1.5047229985325885</v>
      </c>
    </row>
    <row r="240" spans="10:45" x14ac:dyDescent="0.25">
      <c r="J240" s="1" t="str">
        <f t="shared" si="209"/>
        <v>OK</v>
      </c>
      <c r="K240" s="164" t="s">
        <v>90</v>
      </c>
      <c r="L240" s="162">
        <f>'39 days'!$A43</f>
        <v>39</v>
      </c>
      <c r="M240" s="163">
        <f>'39 days'!B43</f>
        <v>37</v>
      </c>
      <c r="N240" s="163" t="str">
        <f>INDEX(Map!$W$2:$W$67, MATCH('Raw data'!L240, Map!$V$2:$V$67,0))</f>
        <v>T4</v>
      </c>
      <c r="O240" s="165" t="str">
        <f>INDEX(Map!$X$2:$X$67, MATCH('Raw data'!L240, Map!$V$2:$V$67,0))</f>
        <v>R6</v>
      </c>
      <c r="P240" s="158">
        <f>('39 days'!$C43-'39 days'!$C$3)+('39 days'!$D43-'39 days'!$C$3)</f>
        <v>84.75</v>
      </c>
      <c r="Q240" s="154">
        <f t="shared" si="183"/>
        <v>2.2905405405405403</v>
      </c>
      <c r="R240" s="155">
        <f t="shared" si="184"/>
        <v>31.04999999999999</v>
      </c>
      <c r="S240" s="328">
        <f t="shared" si="218"/>
        <v>0.83918918918918894</v>
      </c>
      <c r="T240" s="336">
        <f>IF((IF(('39 days'!$E43-'39 days'!$E$3)&lt;0, 0, ('39 days'!$E43-'39 days'!$E$3)))+(IF(('39 days'!$F43-'39 days'!$F$3)&lt;0, 0, ('39 days'!$F43-'39 days'!$F$3)))+('39 days'!$H43*'39 days'!$G43)+('39 days'!$I43)&lt;0, 0, (IF(('39 days'!$E43-'39 days'!$E$3)&lt;0, 0, ('39 days'!$E43-'39 days'!$E$3)))+(IF(('39 days'!$F43-'39 days'!$F$3)&lt;0, 0, ('39 days'!$F43-'39 days'!$F$3)))+('39 days'!$H43*'39 days'!$G43)+('39 days'!$I43))</f>
        <v>11</v>
      </c>
      <c r="U240" s="158">
        <f>I42-'Raw data'!T240</f>
        <v>52</v>
      </c>
      <c r="V240" s="154">
        <f t="shared" si="185"/>
        <v>1.4054054054054055</v>
      </c>
      <c r="W240" s="155">
        <f t="shared" si="219"/>
        <v>1.7999721474329216</v>
      </c>
      <c r="X240" s="196">
        <f t="shared" si="198"/>
        <v>37</v>
      </c>
      <c r="Y240" s="213">
        <f t="shared" si="189"/>
        <v>37</v>
      </c>
      <c r="Z240" s="163">
        <f>'39 days'!J43</f>
        <v>0</v>
      </c>
      <c r="AA240" s="154">
        <f>'39 days'!K43</f>
        <v>0</v>
      </c>
      <c r="AB240" s="163">
        <f>'39 days'!L43</f>
        <v>0</v>
      </c>
      <c r="AC240" s="154">
        <f>'39 days'!M43</f>
        <v>0</v>
      </c>
      <c r="AD240" s="213">
        <f>'39 days'!N43</f>
        <v>0</v>
      </c>
      <c r="AE240" s="154">
        <f>'39 days'!O43</f>
        <v>0</v>
      </c>
      <c r="AF240" s="163">
        <f t="shared" si="190"/>
        <v>0</v>
      </c>
      <c r="AG240" s="160">
        <f t="shared" si="191"/>
        <v>0</v>
      </c>
      <c r="AI240" s="319" t="s">
        <v>118</v>
      </c>
      <c r="AJ240" s="162">
        <f t="shared" si="210"/>
        <v>39</v>
      </c>
      <c r="AK240" s="163" t="str">
        <f>INDEX(Map!$W$2:$W$67, MATCH('Raw data'!AJ240, Map!$V$2:$V$67,0))</f>
        <v>T4</v>
      </c>
      <c r="AL240" s="165" t="str">
        <f>INDEX(Map!$X$2:$X$67, MATCH('Raw data'!AJ240, Map!$V$2:$V$67,0))</f>
        <v>R6</v>
      </c>
      <c r="AM240" s="319">
        <f t="shared" si="211"/>
        <v>84.75</v>
      </c>
      <c r="AN240" s="150">
        <f t="shared" si="212"/>
        <v>2.2905405405405403</v>
      </c>
      <c r="AO240" s="151">
        <f t="shared" si="213"/>
        <v>31.04999999999999</v>
      </c>
      <c r="AP240" s="150">
        <f t="shared" si="214"/>
        <v>0.83918918918918894</v>
      </c>
      <c r="AQ240" s="151">
        <f t="shared" si="215"/>
        <v>52</v>
      </c>
      <c r="AR240" s="149">
        <f t="shared" si="216"/>
        <v>1.4054054054054055</v>
      </c>
      <c r="AS240" s="150">
        <f t="shared" si="217"/>
        <v>1.6747181964573274</v>
      </c>
    </row>
    <row r="241" spans="10:45" x14ac:dyDescent="0.25">
      <c r="J241" s="1" t="str">
        <f t="shared" si="209"/>
        <v>OK</v>
      </c>
      <c r="K241" s="164" t="s">
        <v>90</v>
      </c>
      <c r="L241" s="162">
        <f>'39 days'!$A44</f>
        <v>40</v>
      </c>
      <c r="M241" s="163">
        <f>'39 days'!B44</f>
        <v>40</v>
      </c>
      <c r="N241" s="163" t="str">
        <f>INDEX(Map!$W$2:$W$67, MATCH('Raw data'!L241, Map!$V$2:$V$67,0))</f>
        <v>T3</v>
      </c>
      <c r="O241" s="165" t="str">
        <f>INDEX(Map!$X$2:$X$67, MATCH('Raw data'!L241, Map!$V$2:$V$67,0))</f>
        <v>R6</v>
      </c>
      <c r="P241" s="158">
        <f>('39 days'!$C44-'39 days'!$C$3)+('39 days'!$D44-'39 days'!$C$3)</f>
        <v>92.550000000000011</v>
      </c>
      <c r="Q241" s="154">
        <f t="shared" si="183"/>
        <v>2.3137500000000002</v>
      </c>
      <c r="R241" s="155">
        <f t="shared" si="184"/>
        <v>34.600000000000009</v>
      </c>
      <c r="S241" s="328">
        <f t="shared" si="218"/>
        <v>0.86500000000000021</v>
      </c>
      <c r="T241" s="336">
        <f>IF((IF(('39 days'!$E44-'39 days'!$E$3)&lt;0, 0, ('39 days'!$E44-'39 days'!$E$3)))+(IF(('39 days'!$F44-'39 days'!$F$3)&lt;0, 0, ('39 days'!$F44-'39 days'!$F$3)))+('39 days'!$H44*'39 days'!$G44)+('39 days'!$I44)&lt;0, 0, (IF(('39 days'!$E44-'39 days'!$E$3)&lt;0, 0, ('39 days'!$E44-'39 days'!$E$3)))+(IF(('39 days'!$F44-'39 days'!$F$3)&lt;0, 0, ('39 days'!$F44-'39 days'!$F$3)))+('39 days'!$H44*'39 days'!$G44)+('39 days'!$I44))</f>
        <v>6.5500000000000007</v>
      </c>
      <c r="U241" s="158">
        <f>I43-'Raw data'!T241</f>
        <v>56.45</v>
      </c>
      <c r="V241" s="154">
        <f t="shared" si="185"/>
        <v>1.4112500000000001</v>
      </c>
      <c r="W241" s="155">
        <f t="shared" si="219"/>
        <v>1.723392760669908</v>
      </c>
      <c r="X241" s="196">
        <f t="shared" si="198"/>
        <v>40</v>
      </c>
      <c r="Y241" s="213">
        <f t="shared" si="189"/>
        <v>40</v>
      </c>
      <c r="Z241" s="163">
        <f>'39 days'!J44</f>
        <v>0</v>
      </c>
      <c r="AA241" s="154">
        <f>'39 days'!K44</f>
        <v>0</v>
      </c>
      <c r="AB241" s="163">
        <f>'39 days'!L44</f>
        <v>0</v>
      </c>
      <c r="AC241" s="154">
        <f>'39 days'!M44</f>
        <v>0</v>
      </c>
      <c r="AD241" s="213">
        <f>'39 days'!N44</f>
        <v>0</v>
      </c>
      <c r="AE241" s="154">
        <f>'39 days'!O44</f>
        <v>0</v>
      </c>
      <c r="AF241" s="163">
        <f t="shared" si="190"/>
        <v>0</v>
      </c>
      <c r="AG241" s="160">
        <f t="shared" si="191"/>
        <v>0</v>
      </c>
      <c r="AI241" s="319" t="s">
        <v>118</v>
      </c>
      <c r="AJ241" s="162">
        <f t="shared" si="210"/>
        <v>40</v>
      </c>
      <c r="AK241" s="163" t="str">
        <f>INDEX(Map!$W$2:$W$67, MATCH('Raw data'!AJ241, Map!$V$2:$V$67,0))</f>
        <v>T3</v>
      </c>
      <c r="AL241" s="165" t="str">
        <f>INDEX(Map!$X$2:$X$67, MATCH('Raw data'!AJ241, Map!$V$2:$V$67,0))</f>
        <v>R6</v>
      </c>
      <c r="AM241" s="319">
        <f t="shared" si="211"/>
        <v>92.550000000000011</v>
      </c>
      <c r="AN241" s="150">
        <f t="shared" si="212"/>
        <v>2.3137500000000002</v>
      </c>
      <c r="AO241" s="151">
        <f t="shared" si="213"/>
        <v>34.600000000000009</v>
      </c>
      <c r="AP241" s="150">
        <f t="shared" si="214"/>
        <v>0.86500000000000021</v>
      </c>
      <c r="AQ241" s="151">
        <f t="shared" si="215"/>
        <v>56.45</v>
      </c>
      <c r="AR241" s="149">
        <f t="shared" si="216"/>
        <v>1.4112500000000001</v>
      </c>
      <c r="AS241" s="150">
        <f t="shared" si="217"/>
        <v>1.6315028901734101</v>
      </c>
    </row>
    <row r="242" spans="10:45" x14ac:dyDescent="0.25">
      <c r="J242" s="1" t="str">
        <f t="shared" si="209"/>
        <v>OK</v>
      </c>
      <c r="K242" s="164" t="s">
        <v>90</v>
      </c>
      <c r="L242" s="162">
        <f>'39 days'!$A45</f>
        <v>41</v>
      </c>
      <c r="M242" s="163">
        <f>'39 days'!B45</f>
        <v>39</v>
      </c>
      <c r="N242" s="163" t="str">
        <f>INDEX(Map!$W$2:$W$67, MATCH('Raw data'!L242, Map!$V$2:$V$67,0))</f>
        <v>T1</v>
      </c>
      <c r="O242" s="165" t="str">
        <f>INDEX(Map!$X$2:$X$67, MATCH('Raw data'!L242, Map!$V$2:$V$67,0))</f>
        <v>R6</v>
      </c>
      <c r="P242" s="158">
        <f>('39 days'!$C45-'39 days'!$C$3)+('39 days'!$D45-'39 days'!$C$3)</f>
        <v>89.6</v>
      </c>
      <c r="Q242" s="154">
        <f t="shared" si="183"/>
        <v>2.2974358974358973</v>
      </c>
      <c r="R242" s="155">
        <f t="shared" si="184"/>
        <v>30.799999999999994</v>
      </c>
      <c r="S242" s="328">
        <f t="shared" si="218"/>
        <v>0.7897435897435896</v>
      </c>
      <c r="T242" s="336">
        <f>IF((IF(('39 days'!$E45-'39 days'!$E$3)&lt;0, 0, ('39 days'!$E45-'39 days'!$E$3)))+(IF(('39 days'!$F45-'39 days'!$F$3)&lt;0, 0, ('39 days'!$F45-'39 days'!$F$3)))+('39 days'!$H45*'39 days'!$G45)+('39 days'!$I45)&lt;0, 0, (IF(('39 days'!$E45-'39 days'!$E$3)&lt;0, 0, ('39 days'!$E45-'39 days'!$E$3)))+(IF(('39 days'!$F45-'39 days'!$F$3)&lt;0, 0, ('39 days'!$F45-'39 days'!$F$3)))+('39 days'!$H45*'39 days'!$G45)+('39 days'!$I45))</f>
        <v>9.5</v>
      </c>
      <c r="U242" s="158">
        <f>I44-'Raw data'!T242</f>
        <v>53.5</v>
      </c>
      <c r="V242" s="154">
        <f t="shared" si="185"/>
        <v>1.3717948717948718</v>
      </c>
      <c r="W242" s="155">
        <f t="shared" si="219"/>
        <v>1.7553837658752069</v>
      </c>
      <c r="X242" s="196">
        <f t="shared" si="198"/>
        <v>39</v>
      </c>
      <c r="Y242" s="213">
        <f t="shared" si="189"/>
        <v>39</v>
      </c>
      <c r="Z242" s="163">
        <f>'39 days'!J45</f>
        <v>0</v>
      </c>
      <c r="AA242" s="154">
        <f>'39 days'!K45</f>
        <v>0</v>
      </c>
      <c r="AB242" s="163">
        <f>'39 days'!L45</f>
        <v>0</v>
      </c>
      <c r="AC242" s="154">
        <f>'39 days'!M45</f>
        <v>0</v>
      </c>
      <c r="AD242" s="213">
        <f>'39 days'!N45</f>
        <v>0</v>
      </c>
      <c r="AE242" s="154">
        <f>'39 days'!O45</f>
        <v>0</v>
      </c>
      <c r="AF242" s="163">
        <f t="shared" si="190"/>
        <v>0</v>
      </c>
      <c r="AG242" s="160">
        <f t="shared" si="191"/>
        <v>0</v>
      </c>
      <c r="AI242" s="319" t="s">
        <v>118</v>
      </c>
      <c r="AJ242" s="162">
        <f t="shared" si="210"/>
        <v>41</v>
      </c>
      <c r="AK242" s="163" t="str">
        <f>INDEX(Map!$W$2:$W$67, MATCH('Raw data'!AJ242, Map!$V$2:$V$67,0))</f>
        <v>T1</v>
      </c>
      <c r="AL242" s="165" t="str">
        <f>INDEX(Map!$X$2:$X$67, MATCH('Raw data'!AJ242, Map!$V$2:$V$67,0))</f>
        <v>R6</v>
      </c>
      <c r="AM242" s="319">
        <f t="shared" si="211"/>
        <v>89.6</v>
      </c>
      <c r="AN242" s="150">
        <f t="shared" si="212"/>
        <v>2.2974358974358973</v>
      </c>
      <c r="AO242" s="151">
        <f t="shared" si="213"/>
        <v>30.799999999999994</v>
      </c>
      <c r="AP242" s="150">
        <f t="shared" si="214"/>
        <v>0.7897435897435896</v>
      </c>
      <c r="AQ242" s="151">
        <f t="shared" si="215"/>
        <v>53.5</v>
      </c>
      <c r="AR242" s="149">
        <f t="shared" si="216"/>
        <v>1.3717948717948718</v>
      </c>
      <c r="AS242" s="150">
        <f t="shared" si="217"/>
        <v>1.7370129870129873</v>
      </c>
    </row>
    <row r="243" spans="10:45" x14ac:dyDescent="0.25">
      <c r="J243" s="1" t="str">
        <f t="shared" si="209"/>
        <v>OK</v>
      </c>
      <c r="K243" s="164" t="s">
        <v>90</v>
      </c>
      <c r="L243" s="162">
        <f>'39 days'!$A46</f>
        <v>42</v>
      </c>
      <c r="M243" s="163">
        <f>'39 days'!B46</f>
        <v>39</v>
      </c>
      <c r="N243" s="163" t="str">
        <f>INDEX(Map!$W$2:$W$67, MATCH('Raw data'!L243, Map!$V$2:$V$67,0))</f>
        <v>T5</v>
      </c>
      <c r="O243" s="165" t="str">
        <f>INDEX(Map!$X$2:$X$67, MATCH('Raw data'!L243, Map!$V$2:$V$67,0))</f>
        <v>R6</v>
      </c>
      <c r="P243" s="158">
        <f>('39 days'!$C46-'39 days'!$C$3)+('39 days'!$D46-'39 days'!$C$3)</f>
        <v>87.55</v>
      </c>
      <c r="Q243" s="154">
        <f t="shared" si="183"/>
        <v>2.2448717948717949</v>
      </c>
      <c r="R243" s="155">
        <f t="shared" si="184"/>
        <v>30.150000000000006</v>
      </c>
      <c r="S243" s="328">
        <f t="shared" si="218"/>
        <v>0.77307692307692322</v>
      </c>
      <c r="T243" s="336">
        <f>IF((IF(('39 days'!$E46-'39 days'!$E$3)&lt;0, 0, ('39 days'!$E46-'39 days'!$E$3)))+(IF(('39 days'!$F46-'39 days'!$F$3)&lt;0, 0, ('39 days'!$F46-'39 days'!$F$3)))+('39 days'!$H46*'39 days'!$G46)+('39 days'!$I46)&lt;0, 0, (IF(('39 days'!$E46-'39 days'!$E$3)&lt;0, 0, ('39 days'!$E46-'39 days'!$E$3)))+(IF(('39 days'!$F46-'39 days'!$F$3)&lt;0, 0, ('39 days'!$F46-'39 days'!$F$3)))+('39 days'!$H46*'39 days'!$G46)+('39 days'!$I46))</f>
        <v>10.850000000000001</v>
      </c>
      <c r="U243" s="158">
        <f>I45-'Raw data'!T243</f>
        <v>52.15</v>
      </c>
      <c r="V243" s="154">
        <f t="shared" si="185"/>
        <v>1.3371794871794871</v>
      </c>
      <c r="W243" s="155">
        <f t="shared" si="219"/>
        <v>1.7582003697870303</v>
      </c>
      <c r="X243" s="196">
        <f t="shared" si="198"/>
        <v>39</v>
      </c>
      <c r="Y243" s="213">
        <f t="shared" si="189"/>
        <v>39</v>
      </c>
      <c r="Z243" s="163">
        <f>'39 days'!J46</f>
        <v>0</v>
      </c>
      <c r="AA243" s="154">
        <f>'39 days'!K46</f>
        <v>0</v>
      </c>
      <c r="AB243" s="163">
        <f>'39 days'!L46</f>
        <v>0</v>
      </c>
      <c r="AC243" s="154">
        <f>'39 days'!M46</f>
        <v>0</v>
      </c>
      <c r="AD243" s="213">
        <f>'39 days'!N46</f>
        <v>0</v>
      </c>
      <c r="AE243" s="154">
        <f>'39 days'!O46</f>
        <v>0</v>
      </c>
      <c r="AF243" s="163">
        <f t="shared" si="190"/>
        <v>0</v>
      </c>
      <c r="AG243" s="160">
        <f t="shared" si="191"/>
        <v>0</v>
      </c>
      <c r="AI243" s="319" t="s">
        <v>118</v>
      </c>
      <c r="AJ243" s="162">
        <f t="shared" si="210"/>
        <v>42</v>
      </c>
      <c r="AK243" s="163" t="str">
        <f>INDEX(Map!$W$2:$W$67, MATCH('Raw data'!AJ243, Map!$V$2:$V$67,0))</f>
        <v>T5</v>
      </c>
      <c r="AL243" s="165" t="str">
        <f>INDEX(Map!$X$2:$X$67, MATCH('Raw data'!AJ243, Map!$V$2:$V$67,0))</f>
        <v>R6</v>
      </c>
      <c r="AM243" s="319">
        <f t="shared" si="211"/>
        <v>87.55</v>
      </c>
      <c r="AN243" s="150">
        <f t="shared" si="212"/>
        <v>2.2448717948717949</v>
      </c>
      <c r="AO243" s="151">
        <f t="shared" si="213"/>
        <v>30.150000000000006</v>
      </c>
      <c r="AP243" s="150">
        <f t="shared" si="214"/>
        <v>0.77307692307692322</v>
      </c>
      <c r="AQ243" s="151">
        <f t="shared" si="215"/>
        <v>52.15</v>
      </c>
      <c r="AR243" s="149">
        <f t="shared" si="216"/>
        <v>1.3371794871794871</v>
      </c>
      <c r="AS243" s="150">
        <f t="shared" si="217"/>
        <v>1.729684908789386</v>
      </c>
    </row>
    <row r="244" spans="10:45" x14ac:dyDescent="0.25">
      <c r="J244" s="1" t="str">
        <f t="shared" si="209"/>
        <v>OK</v>
      </c>
      <c r="K244" s="164" t="s">
        <v>90</v>
      </c>
      <c r="L244" s="162">
        <f>'39 days'!$A47</f>
        <v>43</v>
      </c>
      <c r="M244" s="163">
        <f>'39 days'!B47</f>
        <v>37</v>
      </c>
      <c r="N244" s="163" t="str">
        <f>INDEX(Map!$W$2:$W$67, MATCH('Raw data'!L244, Map!$V$2:$V$67,0))</f>
        <v>T6</v>
      </c>
      <c r="O244" s="165" t="str">
        <f>INDEX(Map!$X$2:$X$67, MATCH('Raw data'!L244, Map!$V$2:$V$67,0))</f>
        <v>R11</v>
      </c>
      <c r="P244" s="158">
        <f>('39 days'!$C47-'39 days'!$C$3)+('39 days'!$D47-'39 days'!$C$3)</f>
        <v>86.05</v>
      </c>
      <c r="Q244" s="154">
        <f t="shared" si="183"/>
        <v>2.3256756756756758</v>
      </c>
      <c r="R244" s="155">
        <f t="shared" si="184"/>
        <v>30.500000000000007</v>
      </c>
      <c r="S244" s="328">
        <f t="shared" si="218"/>
        <v>0.82432432432432456</v>
      </c>
      <c r="T244" s="336">
        <f>IF((IF(('39 days'!$E47-'39 days'!$E$3)&lt;0, 0, ('39 days'!$E47-'39 days'!$E$3)))+(IF(('39 days'!$F47-'39 days'!$F$3)&lt;0, 0, ('39 days'!$F47-'39 days'!$F$3)))+('39 days'!$H47*'39 days'!$G47)+('39 days'!$I47)&lt;0, 0, (IF(('39 days'!$E47-'39 days'!$E$3)&lt;0, 0, ('39 days'!$E47-'39 days'!$E$3)))+(IF(('39 days'!$F47-'39 days'!$F$3)&lt;0, 0, ('39 days'!$F47-'39 days'!$F$3)))+('39 days'!$H47*'39 days'!$G47)+('39 days'!$I47))</f>
        <v>10.200000000000001</v>
      </c>
      <c r="U244" s="158">
        <f>I46-'Raw data'!T244</f>
        <v>51.699999999999996</v>
      </c>
      <c r="V244" s="154">
        <f t="shared" si="185"/>
        <v>1.3972972972972972</v>
      </c>
      <c r="W244" s="155">
        <f t="shared" si="219"/>
        <v>1.7526329692542697</v>
      </c>
      <c r="X244" s="196">
        <f t="shared" si="198"/>
        <v>37</v>
      </c>
      <c r="Y244" s="213">
        <f t="shared" si="189"/>
        <v>37</v>
      </c>
      <c r="Z244" s="163">
        <f>'39 days'!J47</f>
        <v>0</v>
      </c>
      <c r="AA244" s="154">
        <f>'39 days'!K47</f>
        <v>0</v>
      </c>
      <c r="AB244" s="163">
        <f>'39 days'!L47</f>
        <v>0</v>
      </c>
      <c r="AC244" s="154">
        <f>'39 days'!M47</f>
        <v>0</v>
      </c>
      <c r="AD244" s="213">
        <f>'39 days'!N47</f>
        <v>0</v>
      </c>
      <c r="AE244" s="154">
        <f>'39 days'!O47</f>
        <v>0</v>
      </c>
      <c r="AF244" s="163">
        <f t="shared" si="190"/>
        <v>0</v>
      </c>
      <c r="AG244" s="160">
        <f t="shared" si="191"/>
        <v>0</v>
      </c>
      <c r="AI244" s="319" t="s">
        <v>118</v>
      </c>
      <c r="AJ244" s="162">
        <f t="shared" si="210"/>
        <v>43</v>
      </c>
      <c r="AK244" s="163" t="str">
        <f>INDEX(Map!$W$2:$W$67, MATCH('Raw data'!AJ244, Map!$V$2:$V$67,0))</f>
        <v>T6</v>
      </c>
      <c r="AL244" s="165" t="str">
        <f>INDEX(Map!$X$2:$X$67, MATCH('Raw data'!AJ244, Map!$V$2:$V$67,0))</f>
        <v>R11</v>
      </c>
      <c r="AM244" s="319">
        <f t="shared" si="211"/>
        <v>86.05</v>
      </c>
      <c r="AN244" s="150">
        <f t="shared" si="212"/>
        <v>2.3256756756756758</v>
      </c>
      <c r="AO244" s="151">
        <f t="shared" si="213"/>
        <v>30.500000000000007</v>
      </c>
      <c r="AP244" s="150">
        <f t="shared" si="214"/>
        <v>0.82432432432432456</v>
      </c>
      <c r="AQ244" s="151">
        <f t="shared" si="215"/>
        <v>51.699999999999996</v>
      </c>
      <c r="AR244" s="149">
        <f t="shared" si="216"/>
        <v>1.3972972972972972</v>
      </c>
      <c r="AS244" s="150">
        <f t="shared" si="217"/>
        <v>1.6950819672131143</v>
      </c>
    </row>
    <row r="245" spans="10:45" x14ac:dyDescent="0.25">
      <c r="J245" s="1" t="str">
        <f t="shared" si="209"/>
        <v>OK</v>
      </c>
      <c r="K245" s="164" t="s">
        <v>90</v>
      </c>
      <c r="L245" s="162">
        <f>'39 days'!$A48</f>
        <v>44</v>
      </c>
      <c r="M245" s="163">
        <f>'39 days'!B48</f>
        <v>38</v>
      </c>
      <c r="N245" s="163" t="str">
        <f>INDEX(Map!$W$2:$W$67, MATCH('Raw data'!L245, Map!$V$2:$V$67,0))</f>
        <v>T4</v>
      </c>
      <c r="O245" s="165" t="str">
        <f>INDEX(Map!$X$2:$X$67, MATCH('Raw data'!L245, Map!$V$2:$V$67,0))</f>
        <v>R11</v>
      </c>
      <c r="P245" s="158">
        <f>('39 days'!$C48-'39 days'!$C$3)+('39 days'!$D48-'39 days'!$C$3)</f>
        <v>91.75</v>
      </c>
      <c r="Q245" s="154">
        <f t="shared" si="183"/>
        <v>2.4144736842105261</v>
      </c>
      <c r="R245" s="155">
        <f t="shared" si="184"/>
        <v>32.499999999999993</v>
      </c>
      <c r="S245" s="328">
        <f t="shared" si="218"/>
        <v>0.85526315789473673</v>
      </c>
      <c r="T245" s="336">
        <f>IF((IF(('39 days'!$E48-'39 days'!$E$3)&lt;0, 0, ('39 days'!$E48-'39 days'!$E$3)))+(IF(('39 days'!$F48-'39 days'!$F$3)&lt;0, 0, ('39 days'!$F48-'39 days'!$F$3)))+('39 days'!$H48*'39 days'!$G48)+('39 days'!$I48)&lt;0, 0, (IF(('39 days'!$E48-'39 days'!$E$3)&lt;0, 0, ('39 days'!$E48-'39 days'!$E$3)))+(IF(('39 days'!$F48-'39 days'!$F$3)&lt;0, 0, ('39 days'!$F48-'39 days'!$F$3)))+('39 days'!$H48*'39 days'!$G48)+('39 days'!$I48))</f>
        <v>6.25</v>
      </c>
      <c r="U245" s="158">
        <f>I47-'Raw data'!T245</f>
        <v>55.65</v>
      </c>
      <c r="V245" s="154">
        <f t="shared" si="185"/>
        <v>1.4644736842105264</v>
      </c>
      <c r="W245" s="155">
        <f t="shared" si="219"/>
        <v>1.7423345884884347</v>
      </c>
      <c r="X245" s="196">
        <f t="shared" si="198"/>
        <v>38</v>
      </c>
      <c r="Y245" s="213">
        <f t="shared" si="189"/>
        <v>38</v>
      </c>
      <c r="Z245" s="163">
        <f>'39 days'!J48</f>
        <v>0</v>
      </c>
      <c r="AA245" s="154">
        <f>'39 days'!K48</f>
        <v>0</v>
      </c>
      <c r="AB245" s="163">
        <f>'39 days'!L48</f>
        <v>0</v>
      </c>
      <c r="AC245" s="154">
        <f>'39 days'!M48</f>
        <v>0</v>
      </c>
      <c r="AD245" s="213">
        <f>'39 days'!N48</f>
        <v>0</v>
      </c>
      <c r="AE245" s="154">
        <f>'39 days'!O48</f>
        <v>0</v>
      </c>
      <c r="AF245" s="163">
        <f t="shared" si="190"/>
        <v>0</v>
      </c>
      <c r="AG245" s="160">
        <f t="shared" si="191"/>
        <v>0</v>
      </c>
      <c r="AI245" s="319" t="s">
        <v>118</v>
      </c>
      <c r="AJ245" s="162">
        <f t="shared" si="210"/>
        <v>44</v>
      </c>
      <c r="AK245" s="163" t="str">
        <f>INDEX(Map!$W$2:$W$67, MATCH('Raw data'!AJ245, Map!$V$2:$V$67,0))</f>
        <v>T4</v>
      </c>
      <c r="AL245" s="165" t="str">
        <f>INDEX(Map!$X$2:$X$67, MATCH('Raw data'!AJ245, Map!$V$2:$V$67,0))</f>
        <v>R11</v>
      </c>
      <c r="AM245" s="319">
        <f t="shared" si="211"/>
        <v>91.75</v>
      </c>
      <c r="AN245" s="150">
        <f t="shared" si="212"/>
        <v>2.4144736842105261</v>
      </c>
      <c r="AO245" s="151">
        <f t="shared" si="213"/>
        <v>32.499999999999993</v>
      </c>
      <c r="AP245" s="150">
        <f t="shared" si="214"/>
        <v>0.85526315789473673</v>
      </c>
      <c r="AQ245" s="151">
        <f t="shared" si="215"/>
        <v>55.65</v>
      </c>
      <c r="AR245" s="149">
        <f t="shared" si="216"/>
        <v>1.4644736842105264</v>
      </c>
      <c r="AS245" s="150">
        <f t="shared" si="217"/>
        <v>1.7123076923076925</v>
      </c>
    </row>
    <row r="246" spans="10:45" x14ac:dyDescent="0.25">
      <c r="J246" s="1" t="str">
        <f t="shared" si="209"/>
        <v>OK</v>
      </c>
      <c r="K246" s="164" t="s">
        <v>90</v>
      </c>
      <c r="L246" s="162">
        <f>'39 days'!$A49</f>
        <v>45</v>
      </c>
      <c r="M246" s="163">
        <f>'39 days'!B49</f>
        <v>39</v>
      </c>
      <c r="N246" s="163" t="str">
        <f>INDEX(Map!$W$2:$W$67, MATCH('Raw data'!L246, Map!$V$2:$V$67,0))</f>
        <v>T3</v>
      </c>
      <c r="O246" s="165" t="str">
        <f>INDEX(Map!$X$2:$X$67, MATCH('Raw data'!L246, Map!$V$2:$V$67,0))</f>
        <v>R10</v>
      </c>
      <c r="P246" s="158">
        <f>('39 days'!$C49-'39 days'!$C$3)+('39 days'!$D49-'39 days'!$C$3)</f>
        <v>91.699999999999989</v>
      </c>
      <c r="Q246" s="154">
        <f t="shared" si="183"/>
        <v>2.3512820512820509</v>
      </c>
      <c r="R246" s="155">
        <f t="shared" si="184"/>
        <v>32.699999999999989</v>
      </c>
      <c r="S246" s="328">
        <f t="shared" si="218"/>
        <v>0.83846153846153815</v>
      </c>
      <c r="T246" s="336">
        <f>IF((IF(('39 days'!$E49-'39 days'!$E$3)&lt;0, 0, ('39 days'!$E49-'39 days'!$E$3)))+(IF(('39 days'!$F49-'39 days'!$F$3)&lt;0, 0, ('39 days'!$F49-'39 days'!$F$3)))+('39 days'!$H49*'39 days'!$G49)+('39 days'!$I49)&lt;0, 0, (IF(('39 days'!$E49-'39 days'!$E$3)&lt;0, 0, ('39 days'!$E49-'39 days'!$E$3)))+(IF(('39 days'!$F49-'39 days'!$F$3)&lt;0, 0, ('39 days'!$F49-'39 days'!$F$3)))+('39 days'!$H49*'39 days'!$G49)+('39 days'!$I49))</f>
        <v>6.9</v>
      </c>
      <c r="U246" s="158">
        <f>I48-'Raw data'!T246</f>
        <v>56.1</v>
      </c>
      <c r="V246" s="154">
        <f t="shared" si="185"/>
        <v>1.4384615384615385</v>
      </c>
      <c r="W246" s="155">
        <f t="shared" si="219"/>
        <v>1.7487844408427882</v>
      </c>
      <c r="X246" s="196">
        <f t="shared" si="198"/>
        <v>39</v>
      </c>
      <c r="Y246" s="213">
        <f t="shared" si="189"/>
        <v>39</v>
      </c>
      <c r="Z246" s="163">
        <f>'39 days'!J49</f>
        <v>0</v>
      </c>
      <c r="AA246" s="154">
        <f>'39 days'!K49</f>
        <v>0</v>
      </c>
      <c r="AB246" s="163">
        <f>'39 days'!L49</f>
        <v>0</v>
      </c>
      <c r="AC246" s="154">
        <f>'39 days'!M49</f>
        <v>0</v>
      </c>
      <c r="AD246" s="213">
        <f>'39 days'!N49</f>
        <v>0</v>
      </c>
      <c r="AE246" s="154">
        <f>'39 days'!O49</f>
        <v>0</v>
      </c>
      <c r="AF246" s="163">
        <f t="shared" si="190"/>
        <v>0</v>
      </c>
      <c r="AG246" s="160">
        <f t="shared" si="191"/>
        <v>0</v>
      </c>
      <c r="AI246" s="319" t="s">
        <v>118</v>
      </c>
      <c r="AJ246" s="162">
        <f t="shared" si="210"/>
        <v>45</v>
      </c>
      <c r="AK246" s="163" t="str">
        <f>INDEX(Map!$W$2:$W$67, MATCH('Raw data'!AJ246, Map!$V$2:$V$67,0))</f>
        <v>T3</v>
      </c>
      <c r="AL246" s="165" t="str">
        <f>INDEX(Map!$X$2:$X$67, MATCH('Raw data'!AJ246, Map!$V$2:$V$67,0))</f>
        <v>R10</v>
      </c>
      <c r="AM246" s="319">
        <f t="shared" si="211"/>
        <v>91.699999999999989</v>
      </c>
      <c r="AN246" s="150">
        <f t="shared" si="212"/>
        <v>2.3512820512820509</v>
      </c>
      <c r="AO246" s="151">
        <f t="shared" si="213"/>
        <v>32.699999999999989</v>
      </c>
      <c r="AP246" s="150">
        <f t="shared" si="214"/>
        <v>0.83846153846153815</v>
      </c>
      <c r="AQ246" s="151">
        <f t="shared" si="215"/>
        <v>56.1</v>
      </c>
      <c r="AR246" s="149">
        <f t="shared" si="216"/>
        <v>1.4384615384615385</v>
      </c>
      <c r="AS246" s="150">
        <f t="shared" si="217"/>
        <v>1.71559633027523</v>
      </c>
    </row>
    <row r="247" spans="10:45" x14ac:dyDescent="0.25">
      <c r="J247" s="1" t="str">
        <f t="shared" si="209"/>
        <v>OK</v>
      </c>
      <c r="K247" s="164" t="s">
        <v>90</v>
      </c>
      <c r="L247" s="162">
        <f>'39 days'!$A50</f>
        <v>46</v>
      </c>
      <c r="M247" s="163">
        <f>'39 days'!B50</f>
        <v>36</v>
      </c>
      <c r="N247" s="163" t="str">
        <f>INDEX(Map!$W$2:$W$67, MATCH('Raw data'!L247, Map!$V$2:$V$67,0))</f>
        <v>T1</v>
      </c>
      <c r="O247" s="165" t="str">
        <f>INDEX(Map!$X$2:$X$67, MATCH('Raw data'!L247, Map!$V$2:$V$67,0))</f>
        <v>R10</v>
      </c>
      <c r="P247" s="158">
        <f>('39 days'!$C50-'39 days'!$C$3)+('39 days'!$D50-'39 days'!$C$3)</f>
        <v>87</v>
      </c>
      <c r="Q247" s="154">
        <f t="shared" si="183"/>
        <v>2.4166666666666665</v>
      </c>
      <c r="R247" s="155">
        <f t="shared" si="184"/>
        <v>31.531578947368416</v>
      </c>
      <c r="S247" s="328">
        <f t="shared" si="218"/>
        <v>0.87587719298245603</v>
      </c>
      <c r="T247" s="336">
        <f>IF((IF(('39 days'!$E50-'39 days'!$E$3)&lt;0, 0, ('39 days'!$E50-'39 days'!$E$3)))+(IF(('39 days'!$F50-'39 days'!$F$3)&lt;0, 0, ('39 days'!$F50-'39 days'!$F$3)))+('39 days'!$H50*'39 days'!$G50)+('39 days'!$I50)&lt;0, 0, (IF(('39 days'!$E50-'39 days'!$E$3)&lt;0, 0, ('39 days'!$E50-'39 days'!$E$3)))+(IF(('39 days'!$F50-'39 days'!$F$3)&lt;0, 0, ('39 days'!$F50-'39 days'!$F$3)))+('39 days'!$H50*'39 days'!$G50)+('39 days'!$I50))</f>
        <v>7.9</v>
      </c>
      <c r="U247" s="158">
        <f>I49-'Raw data'!T247</f>
        <v>55.1</v>
      </c>
      <c r="V247" s="154">
        <f t="shared" si="185"/>
        <v>1.5305555555555557</v>
      </c>
      <c r="W247" s="155">
        <f t="shared" si="219"/>
        <v>1.7479226175019476</v>
      </c>
      <c r="X247" s="196">
        <f t="shared" si="198"/>
        <v>38</v>
      </c>
      <c r="Y247" s="213">
        <f t="shared" si="189"/>
        <v>36</v>
      </c>
      <c r="Z247" s="163">
        <f>'39 days'!J50</f>
        <v>2</v>
      </c>
      <c r="AA247" s="154">
        <f>'39 days'!K50</f>
        <v>4.4939999999999998</v>
      </c>
      <c r="AB247" s="163">
        <f>'39 days'!L50</f>
        <v>0</v>
      </c>
      <c r="AC247" s="154">
        <f>'39 days'!M50</f>
        <v>0</v>
      </c>
      <c r="AD247" s="213">
        <f>'39 days'!N50</f>
        <v>0</v>
      </c>
      <c r="AE247" s="154">
        <f>'39 days'!O50</f>
        <v>0</v>
      </c>
      <c r="AF247" s="163">
        <f t="shared" si="190"/>
        <v>2</v>
      </c>
      <c r="AG247" s="160">
        <f t="shared" si="191"/>
        <v>4.4939999999999998</v>
      </c>
      <c r="AI247" s="319" t="s">
        <v>118</v>
      </c>
      <c r="AJ247" s="162">
        <f t="shared" si="210"/>
        <v>46</v>
      </c>
      <c r="AK247" s="163" t="str">
        <f>INDEX(Map!$W$2:$W$67, MATCH('Raw data'!AJ247, Map!$V$2:$V$67,0))</f>
        <v>T1</v>
      </c>
      <c r="AL247" s="165" t="str">
        <f>INDEX(Map!$X$2:$X$67, MATCH('Raw data'!AJ247, Map!$V$2:$V$67,0))</f>
        <v>R10</v>
      </c>
      <c r="AM247" s="319">
        <f t="shared" si="211"/>
        <v>87</v>
      </c>
      <c r="AN247" s="150">
        <f t="shared" si="212"/>
        <v>2.4166666666666665</v>
      </c>
      <c r="AO247" s="151">
        <f t="shared" si="213"/>
        <v>31.531578947368416</v>
      </c>
      <c r="AP247" s="150">
        <f t="shared" si="214"/>
        <v>0.87587719298245603</v>
      </c>
      <c r="AQ247" s="151">
        <f t="shared" si="215"/>
        <v>55.1</v>
      </c>
      <c r="AR247" s="149">
        <f t="shared" si="216"/>
        <v>1.5305555555555557</v>
      </c>
      <c r="AS247" s="150">
        <f t="shared" si="217"/>
        <v>1.5294688277042923</v>
      </c>
    </row>
    <row r="248" spans="10:45" x14ac:dyDescent="0.25">
      <c r="J248" s="1" t="str">
        <f t="shared" si="209"/>
        <v>OK</v>
      </c>
      <c r="K248" s="164" t="s">
        <v>90</v>
      </c>
      <c r="L248" s="162">
        <f>'39 days'!$A51</f>
        <v>47</v>
      </c>
      <c r="M248" s="163">
        <f>'39 days'!B51</f>
        <v>38</v>
      </c>
      <c r="N248" s="163" t="str">
        <f>INDEX(Map!$W$2:$W$67, MATCH('Raw data'!L248, Map!$V$2:$V$67,0))</f>
        <v>T6</v>
      </c>
      <c r="O248" s="165" t="str">
        <f>INDEX(Map!$X$2:$X$67, MATCH('Raw data'!L248, Map!$V$2:$V$67,0))</f>
        <v>R7</v>
      </c>
      <c r="P248" s="158">
        <f>('39 days'!$C51-'39 days'!$C$3)+('39 days'!$D51-'39 days'!$C$3)</f>
        <v>84.850000000000009</v>
      </c>
      <c r="Q248" s="154">
        <f t="shared" si="183"/>
        <v>2.2328947368421055</v>
      </c>
      <c r="R248" s="155">
        <f t="shared" si="184"/>
        <v>30.237179487179496</v>
      </c>
      <c r="S248" s="328">
        <f t="shared" si="218"/>
        <v>0.79571524966261831</v>
      </c>
      <c r="T248" s="336">
        <f>IF((IF(('39 days'!$E51-'39 days'!$E$3)&lt;0, 0, ('39 days'!$E51-'39 days'!$E$3)))+(IF(('39 days'!$F51-'39 days'!$F$3)&lt;0, 0, ('39 days'!$F51-'39 days'!$F$3)))+('39 days'!$H51*'39 days'!$G51)+('39 days'!$I51)&lt;0, 0, (IF(('39 days'!$E51-'39 days'!$E$3)&lt;0, 0, ('39 days'!$E51-'39 days'!$E$3)))+(IF(('39 days'!$F51-'39 days'!$F$3)&lt;0, 0, ('39 days'!$F51-'39 days'!$F$3)))+('39 days'!$H51*'39 days'!$G51)+('39 days'!$I51))</f>
        <v>10.75</v>
      </c>
      <c r="U248" s="158">
        <f>I50-'Raw data'!T248</f>
        <v>52.25</v>
      </c>
      <c r="V248" s="154">
        <f t="shared" si="185"/>
        <v>1.375</v>
      </c>
      <c r="W248" s="155">
        <f t="shared" si="219"/>
        <v>1.7414904444193147</v>
      </c>
      <c r="X248" s="196">
        <f t="shared" si="198"/>
        <v>39</v>
      </c>
      <c r="Y248" s="213">
        <f t="shared" si="189"/>
        <v>38</v>
      </c>
      <c r="Z248" s="163">
        <f>'39 days'!J51</f>
        <v>1</v>
      </c>
      <c r="AA248" s="154">
        <f>'39 days'!K51</f>
        <v>2.58</v>
      </c>
      <c r="AB248" s="163">
        <f>'39 days'!L51</f>
        <v>0</v>
      </c>
      <c r="AC248" s="154">
        <f>'39 days'!M51</f>
        <v>0</v>
      </c>
      <c r="AD248" s="213">
        <f>'39 days'!N51</f>
        <v>0</v>
      </c>
      <c r="AE248" s="154">
        <f>'39 days'!O51</f>
        <v>0</v>
      </c>
      <c r="AF248" s="163">
        <f t="shared" si="190"/>
        <v>1</v>
      </c>
      <c r="AG248" s="160">
        <f t="shared" si="191"/>
        <v>2.58</v>
      </c>
      <c r="AI248" s="319" t="s">
        <v>118</v>
      </c>
      <c r="AJ248" s="162">
        <f t="shared" si="210"/>
        <v>47</v>
      </c>
      <c r="AK248" s="163" t="str">
        <f>INDEX(Map!$W$2:$W$67, MATCH('Raw data'!AJ248, Map!$V$2:$V$67,0))</f>
        <v>T6</v>
      </c>
      <c r="AL248" s="165" t="str">
        <f>INDEX(Map!$X$2:$X$67, MATCH('Raw data'!AJ248, Map!$V$2:$V$67,0))</f>
        <v>R7</v>
      </c>
      <c r="AM248" s="319">
        <f t="shared" si="211"/>
        <v>84.850000000000009</v>
      </c>
      <c r="AN248" s="150">
        <f t="shared" si="212"/>
        <v>2.2328947368421055</v>
      </c>
      <c r="AO248" s="151">
        <f t="shared" si="213"/>
        <v>30.237179487179496</v>
      </c>
      <c r="AP248" s="150">
        <f t="shared" si="214"/>
        <v>0.79571524966261831</v>
      </c>
      <c r="AQ248" s="151">
        <f t="shared" si="215"/>
        <v>52.25</v>
      </c>
      <c r="AR248" s="149">
        <f t="shared" si="216"/>
        <v>1.375</v>
      </c>
      <c r="AS248" s="150">
        <f t="shared" si="217"/>
        <v>1.5921538906295167</v>
      </c>
    </row>
    <row r="249" spans="10:45" x14ac:dyDescent="0.25">
      <c r="J249" s="1" t="str">
        <f t="shared" si="209"/>
        <v>OK</v>
      </c>
      <c r="K249" s="164" t="s">
        <v>90</v>
      </c>
      <c r="L249" s="162">
        <f>'39 days'!$A52</f>
        <v>48</v>
      </c>
      <c r="M249" s="163">
        <f>'39 days'!B52</f>
        <v>37</v>
      </c>
      <c r="N249" s="163" t="str">
        <f>INDEX(Map!$W$2:$W$67, MATCH('Raw data'!L249, Map!$V$2:$V$67,0))</f>
        <v>T4</v>
      </c>
      <c r="O249" s="165" t="str">
        <f>INDEX(Map!$X$2:$X$67, MATCH('Raw data'!L249, Map!$V$2:$V$67,0))</f>
        <v>R7</v>
      </c>
      <c r="P249" s="158">
        <f>('39 days'!$C52-'39 days'!$C$3)+('39 days'!$D52-'39 days'!$C$3)</f>
        <v>82.199999999999989</v>
      </c>
      <c r="Q249" s="154">
        <f t="shared" si="183"/>
        <v>2.2216216216216211</v>
      </c>
      <c r="R249" s="155">
        <f t="shared" si="184"/>
        <v>29.669736842105252</v>
      </c>
      <c r="S249" s="328">
        <f t="shared" si="218"/>
        <v>0.80188477951635817</v>
      </c>
      <c r="T249" s="336">
        <f>IF((IF(('39 days'!$E52-'39 days'!$E$3)&lt;0, 0, ('39 days'!$E52-'39 days'!$E$3)))+(IF(('39 days'!$F52-'39 days'!$F$3)&lt;0, 0, ('39 days'!$F52-'39 days'!$F$3)))+('39 days'!$H52*'39 days'!$G52)+('39 days'!$I52)&lt;0, 0, (IF(('39 days'!$E52-'39 days'!$E$3)&lt;0, 0, ('39 days'!$E52-'39 days'!$E$3)))+(IF(('39 days'!$F52-'39 days'!$F$3)&lt;0, 0, ('39 days'!$F52-'39 days'!$F$3)))+('39 days'!$H52*'39 days'!$G52)+('39 days'!$I52))</f>
        <v>11.55</v>
      </c>
      <c r="U249" s="158">
        <f>I51-'Raw data'!T249</f>
        <v>51.45</v>
      </c>
      <c r="V249" s="154">
        <f t="shared" si="185"/>
        <v>1.3905405405405407</v>
      </c>
      <c r="W249" s="155">
        <f t="shared" si="219"/>
        <v>1.7995436111472392</v>
      </c>
      <c r="X249" s="196">
        <f t="shared" si="198"/>
        <v>38</v>
      </c>
      <c r="Y249" s="213">
        <f t="shared" si="189"/>
        <v>37</v>
      </c>
      <c r="Z249" s="163">
        <f>'39 days'!J52</f>
        <v>1</v>
      </c>
      <c r="AA249" s="154">
        <f>'39 days'!K52</f>
        <v>1.827</v>
      </c>
      <c r="AB249" s="163">
        <f>'39 days'!L52</f>
        <v>0</v>
      </c>
      <c r="AC249" s="154">
        <f>'39 days'!M52</f>
        <v>0</v>
      </c>
      <c r="AD249" s="213">
        <f>'39 days'!N52</f>
        <v>0</v>
      </c>
      <c r="AE249" s="154">
        <f>'39 days'!O52</f>
        <v>0</v>
      </c>
      <c r="AF249" s="163">
        <f t="shared" si="190"/>
        <v>1</v>
      </c>
      <c r="AG249" s="160">
        <f t="shared" si="191"/>
        <v>1.827</v>
      </c>
      <c r="AI249" s="319" t="s">
        <v>118</v>
      </c>
      <c r="AJ249" s="162">
        <f t="shared" si="210"/>
        <v>48</v>
      </c>
      <c r="AK249" s="163" t="str">
        <f>INDEX(Map!$W$2:$W$67, MATCH('Raw data'!AJ249, Map!$V$2:$V$67,0))</f>
        <v>T4</v>
      </c>
      <c r="AL249" s="165" t="str">
        <f>INDEX(Map!$X$2:$X$67, MATCH('Raw data'!AJ249, Map!$V$2:$V$67,0))</f>
        <v>R7</v>
      </c>
      <c r="AM249" s="319">
        <f t="shared" si="211"/>
        <v>82.199999999999989</v>
      </c>
      <c r="AN249" s="150">
        <f t="shared" si="212"/>
        <v>2.2216216216216211</v>
      </c>
      <c r="AO249" s="151">
        <f t="shared" si="213"/>
        <v>29.669736842105252</v>
      </c>
      <c r="AP249" s="150">
        <f t="shared" si="214"/>
        <v>0.80188477951635817</v>
      </c>
      <c r="AQ249" s="151">
        <f t="shared" si="215"/>
        <v>51.45</v>
      </c>
      <c r="AR249" s="149">
        <f t="shared" si="216"/>
        <v>1.3905405405405407</v>
      </c>
      <c r="AS249" s="150">
        <f t="shared" si="217"/>
        <v>1.6335025516427775</v>
      </c>
    </row>
    <row r="250" spans="10:45" x14ac:dyDescent="0.25">
      <c r="J250" s="1" t="str">
        <f t="shared" si="209"/>
        <v>OK</v>
      </c>
      <c r="K250" s="164" t="s">
        <v>90</v>
      </c>
      <c r="L250" s="162">
        <f>'39 days'!$A53</f>
        <v>49</v>
      </c>
      <c r="M250" s="163">
        <f>'39 days'!B53</f>
        <v>38</v>
      </c>
      <c r="N250" s="163" t="str">
        <f>INDEX(Map!$W$2:$W$67, MATCH('Raw data'!L250, Map!$V$2:$V$67,0))</f>
        <v>T5</v>
      </c>
      <c r="O250" s="165" t="str">
        <f>INDEX(Map!$X$2:$X$67, MATCH('Raw data'!L250, Map!$V$2:$V$67,0))</f>
        <v>R7</v>
      </c>
      <c r="P250" s="158">
        <f>('39 days'!$C53-'39 days'!$C$3)+('39 days'!$D53-'39 days'!$C$3)</f>
        <v>85.25</v>
      </c>
      <c r="Q250" s="154">
        <f t="shared" si="183"/>
        <v>2.2434210526315788</v>
      </c>
      <c r="R250" s="155">
        <f t="shared" si="184"/>
        <v>30.749999999999996</v>
      </c>
      <c r="S250" s="328">
        <f t="shared" si="218"/>
        <v>0.80921052631578938</v>
      </c>
      <c r="T250" s="336">
        <f>IF((IF(('39 days'!$E53-'39 days'!$E$3)&lt;0, 0, ('39 days'!$E53-'39 days'!$E$3)))+(IF(('39 days'!$F53-'39 days'!$F$3)&lt;0, 0, ('39 days'!$F53-'39 days'!$F$3)))+('39 days'!$H53*'39 days'!$G53)+('39 days'!$I53)&lt;0, 0, (IF(('39 days'!$E53-'39 days'!$E$3)&lt;0, 0, ('39 days'!$E53-'39 days'!$E$3)))+(IF(('39 days'!$F53-'39 days'!$F$3)&lt;0, 0, ('39 days'!$F53-'39 days'!$F$3)))+('39 days'!$H53*'39 days'!$G53)+('39 days'!$I53))</f>
        <v>10.8</v>
      </c>
      <c r="U250" s="158">
        <f>I52-'Raw data'!T250</f>
        <v>52.2</v>
      </c>
      <c r="V250" s="154">
        <f t="shared" si="185"/>
        <v>1.3736842105263158</v>
      </c>
      <c r="W250" s="155">
        <f t="shared" si="219"/>
        <v>1.7906352036681101</v>
      </c>
      <c r="X250" s="196">
        <f t="shared" si="198"/>
        <v>38</v>
      </c>
      <c r="Y250" s="213">
        <f t="shared" si="189"/>
        <v>38</v>
      </c>
      <c r="Z250" s="163">
        <f>'39 days'!J53</f>
        <v>0</v>
      </c>
      <c r="AA250" s="154">
        <f>'39 days'!K53</f>
        <v>0</v>
      </c>
      <c r="AB250" s="163">
        <f>'39 days'!L53</f>
        <v>0</v>
      </c>
      <c r="AC250" s="154">
        <f>'39 days'!M53</f>
        <v>0</v>
      </c>
      <c r="AD250" s="213">
        <f>'39 days'!N53</f>
        <v>0</v>
      </c>
      <c r="AE250" s="154">
        <f>'39 days'!O53</f>
        <v>0</v>
      </c>
      <c r="AF250" s="163">
        <f t="shared" si="190"/>
        <v>0</v>
      </c>
      <c r="AG250" s="160">
        <f t="shared" si="191"/>
        <v>0</v>
      </c>
      <c r="AI250" s="319" t="s">
        <v>118</v>
      </c>
      <c r="AJ250" s="162">
        <f t="shared" si="210"/>
        <v>49</v>
      </c>
      <c r="AK250" s="163" t="str">
        <f>INDEX(Map!$W$2:$W$67, MATCH('Raw data'!AJ250, Map!$V$2:$V$67,0))</f>
        <v>T5</v>
      </c>
      <c r="AL250" s="165" t="str">
        <f>INDEX(Map!$X$2:$X$67, MATCH('Raw data'!AJ250, Map!$V$2:$V$67,0))</f>
        <v>R7</v>
      </c>
      <c r="AM250" s="319">
        <f t="shared" si="211"/>
        <v>85.25</v>
      </c>
      <c r="AN250" s="150">
        <f t="shared" si="212"/>
        <v>2.2434210526315788</v>
      </c>
      <c r="AO250" s="151">
        <f t="shared" si="213"/>
        <v>30.749999999999996</v>
      </c>
      <c r="AP250" s="150">
        <f t="shared" si="214"/>
        <v>0.80921052631578938</v>
      </c>
      <c r="AQ250" s="151">
        <f t="shared" si="215"/>
        <v>52.2</v>
      </c>
      <c r="AR250" s="149">
        <f t="shared" si="216"/>
        <v>1.3736842105263158</v>
      </c>
      <c r="AS250" s="150">
        <f t="shared" si="217"/>
        <v>1.6975609756097565</v>
      </c>
    </row>
    <row r="251" spans="10:45" x14ac:dyDescent="0.25">
      <c r="J251" s="1" t="str">
        <f t="shared" si="209"/>
        <v>OK</v>
      </c>
      <c r="K251" s="164" t="s">
        <v>90</v>
      </c>
      <c r="L251" s="162">
        <f>'39 days'!$A54</f>
        <v>50</v>
      </c>
      <c r="M251" s="163">
        <f>'39 days'!B54</f>
        <v>36</v>
      </c>
      <c r="N251" s="163" t="str">
        <f>INDEX(Map!$W$2:$W$67, MATCH('Raw data'!L251, Map!$V$2:$V$67,0))</f>
        <v>T1</v>
      </c>
      <c r="O251" s="165" t="str">
        <f>INDEX(Map!$X$2:$X$67, MATCH('Raw data'!L251, Map!$V$2:$V$67,0))</f>
        <v>R7</v>
      </c>
      <c r="P251" s="158">
        <f>('39 days'!$C54-'39 days'!$C$3)+('39 days'!$D54-'39 days'!$C$3)</f>
        <v>85.55</v>
      </c>
      <c r="Q251" s="154">
        <f t="shared" si="183"/>
        <v>2.3763888888888887</v>
      </c>
      <c r="R251" s="155">
        <f t="shared" si="184"/>
        <v>30.577027027027029</v>
      </c>
      <c r="S251" s="328">
        <f t="shared" si="218"/>
        <v>0.84936186186186191</v>
      </c>
      <c r="T251" s="336">
        <f>IF((IF(('39 days'!$E54-'39 days'!$E$3)&lt;0, 0, ('39 days'!$E54-'39 days'!$E$3)))+(IF(('39 days'!$F54-'39 days'!$F$3)&lt;0, 0, ('39 days'!$F54-'39 days'!$F$3)))+('39 days'!$H54*'39 days'!$G54)+('39 days'!$I54)&lt;0, 0, (IF(('39 days'!$E54-'39 days'!$E$3)&lt;0, 0, ('39 days'!$E54-'39 days'!$E$3)))+(IF(('39 days'!$F54-'39 days'!$F$3)&lt;0, 0, ('39 days'!$F54-'39 days'!$F$3)))+('39 days'!$H54*'39 days'!$G54)+('39 days'!$I54))</f>
        <v>9.2000000000000011</v>
      </c>
      <c r="U251" s="158">
        <f>I53-'Raw data'!T251</f>
        <v>53.8</v>
      </c>
      <c r="V251" s="154">
        <f t="shared" si="185"/>
        <v>1.4944444444444445</v>
      </c>
      <c r="W251" s="155">
        <f t="shared" si="219"/>
        <v>1.7479192768927869</v>
      </c>
      <c r="X251" s="196">
        <f t="shared" si="198"/>
        <v>37</v>
      </c>
      <c r="Y251" s="213">
        <f t="shared" si="189"/>
        <v>36</v>
      </c>
      <c r="Z251" s="163">
        <f>'39 days'!J54</f>
        <v>1</v>
      </c>
      <c r="AA251" s="154">
        <f>'39 days'!K54</f>
        <v>2.3839999999999999</v>
      </c>
      <c r="AB251" s="163">
        <f>'39 days'!L54</f>
        <v>0</v>
      </c>
      <c r="AC251" s="154">
        <f>'39 days'!M54</f>
        <v>0</v>
      </c>
      <c r="AD251" s="213">
        <f>'39 days'!N54</f>
        <v>0</v>
      </c>
      <c r="AE251" s="154">
        <f>'39 days'!O54</f>
        <v>0</v>
      </c>
      <c r="AF251" s="163">
        <f t="shared" si="190"/>
        <v>1</v>
      </c>
      <c r="AG251" s="160">
        <f t="shared" si="191"/>
        <v>2.3839999999999999</v>
      </c>
      <c r="AI251" s="319" t="s">
        <v>118</v>
      </c>
      <c r="AJ251" s="162">
        <f t="shared" si="210"/>
        <v>50</v>
      </c>
      <c r="AK251" s="163" t="str">
        <f>INDEX(Map!$W$2:$W$67, MATCH('Raw data'!AJ251, Map!$V$2:$V$67,0))</f>
        <v>T1</v>
      </c>
      <c r="AL251" s="165" t="str">
        <f>INDEX(Map!$X$2:$X$67, MATCH('Raw data'!AJ251, Map!$V$2:$V$67,0))</f>
        <v>R7</v>
      </c>
      <c r="AM251" s="319">
        <f t="shared" si="211"/>
        <v>85.55</v>
      </c>
      <c r="AN251" s="150">
        <f t="shared" si="212"/>
        <v>2.3763888888888887</v>
      </c>
      <c r="AO251" s="151">
        <f t="shared" si="213"/>
        <v>30.577027027027029</v>
      </c>
      <c r="AP251" s="150">
        <f t="shared" si="214"/>
        <v>0.84936186186186191</v>
      </c>
      <c r="AQ251" s="151">
        <f t="shared" si="215"/>
        <v>53.8</v>
      </c>
      <c r="AR251" s="149">
        <f t="shared" si="216"/>
        <v>1.4944444444444445</v>
      </c>
      <c r="AS251" s="150">
        <f t="shared" si="217"/>
        <v>1.6322306934151551</v>
      </c>
    </row>
    <row r="252" spans="10:45" x14ac:dyDescent="0.25">
      <c r="J252" s="1" t="str">
        <f t="shared" si="209"/>
        <v>OK</v>
      </c>
      <c r="K252" s="164" t="s">
        <v>90</v>
      </c>
      <c r="L252" s="162">
        <f>'39 days'!$A55</f>
        <v>51</v>
      </c>
      <c r="M252" s="163">
        <f>'39 days'!B55</f>
        <v>39</v>
      </c>
      <c r="N252" s="163" t="str">
        <f>INDEX(Map!$W$2:$W$67, MATCH('Raw data'!L252, Map!$V$2:$V$67,0))</f>
        <v>T3</v>
      </c>
      <c r="O252" s="165" t="str">
        <f>INDEX(Map!$X$2:$X$67, MATCH('Raw data'!L252, Map!$V$2:$V$67,0))</f>
        <v>R7</v>
      </c>
      <c r="P252" s="158">
        <f>('39 days'!$C55-'39 days'!$C$3)+('39 days'!$D55-'39 days'!$C$3)</f>
        <v>88.15</v>
      </c>
      <c r="Q252" s="154">
        <f t="shared" si="183"/>
        <v>2.2602564102564102</v>
      </c>
      <c r="R252" s="155">
        <f t="shared" si="184"/>
        <v>31.746250000000007</v>
      </c>
      <c r="S252" s="328">
        <f t="shared" si="218"/>
        <v>0.81400641025641041</v>
      </c>
      <c r="T252" s="336">
        <f>IF((IF(('39 days'!$E55-'39 days'!$E$3)&lt;0, 0, ('39 days'!$E55-'39 days'!$E$3)))+(IF(('39 days'!$F55-'39 days'!$F$3)&lt;0, 0, ('39 days'!$F55-'39 days'!$F$3)))+('39 days'!$H55*'39 days'!$G55)+('39 days'!$I55)&lt;0, 0, (IF(('39 days'!$E55-'39 days'!$E$3)&lt;0, 0, ('39 days'!$E55-'39 days'!$E$3)))+(IF(('39 days'!$F55-'39 days'!$F$3)&lt;0, 0, ('39 days'!$F55-'39 days'!$F$3)))+('39 days'!$H55*'39 days'!$G55)+('39 days'!$I55))</f>
        <v>9.1</v>
      </c>
      <c r="U252" s="158">
        <f>I54-'Raw data'!T252</f>
        <v>53.9</v>
      </c>
      <c r="V252" s="154">
        <f t="shared" si="185"/>
        <v>1.382051282051282</v>
      </c>
      <c r="W252" s="155">
        <f t="shared" si="219"/>
        <v>1.752449212812462</v>
      </c>
      <c r="X252" s="196">
        <f t="shared" si="198"/>
        <v>40</v>
      </c>
      <c r="Y252" s="213">
        <f t="shared" si="189"/>
        <v>39</v>
      </c>
      <c r="Z252" s="163">
        <f>'39 days'!J55</f>
        <v>1</v>
      </c>
      <c r="AA252" s="154">
        <f>'39 days'!K55</f>
        <v>1.9810000000000001</v>
      </c>
      <c r="AB252" s="163">
        <f>'39 days'!L55</f>
        <v>0</v>
      </c>
      <c r="AC252" s="154">
        <f>'39 days'!M55</f>
        <v>0</v>
      </c>
      <c r="AD252" s="213">
        <f>'39 days'!N55</f>
        <v>0</v>
      </c>
      <c r="AE252" s="154">
        <f>'39 days'!O55</f>
        <v>0</v>
      </c>
      <c r="AF252" s="163">
        <f t="shared" si="190"/>
        <v>1</v>
      </c>
      <c r="AG252" s="160">
        <f t="shared" si="191"/>
        <v>1.9810000000000001</v>
      </c>
      <c r="AI252" s="319" t="s">
        <v>118</v>
      </c>
      <c r="AJ252" s="162">
        <f t="shared" si="210"/>
        <v>51</v>
      </c>
      <c r="AK252" s="163" t="str">
        <f>INDEX(Map!$W$2:$W$67, MATCH('Raw data'!AJ252, Map!$V$2:$V$67,0))</f>
        <v>T3</v>
      </c>
      <c r="AL252" s="165" t="str">
        <f>INDEX(Map!$X$2:$X$67, MATCH('Raw data'!AJ252, Map!$V$2:$V$67,0))</f>
        <v>R7</v>
      </c>
      <c r="AM252" s="319">
        <f t="shared" si="211"/>
        <v>88.15</v>
      </c>
      <c r="AN252" s="150">
        <f t="shared" si="212"/>
        <v>2.2602564102564102</v>
      </c>
      <c r="AO252" s="151">
        <f t="shared" si="213"/>
        <v>31.746250000000007</v>
      </c>
      <c r="AP252" s="150">
        <f t="shared" si="214"/>
        <v>0.81400641025641041</v>
      </c>
      <c r="AQ252" s="151">
        <f t="shared" si="215"/>
        <v>53.9</v>
      </c>
      <c r="AR252" s="149">
        <f t="shared" si="216"/>
        <v>1.382051282051282</v>
      </c>
      <c r="AS252" s="150">
        <f t="shared" si="217"/>
        <v>1.5981142844435876</v>
      </c>
    </row>
    <row r="253" spans="10:45" x14ac:dyDescent="0.25">
      <c r="J253" s="1" t="str">
        <f t="shared" si="209"/>
        <v>OK</v>
      </c>
      <c r="K253" s="164" t="s">
        <v>90</v>
      </c>
      <c r="L253" s="162">
        <f>'39 days'!$A56</f>
        <v>52</v>
      </c>
      <c r="M253" s="163">
        <f>'39 days'!B56</f>
        <v>38</v>
      </c>
      <c r="N253" s="163" t="str">
        <f>INDEX(Map!$W$2:$W$67, MATCH('Raw data'!L253, Map!$V$2:$V$67,0))</f>
        <v>T2</v>
      </c>
      <c r="O253" s="165" t="str">
        <f>INDEX(Map!$X$2:$X$67, MATCH('Raw data'!L253, Map!$V$2:$V$67,0))</f>
        <v>R7</v>
      </c>
      <c r="P253" s="158">
        <f>('39 days'!$C56-'39 days'!$C$3)+('39 days'!$D56-'39 days'!$C$3)</f>
        <v>90.199999999999989</v>
      </c>
      <c r="Q253" s="154">
        <f t="shared" si="183"/>
        <v>2.3736842105263154</v>
      </c>
      <c r="R253" s="155">
        <f t="shared" si="184"/>
        <v>31.249999999999986</v>
      </c>
      <c r="S253" s="328">
        <f t="shared" si="218"/>
        <v>0.82236842105263119</v>
      </c>
      <c r="T253" s="336">
        <f>IF((IF(('39 days'!$E56-'39 days'!$E$3)&lt;0, 0, ('39 days'!$E56-'39 days'!$E$3)))+(IF(('39 days'!$F56-'39 days'!$F$3)&lt;0, 0, ('39 days'!$F56-'39 days'!$F$3)))+('39 days'!$H56*'39 days'!$G56)+('39 days'!$I56)&lt;0, 0, (IF(('39 days'!$E56-'39 days'!$E$3)&lt;0, 0, ('39 days'!$E56-'39 days'!$E$3)))+(IF(('39 days'!$F56-'39 days'!$F$3)&lt;0, 0, ('39 days'!$F56-'39 days'!$F$3)))+('39 days'!$H56*'39 days'!$G56)+('39 days'!$I56))</f>
        <v>9.6</v>
      </c>
      <c r="U253" s="158">
        <f>I55-'Raw data'!T253</f>
        <v>53.4</v>
      </c>
      <c r="V253" s="154">
        <f t="shared" si="185"/>
        <v>1.4052631578947368</v>
      </c>
      <c r="W253" s="155">
        <f t="shared" si="219"/>
        <v>1.7255330781848004</v>
      </c>
      <c r="X253" s="196">
        <f t="shared" si="198"/>
        <v>38</v>
      </c>
      <c r="Y253" s="213">
        <f t="shared" si="189"/>
        <v>38</v>
      </c>
      <c r="Z253" s="163">
        <f>'39 days'!J56</f>
        <v>0</v>
      </c>
      <c r="AA253" s="154">
        <f>'39 days'!K56</f>
        <v>0</v>
      </c>
      <c r="AB253" s="163">
        <f>'39 days'!L56</f>
        <v>0</v>
      </c>
      <c r="AC253" s="154">
        <f>'39 days'!M56</f>
        <v>0</v>
      </c>
      <c r="AD253" s="213">
        <f>'39 days'!N56</f>
        <v>0</v>
      </c>
      <c r="AE253" s="154">
        <f>'39 days'!O56</f>
        <v>0</v>
      </c>
      <c r="AF253" s="163">
        <f t="shared" si="190"/>
        <v>0</v>
      </c>
      <c r="AG253" s="160">
        <f t="shared" si="191"/>
        <v>0</v>
      </c>
      <c r="AI253" s="319" t="s">
        <v>118</v>
      </c>
      <c r="AJ253" s="162">
        <f t="shared" si="210"/>
        <v>52</v>
      </c>
      <c r="AK253" s="163" t="str">
        <f>INDEX(Map!$W$2:$W$67, MATCH('Raw data'!AJ253, Map!$V$2:$V$67,0))</f>
        <v>T2</v>
      </c>
      <c r="AL253" s="165" t="str">
        <f>INDEX(Map!$X$2:$X$67, MATCH('Raw data'!AJ253, Map!$V$2:$V$67,0))</f>
        <v>R7</v>
      </c>
      <c r="AM253" s="319">
        <f t="shared" si="211"/>
        <v>90.199999999999989</v>
      </c>
      <c r="AN253" s="150">
        <f t="shared" si="212"/>
        <v>2.3736842105263154</v>
      </c>
      <c r="AO253" s="151">
        <f t="shared" si="213"/>
        <v>31.249999999999986</v>
      </c>
      <c r="AP253" s="150">
        <f t="shared" si="214"/>
        <v>0.82236842105263119</v>
      </c>
      <c r="AQ253" s="151">
        <f t="shared" si="215"/>
        <v>53.4</v>
      </c>
      <c r="AR253" s="149">
        <f t="shared" si="216"/>
        <v>1.4052631578947368</v>
      </c>
      <c r="AS253" s="150">
        <f t="shared" si="217"/>
        <v>1.7088000000000008</v>
      </c>
    </row>
    <row r="254" spans="10:45" x14ac:dyDescent="0.25">
      <c r="J254" s="1" t="str">
        <f t="shared" si="209"/>
        <v>OK</v>
      </c>
      <c r="K254" s="164" t="s">
        <v>90</v>
      </c>
      <c r="L254" s="162">
        <f>'39 days'!$A57</f>
        <v>53</v>
      </c>
      <c r="M254" s="163">
        <f>'39 days'!B57</f>
        <v>39</v>
      </c>
      <c r="N254" s="163" t="str">
        <f>INDEX(Map!$W$2:$W$67, MATCH('Raw data'!L254, Map!$V$2:$V$67,0))</f>
        <v>T5</v>
      </c>
      <c r="O254" s="165" t="str">
        <f>INDEX(Map!$X$2:$X$67, MATCH('Raw data'!L254, Map!$V$2:$V$67,0))</f>
        <v>R8</v>
      </c>
      <c r="P254" s="158">
        <f>('39 days'!$C57-'39 days'!$C$3)+('39 days'!$D57-'39 days'!$C$3)</f>
        <v>90.4</v>
      </c>
      <c r="Q254" s="154">
        <f t="shared" si="183"/>
        <v>2.3179487179487182</v>
      </c>
      <c r="R254" s="155">
        <f t="shared" si="184"/>
        <v>33.900000000000013</v>
      </c>
      <c r="S254" s="328">
        <f t="shared" si="218"/>
        <v>0.86923076923076947</v>
      </c>
      <c r="T254" s="336">
        <f>IF((IF(('39 days'!$E57-'39 days'!$E$3)&lt;0, 0, ('39 days'!$E57-'39 days'!$E$3)))+(IF(('39 days'!$F57-'39 days'!$F$3)&lt;0, 0, ('39 days'!$F57-'39 days'!$F$3)))+('39 days'!$H57*'39 days'!$G57)+('39 days'!$I57)&lt;0, 0, (IF(('39 days'!$E57-'39 days'!$E$3)&lt;0, 0, ('39 days'!$E57-'39 days'!$E$3)))+(IF(('39 days'!$F57-'39 days'!$F$3)&lt;0, 0, ('39 days'!$F57-'39 days'!$F$3)))+('39 days'!$H57*'39 days'!$G57)+('39 days'!$I57))</f>
        <v>7.5500000000000007</v>
      </c>
      <c r="U254" s="158">
        <f>I56-'Raw data'!T254</f>
        <v>55.45</v>
      </c>
      <c r="V254" s="154">
        <f t="shared" si="185"/>
        <v>1.4217948717948719</v>
      </c>
      <c r="W254" s="155">
        <f t="shared" si="219"/>
        <v>1.7402095973524543</v>
      </c>
      <c r="X254" s="196">
        <f t="shared" si="198"/>
        <v>39</v>
      </c>
      <c r="Y254" s="213">
        <f t="shared" si="189"/>
        <v>39</v>
      </c>
      <c r="Z254" s="163">
        <f>'39 days'!J57</f>
        <v>0</v>
      </c>
      <c r="AA254" s="154">
        <f>'39 days'!K57</f>
        <v>0</v>
      </c>
      <c r="AB254" s="163">
        <f>'39 days'!L57</f>
        <v>0</v>
      </c>
      <c r="AC254" s="154">
        <f>'39 days'!M57</f>
        <v>0</v>
      </c>
      <c r="AD254" s="213">
        <f>'39 days'!N57</f>
        <v>0</v>
      </c>
      <c r="AE254" s="154">
        <f>'39 days'!O57</f>
        <v>0</v>
      </c>
      <c r="AF254" s="163">
        <f t="shared" si="190"/>
        <v>0</v>
      </c>
      <c r="AG254" s="160">
        <f t="shared" si="191"/>
        <v>0</v>
      </c>
      <c r="AI254" s="319" t="s">
        <v>118</v>
      </c>
      <c r="AJ254" s="162">
        <f t="shared" si="210"/>
        <v>53</v>
      </c>
      <c r="AK254" s="163" t="str">
        <f>INDEX(Map!$W$2:$W$67, MATCH('Raw data'!AJ254, Map!$V$2:$V$67,0))</f>
        <v>T5</v>
      </c>
      <c r="AL254" s="165" t="str">
        <f>INDEX(Map!$X$2:$X$67, MATCH('Raw data'!AJ254, Map!$V$2:$V$67,0))</f>
        <v>R8</v>
      </c>
      <c r="AM254" s="319">
        <f t="shared" si="211"/>
        <v>90.4</v>
      </c>
      <c r="AN254" s="150">
        <f t="shared" si="212"/>
        <v>2.3179487179487182</v>
      </c>
      <c r="AO254" s="151">
        <f t="shared" si="213"/>
        <v>33.900000000000013</v>
      </c>
      <c r="AP254" s="150">
        <f t="shared" si="214"/>
        <v>0.86923076923076947</v>
      </c>
      <c r="AQ254" s="151">
        <f t="shared" si="215"/>
        <v>55.45</v>
      </c>
      <c r="AR254" s="149">
        <f t="shared" si="216"/>
        <v>1.4217948717948719</v>
      </c>
      <c r="AS254" s="150">
        <f t="shared" si="217"/>
        <v>1.6356932153392325</v>
      </c>
    </row>
    <row r="255" spans="10:45" x14ac:dyDescent="0.25">
      <c r="J255" s="1" t="str">
        <f t="shared" si="209"/>
        <v>OK</v>
      </c>
      <c r="K255" s="164" t="s">
        <v>90</v>
      </c>
      <c r="L255" s="162">
        <f>'39 days'!$A58</f>
        <v>54</v>
      </c>
      <c r="M255" s="163">
        <f>'39 days'!B58</f>
        <v>36</v>
      </c>
      <c r="N255" s="163" t="str">
        <f>INDEX(Map!$W$2:$W$67, MATCH('Raw data'!L255, Map!$V$2:$V$67,0))</f>
        <v>T4</v>
      </c>
      <c r="O255" s="165" t="str">
        <f>INDEX(Map!$X$2:$X$67, MATCH('Raw data'!L255, Map!$V$2:$V$67,0))</f>
        <v>R8</v>
      </c>
      <c r="P255" s="158">
        <f>('39 days'!$C58-'39 days'!$C$3)+('39 days'!$D58-'39 days'!$C$3)</f>
        <v>83.8</v>
      </c>
      <c r="Q255" s="154">
        <f t="shared" si="183"/>
        <v>2.3277777777777775</v>
      </c>
      <c r="R255" s="155">
        <f t="shared" si="184"/>
        <v>30.04999999999999</v>
      </c>
      <c r="S255" s="328">
        <f t="shared" si="218"/>
        <v>0.83472222222222192</v>
      </c>
      <c r="T255" s="336">
        <f>IF((IF(('39 days'!$E58-'39 days'!$E$3)&lt;0, 0, ('39 days'!$E58-'39 days'!$E$3)))+(IF(('39 days'!$F58-'39 days'!$F$3)&lt;0, 0, ('39 days'!$F58-'39 days'!$F$3)))+('39 days'!$H58*'39 days'!$G58)+('39 days'!$I58)&lt;0, 0, (IF(('39 days'!$E58-'39 days'!$E$3)&lt;0, 0, ('39 days'!$E58-'39 days'!$E$3)))+(IF(('39 days'!$F58-'39 days'!$F$3)&lt;0, 0, ('39 days'!$F58-'39 days'!$F$3)))+('39 days'!$H58*'39 days'!$G58)+('39 days'!$I58))</f>
        <v>11.7</v>
      </c>
      <c r="U255" s="158">
        <f>I57-'Raw data'!T255</f>
        <v>51.3</v>
      </c>
      <c r="V255" s="154">
        <f t="shared" si="185"/>
        <v>1.4249999999999998</v>
      </c>
      <c r="W255" s="155">
        <f t="shared" si="219"/>
        <v>1.747663551401869</v>
      </c>
      <c r="X255" s="196">
        <f t="shared" si="198"/>
        <v>36</v>
      </c>
      <c r="Y255" s="213">
        <f t="shared" si="189"/>
        <v>36</v>
      </c>
      <c r="Z255" s="163">
        <f>'39 days'!J58</f>
        <v>0</v>
      </c>
      <c r="AA255" s="154">
        <f>'39 days'!K58</f>
        <v>0</v>
      </c>
      <c r="AB255" s="163">
        <f>'39 days'!L58</f>
        <v>0</v>
      </c>
      <c r="AC255" s="154">
        <f>'39 days'!M58</f>
        <v>0</v>
      </c>
      <c r="AD255" s="213">
        <f>'39 days'!N58</f>
        <v>0</v>
      </c>
      <c r="AE255" s="154">
        <f>'39 days'!O58</f>
        <v>0</v>
      </c>
      <c r="AF255" s="163">
        <f t="shared" si="190"/>
        <v>0</v>
      </c>
      <c r="AG255" s="160">
        <f t="shared" si="191"/>
        <v>0</v>
      </c>
      <c r="AI255" s="319" t="s">
        <v>118</v>
      </c>
      <c r="AJ255" s="162">
        <f t="shared" si="210"/>
        <v>54</v>
      </c>
      <c r="AK255" s="163" t="str">
        <f>INDEX(Map!$W$2:$W$67, MATCH('Raw data'!AJ255, Map!$V$2:$V$67,0))</f>
        <v>T4</v>
      </c>
      <c r="AL255" s="165" t="str">
        <f>INDEX(Map!$X$2:$X$67, MATCH('Raw data'!AJ255, Map!$V$2:$V$67,0))</f>
        <v>R8</v>
      </c>
      <c r="AM255" s="319">
        <f t="shared" si="211"/>
        <v>83.8</v>
      </c>
      <c r="AN255" s="150">
        <f t="shared" si="212"/>
        <v>2.3277777777777775</v>
      </c>
      <c r="AO255" s="151">
        <f t="shared" si="213"/>
        <v>30.04999999999999</v>
      </c>
      <c r="AP255" s="150">
        <f t="shared" si="214"/>
        <v>0.83472222222222192</v>
      </c>
      <c r="AQ255" s="151">
        <f t="shared" si="215"/>
        <v>51.3</v>
      </c>
      <c r="AR255" s="149">
        <f t="shared" si="216"/>
        <v>1.4249999999999998</v>
      </c>
      <c r="AS255" s="150">
        <f t="shared" si="217"/>
        <v>1.7071547420965063</v>
      </c>
    </row>
    <row r="256" spans="10:45" x14ac:dyDescent="0.25">
      <c r="J256" s="1" t="str">
        <f t="shared" si="209"/>
        <v>OK</v>
      </c>
      <c r="K256" s="164" t="s">
        <v>90</v>
      </c>
      <c r="L256" s="162">
        <f>'39 days'!$A59</f>
        <v>55</v>
      </c>
      <c r="M256" s="163">
        <f>'39 days'!B59</f>
        <v>37</v>
      </c>
      <c r="N256" s="163" t="str">
        <f>INDEX(Map!$W$2:$W$67, MATCH('Raw data'!L256, Map!$V$2:$V$67,0))</f>
        <v>T6</v>
      </c>
      <c r="O256" s="165" t="str">
        <f>INDEX(Map!$X$2:$X$67, MATCH('Raw data'!L256, Map!$V$2:$V$67,0))</f>
        <v>R8</v>
      </c>
      <c r="P256" s="158">
        <f>('39 days'!$C59-'39 days'!$C$3)+('39 days'!$D59-'39 days'!$C$3)</f>
        <v>83.9</v>
      </c>
      <c r="Q256" s="154">
        <f t="shared" si="183"/>
        <v>2.2675675675675677</v>
      </c>
      <c r="R256" s="155">
        <f t="shared" si="184"/>
        <v>30.493421052631586</v>
      </c>
      <c r="S256" s="328">
        <f t="shared" si="218"/>
        <v>0.82414651493598878</v>
      </c>
      <c r="T256" s="336">
        <f>IF((IF(('39 days'!$E59-'39 days'!$E$3)&lt;0, 0, ('39 days'!$E59-'39 days'!$E$3)))+(IF(('39 days'!$F59-'39 days'!$F$3)&lt;0, 0, ('39 days'!$F59-'39 days'!$F$3)))+('39 days'!$H59*'39 days'!$G59)+('39 days'!$I59)&lt;0, 0, (IF(('39 days'!$E59-'39 days'!$E$3)&lt;0, 0, ('39 days'!$E59-'39 days'!$E$3)))+(IF(('39 days'!$F59-'39 days'!$F$3)&lt;0, 0, ('39 days'!$F59-'39 days'!$F$3)))+('39 days'!$H59*'39 days'!$G59)+('39 days'!$I59))</f>
        <v>10.9</v>
      </c>
      <c r="U256" s="158">
        <f>I58-'Raw data'!T256</f>
        <v>52.1</v>
      </c>
      <c r="V256" s="154">
        <f t="shared" si="185"/>
        <v>1.4081081081081082</v>
      </c>
      <c r="W256" s="155">
        <f t="shared" si="219"/>
        <v>1.7738918912716715</v>
      </c>
      <c r="X256" s="196">
        <f t="shared" si="198"/>
        <v>38</v>
      </c>
      <c r="Y256" s="213">
        <f t="shared" si="189"/>
        <v>37</v>
      </c>
      <c r="Z256" s="163">
        <f>'39 days'!J59</f>
        <v>1</v>
      </c>
      <c r="AA256" s="154">
        <f>'39 days'!K59</f>
        <v>1.7729999999999999</v>
      </c>
      <c r="AB256" s="163">
        <f>'39 days'!L59</f>
        <v>0</v>
      </c>
      <c r="AC256" s="154">
        <f>'39 days'!M59</f>
        <v>0</v>
      </c>
      <c r="AD256" s="213">
        <f>'39 days'!N59</f>
        <v>0</v>
      </c>
      <c r="AE256" s="154">
        <f>'39 days'!O59</f>
        <v>0</v>
      </c>
      <c r="AF256" s="163">
        <f t="shared" si="190"/>
        <v>1</v>
      </c>
      <c r="AG256" s="160">
        <f t="shared" si="191"/>
        <v>1.7729999999999999</v>
      </c>
      <c r="AI256" s="319" t="s">
        <v>118</v>
      </c>
      <c r="AJ256" s="162">
        <f t="shared" si="210"/>
        <v>55</v>
      </c>
      <c r="AK256" s="163" t="str">
        <f>INDEX(Map!$W$2:$W$67, MATCH('Raw data'!AJ256, Map!$V$2:$V$67,0))</f>
        <v>T6</v>
      </c>
      <c r="AL256" s="165" t="str">
        <f>INDEX(Map!$X$2:$X$67, MATCH('Raw data'!AJ256, Map!$V$2:$V$67,0))</f>
        <v>R8</v>
      </c>
      <c r="AM256" s="319">
        <f t="shared" si="211"/>
        <v>83.9</v>
      </c>
      <c r="AN256" s="150">
        <f t="shared" si="212"/>
        <v>2.2675675675675677</v>
      </c>
      <c r="AO256" s="151">
        <f t="shared" si="213"/>
        <v>30.493421052631586</v>
      </c>
      <c r="AP256" s="150">
        <f t="shared" si="214"/>
        <v>0.82414651493598878</v>
      </c>
      <c r="AQ256" s="151">
        <f t="shared" si="215"/>
        <v>52.1</v>
      </c>
      <c r="AR256" s="149">
        <f t="shared" si="216"/>
        <v>1.4081081081081082</v>
      </c>
      <c r="AS256" s="150">
        <f t="shared" si="217"/>
        <v>1.6146817124532262</v>
      </c>
    </row>
    <row r="257" spans="10:45" x14ac:dyDescent="0.25">
      <c r="J257" s="1" t="str">
        <f t="shared" si="209"/>
        <v>OK</v>
      </c>
      <c r="K257" s="164" t="s">
        <v>90</v>
      </c>
      <c r="L257" s="162">
        <f>'39 days'!$A60</f>
        <v>56</v>
      </c>
      <c r="M257" s="163">
        <f>'39 days'!B60</f>
        <v>37</v>
      </c>
      <c r="N257" s="163" t="str">
        <f>INDEX(Map!$W$2:$W$67, MATCH('Raw data'!L257, Map!$V$2:$V$67,0))</f>
        <v>T3</v>
      </c>
      <c r="O257" s="165" t="str">
        <f>INDEX(Map!$X$2:$X$67, MATCH('Raw data'!L257, Map!$V$2:$V$67,0))</f>
        <v>R8</v>
      </c>
      <c r="P257" s="158">
        <f>('39 days'!$C60-'39 days'!$C$3)+('39 days'!$D60-'39 days'!$C$3)</f>
        <v>85.45</v>
      </c>
      <c r="Q257" s="154">
        <f t="shared" si="183"/>
        <v>2.3094594594594597</v>
      </c>
      <c r="R257" s="155">
        <f t="shared" si="184"/>
        <v>30.290789473684224</v>
      </c>
      <c r="S257" s="328">
        <f t="shared" si="218"/>
        <v>0.8186699857752493</v>
      </c>
      <c r="T257" s="336">
        <f>IF((IF(('39 days'!$E60-'39 days'!$E$3)&lt;0, 0, ('39 days'!$E60-'39 days'!$E$3)))+(IF(('39 days'!$F60-'39 days'!$F$3)&lt;0, 0, ('39 days'!$F60-'39 days'!$F$3)))+('39 days'!$H60*'39 days'!$G60)+('39 days'!$I60)&lt;0, 0, (IF(('39 days'!$E60-'39 days'!$E$3)&lt;0, 0, ('39 days'!$E60-'39 days'!$E$3)))+(IF(('39 days'!$F60-'39 days'!$F$3)&lt;0, 0, ('39 days'!$F60-'39 days'!$F$3)))+('39 days'!$H60*'39 days'!$G60)+('39 days'!$I60))</f>
        <v>9.9500000000000011</v>
      </c>
      <c r="U257" s="158">
        <f>I59-'Raw data'!T257</f>
        <v>53.05</v>
      </c>
      <c r="V257" s="154">
        <f t="shared" si="185"/>
        <v>1.4337837837837837</v>
      </c>
      <c r="W257" s="155">
        <f t="shared" si="219"/>
        <v>1.7345323498703309</v>
      </c>
      <c r="X257" s="196">
        <f t="shared" si="198"/>
        <v>38</v>
      </c>
      <c r="Y257" s="213">
        <f t="shared" si="189"/>
        <v>37</v>
      </c>
      <c r="Z257" s="163">
        <f>'39 days'!J60</f>
        <v>1</v>
      </c>
      <c r="AA257" s="154">
        <f>'39 days'!K60</f>
        <v>2.923</v>
      </c>
      <c r="AB257" s="163">
        <f>'39 days'!L60</f>
        <v>0</v>
      </c>
      <c r="AC257" s="154">
        <f>'39 days'!M60</f>
        <v>0</v>
      </c>
      <c r="AD257" s="213">
        <f>'39 days'!N60</f>
        <v>0</v>
      </c>
      <c r="AE257" s="154">
        <f>'39 days'!O60</f>
        <v>0</v>
      </c>
      <c r="AF257" s="163">
        <f t="shared" si="190"/>
        <v>1</v>
      </c>
      <c r="AG257" s="160">
        <f t="shared" si="191"/>
        <v>2.923</v>
      </c>
      <c r="AI257" s="319" t="s">
        <v>118</v>
      </c>
      <c r="AJ257" s="162">
        <f t="shared" si="210"/>
        <v>56</v>
      </c>
      <c r="AK257" s="163" t="str">
        <f>INDEX(Map!$W$2:$W$67, MATCH('Raw data'!AJ257, Map!$V$2:$V$67,0))</f>
        <v>T3</v>
      </c>
      <c r="AL257" s="165" t="str">
        <f>INDEX(Map!$X$2:$X$67, MATCH('Raw data'!AJ257, Map!$V$2:$V$67,0))</f>
        <v>R8</v>
      </c>
      <c r="AM257" s="319">
        <f t="shared" si="211"/>
        <v>85.45</v>
      </c>
      <c r="AN257" s="150">
        <f t="shared" si="212"/>
        <v>2.3094594594594597</v>
      </c>
      <c r="AO257" s="151">
        <f t="shared" si="213"/>
        <v>30.290789473684224</v>
      </c>
      <c r="AP257" s="150">
        <f t="shared" si="214"/>
        <v>0.8186699857752493</v>
      </c>
      <c r="AQ257" s="151">
        <f t="shared" si="215"/>
        <v>53.05</v>
      </c>
      <c r="AR257" s="149">
        <f t="shared" si="216"/>
        <v>1.4337837837837837</v>
      </c>
      <c r="AS257" s="150">
        <f t="shared" si="217"/>
        <v>1.5972281645860464</v>
      </c>
    </row>
    <row r="258" spans="10:45" x14ac:dyDescent="0.25">
      <c r="J258" s="1" t="str">
        <f t="shared" si="209"/>
        <v>OK</v>
      </c>
      <c r="K258" s="164" t="s">
        <v>90</v>
      </c>
      <c r="L258" s="162">
        <f>'39 days'!$A61</f>
        <v>57</v>
      </c>
      <c r="M258" s="163">
        <f>'39 days'!B61</f>
        <v>35</v>
      </c>
      <c r="N258" s="163" t="str">
        <f>INDEX(Map!$W$2:$W$67, MATCH('Raw data'!L258, Map!$V$2:$V$67,0))</f>
        <v>T2</v>
      </c>
      <c r="O258" s="165" t="str">
        <f>INDEX(Map!$X$2:$X$67, MATCH('Raw data'!L258, Map!$V$2:$V$67,0))</f>
        <v>R8</v>
      </c>
      <c r="P258" s="158">
        <f>('39 days'!$C61-'39 days'!$C$3)+('39 days'!$D61-'39 days'!$C$3)</f>
        <v>77.300000000000011</v>
      </c>
      <c r="Q258" s="154">
        <f t="shared" si="183"/>
        <v>2.2085714285714291</v>
      </c>
      <c r="R258" s="155">
        <f t="shared" si="184"/>
        <v>27.181944444444461</v>
      </c>
      <c r="S258" s="328">
        <f t="shared" si="218"/>
        <v>0.77662698412698461</v>
      </c>
      <c r="T258" s="336">
        <f>IF((IF(('39 days'!$E61-'39 days'!$E$3)&lt;0, 0, ('39 days'!$E61-'39 days'!$E$3)))+(IF(('39 days'!$F61-'39 days'!$F$3)&lt;0, 0, ('39 days'!$F61-'39 days'!$F$3)))+('39 days'!$H61*'39 days'!$G61)+('39 days'!$I61)&lt;0, 0, (IF(('39 days'!$E61-'39 days'!$E$3)&lt;0, 0, ('39 days'!$E61-'39 days'!$E$3)))+(IF(('39 days'!$F61-'39 days'!$F$3)&lt;0, 0, ('39 days'!$F61-'39 days'!$F$3)))+('39 days'!$H61*'39 days'!$G61)+('39 days'!$I61))</f>
        <v>14</v>
      </c>
      <c r="U258" s="158">
        <f>I60-'Raw data'!T258</f>
        <v>49</v>
      </c>
      <c r="V258" s="154">
        <f t="shared" si="185"/>
        <v>1.4</v>
      </c>
      <c r="W258" s="155">
        <f t="shared" si="219"/>
        <v>1.7957633991104116</v>
      </c>
      <c r="X258" s="196">
        <f t="shared" si="198"/>
        <v>36</v>
      </c>
      <c r="Y258" s="213">
        <f t="shared" si="189"/>
        <v>35</v>
      </c>
      <c r="Z258" s="163">
        <f>'39 days'!J61</f>
        <v>1</v>
      </c>
      <c r="AA258" s="154">
        <f>'39 days'!K61</f>
        <v>2.403</v>
      </c>
      <c r="AB258" s="163">
        <f>'39 days'!L61</f>
        <v>0</v>
      </c>
      <c r="AC258" s="154">
        <f>'39 days'!M61</f>
        <v>0</v>
      </c>
      <c r="AD258" s="213">
        <f>'39 days'!N61</f>
        <v>0</v>
      </c>
      <c r="AE258" s="154">
        <f>'39 days'!O61</f>
        <v>0</v>
      </c>
      <c r="AF258" s="163">
        <f t="shared" si="190"/>
        <v>1</v>
      </c>
      <c r="AG258" s="160">
        <f t="shared" si="191"/>
        <v>2.403</v>
      </c>
      <c r="AI258" s="319" t="s">
        <v>118</v>
      </c>
      <c r="AJ258" s="162">
        <f t="shared" si="210"/>
        <v>57</v>
      </c>
      <c r="AK258" s="163" t="str">
        <f>INDEX(Map!$W$2:$W$67, MATCH('Raw data'!AJ258, Map!$V$2:$V$67,0))</f>
        <v>T2</v>
      </c>
      <c r="AL258" s="165" t="str">
        <f>INDEX(Map!$X$2:$X$67, MATCH('Raw data'!AJ258, Map!$V$2:$V$67,0))</f>
        <v>R8</v>
      </c>
      <c r="AM258" s="319">
        <f t="shared" si="211"/>
        <v>77.300000000000011</v>
      </c>
      <c r="AN258" s="150">
        <f t="shared" si="212"/>
        <v>2.2085714285714291</v>
      </c>
      <c r="AO258" s="151">
        <f t="shared" si="213"/>
        <v>27.181944444444461</v>
      </c>
      <c r="AP258" s="150">
        <f t="shared" si="214"/>
        <v>0.77662698412698461</v>
      </c>
      <c r="AQ258" s="151">
        <f t="shared" si="215"/>
        <v>49</v>
      </c>
      <c r="AR258" s="149">
        <f t="shared" si="216"/>
        <v>1.4</v>
      </c>
      <c r="AS258" s="150">
        <f t="shared" si="217"/>
        <v>1.6562478287567428</v>
      </c>
    </row>
    <row r="259" spans="10:45" x14ac:dyDescent="0.25">
      <c r="J259" s="1" t="str">
        <f t="shared" si="209"/>
        <v>OK</v>
      </c>
      <c r="K259" s="164" t="s">
        <v>90</v>
      </c>
      <c r="L259" s="162">
        <f>'39 days'!$A62</f>
        <v>58</v>
      </c>
      <c r="M259" s="163">
        <f>'39 days'!B62</f>
        <v>38</v>
      </c>
      <c r="N259" s="163" t="str">
        <f>INDEX(Map!$W$2:$W$67, MATCH('Raw data'!L259, Map!$V$2:$V$67,0))</f>
        <v>T1</v>
      </c>
      <c r="O259" s="165" t="str">
        <f>INDEX(Map!$X$2:$X$67, MATCH('Raw data'!L259, Map!$V$2:$V$67,0))</f>
        <v>R8</v>
      </c>
      <c r="P259" s="158">
        <f>('39 days'!$C62-'39 days'!$C$3)+('39 days'!$D62-'39 days'!$C$3)</f>
        <v>87.15</v>
      </c>
      <c r="Q259" s="154">
        <f t="shared" si="183"/>
        <v>2.293421052631579</v>
      </c>
      <c r="R259" s="155">
        <f t="shared" si="184"/>
        <v>31.000000000000004</v>
      </c>
      <c r="S259" s="328">
        <f t="shared" si="218"/>
        <v>0.81578947368421062</v>
      </c>
      <c r="T259" s="336">
        <f>IF((IF(('39 days'!$E62-'39 days'!$E$3)&lt;0, 0, ('39 days'!$E62-'39 days'!$E$3)))+(IF(('39 days'!$F62-'39 days'!$F$3)&lt;0, 0, ('39 days'!$F62-'39 days'!$F$3)))+('39 days'!$H62*'39 days'!$G62)+('39 days'!$I62)&lt;0, 0, (IF(('39 days'!$E62-'39 days'!$E$3)&lt;0, 0, ('39 days'!$E62-'39 days'!$E$3)))+(IF(('39 days'!$F62-'39 days'!$F$3)&lt;0, 0, ('39 days'!$F62-'39 days'!$F$3)))+('39 days'!$H62*'39 days'!$G62)+('39 days'!$I62))</f>
        <v>10.25</v>
      </c>
      <c r="U259" s="158">
        <f>I61-'Raw data'!T259</f>
        <v>52.75</v>
      </c>
      <c r="V259" s="154">
        <f t="shared" si="185"/>
        <v>1.388157894736842</v>
      </c>
      <c r="W259" s="155">
        <f t="shared" si="219"/>
        <v>1.7488687782805432</v>
      </c>
      <c r="X259" s="196">
        <f t="shared" si="198"/>
        <v>38</v>
      </c>
      <c r="Y259" s="213">
        <f t="shared" si="189"/>
        <v>38</v>
      </c>
      <c r="Z259" s="163">
        <f>'39 days'!J62</f>
        <v>0</v>
      </c>
      <c r="AA259" s="154">
        <f>'39 days'!K62</f>
        <v>0</v>
      </c>
      <c r="AB259" s="163">
        <f>'39 days'!L62</f>
        <v>0</v>
      </c>
      <c r="AC259" s="154">
        <f>'39 days'!M62</f>
        <v>0</v>
      </c>
      <c r="AD259" s="213">
        <f>'39 days'!N62</f>
        <v>0</v>
      </c>
      <c r="AE259" s="154">
        <f>'39 days'!O62</f>
        <v>0</v>
      </c>
      <c r="AF259" s="163">
        <f t="shared" si="190"/>
        <v>0</v>
      </c>
      <c r="AG259" s="160">
        <f t="shared" si="191"/>
        <v>0</v>
      </c>
      <c r="AI259" s="319" t="s">
        <v>118</v>
      </c>
      <c r="AJ259" s="162">
        <f t="shared" si="210"/>
        <v>58</v>
      </c>
      <c r="AK259" s="163" t="str">
        <f>INDEX(Map!$W$2:$W$67, MATCH('Raw data'!AJ259, Map!$V$2:$V$67,0))</f>
        <v>T1</v>
      </c>
      <c r="AL259" s="165" t="str">
        <f>INDEX(Map!$X$2:$X$67, MATCH('Raw data'!AJ259, Map!$V$2:$V$67,0))</f>
        <v>R8</v>
      </c>
      <c r="AM259" s="319">
        <f t="shared" si="211"/>
        <v>87.15</v>
      </c>
      <c r="AN259" s="150">
        <f t="shared" si="212"/>
        <v>2.293421052631579</v>
      </c>
      <c r="AO259" s="151">
        <f t="shared" si="213"/>
        <v>31.000000000000004</v>
      </c>
      <c r="AP259" s="150">
        <f t="shared" si="214"/>
        <v>0.81578947368421062</v>
      </c>
      <c r="AQ259" s="151">
        <f t="shared" si="215"/>
        <v>52.75</v>
      </c>
      <c r="AR259" s="149">
        <f t="shared" si="216"/>
        <v>1.388157894736842</v>
      </c>
      <c r="AS259" s="150">
        <f t="shared" si="217"/>
        <v>1.7016129032258063</v>
      </c>
    </row>
    <row r="260" spans="10:45" x14ac:dyDescent="0.25">
      <c r="J260" s="1" t="str">
        <f t="shared" si="209"/>
        <v>OK</v>
      </c>
      <c r="K260" s="164" t="s">
        <v>90</v>
      </c>
      <c r="L260" s="162">
        <f>'39 days'!$A63</f>
        <v>59</v>
      </c>
      <c r="M260" s="163">
        <f>'39 days'!B63</f>
        <v>40</v>
      </c>
      <c r="N260" s="163" t="str">
        <f>INDEX(Map!$W$2:$W$67, MATCH('Raw data'!L260, Map!$V$2:$V$67,0))</f>
        <v>T3</v>
      </c>
      <c r="O260" s="165" t="str">
        <f>INDEX(Map!$X$2:$X$67, MATCH('Raw data'!L260, Map!$V$2:$V$67,0))</f>
        <v>R9</v>
      </c>
      <c r="P260" s="158">
        <f>('39 days'!$C63-'39 days'!$C$3)+('39 days'!$D63-'39 days'!$C$3)</f>
        <v>90.4</v>
      </c>
      <c r="Q260" s="154">
        <f t="shared" ref="Q260:Q267" si="220">P260/M260</f>
        <v>2.2600000000000002</v>
      </c>
      <c r="R260" s="155">
        <f t="shared" ref="R260:R267" si="221">S260*M260</f>
        <v>33.20000000000001</v>
      </c>
      <c r="S260" s="328">
        <f t="shared" si="218"/>
        <v>0.83000000000000029</v>
      </c>
      <c r="T260" s="336">
        <f>IF((IF(('39 days'!$E63-'39 days'!$E$3)&lt;0, 0, ('39 days'!$E63-'39 days'!$E$3)))+(IF(('39 days'!$F63-'39 days'!$F$3)&lt;0, 0, ('39 days'!$F63-'39 days'!$F$3)))+('39 days'!$H63*'39 days'!$G63)+('39 days'!$I63)&lt;0, 0, (IF(('39 days'!$E63-'39 days'!$E$3)&lt;0, 0, ('39 days'!$E63-'39 days'!$E$3)))+(IF(('39 days'!$F63-'39 days'!$F$3)&lt;0, 0, ('39 days'!$F63-'39 days'!$F$3)))+('39 days'!$H63*'39 days'!$G63)+('39 days'!$I63))</f>
        <v>8</v>
      </c>
      <c r="U260" s="158">
        <f>I62-'Raw data'!T260</f>
        <v>55</v>
      </c>
      <c r="V260" s="154">
        <f t="shared" ref="V260:V267" si="222">U260/M260</f>
        <v>1.375</v>
      </c>
      <c r="W260" s="155">
        <f t="shared" si="219"/>
        <v>1.7549778761061947</v>
      </c>
      <c r="X260" s="196">
        <f t="shared" si="198"/>
        <v>40</v>
      </c>
      <c r="Y260" s="213">
        <f t="shared" si="189"/>
        <v>40</v>
      </c>
      <c r="Z260" s="163">
        <f>'39 days'!J63</f>
        <v>0</v>
      </c>
      <c r="AA260" s="154">
        <f>'39 days'!K63</f>
        <v>0</v>
      </c>
      <c r="AB260" s="163">
        <f>'39 days'!L63</f>
        <v>0</v>
      </c>
      <c r="AC260" s="154">
        <f>'39 days'!M63</f>
        <v>0</v>
      </c>
      <c r="AD260" s="213">
        <f>'39 days'!N63</f>
        <v>0</v>
      </c>
      <c r="AE260" s="154">
        <f>'39 days'!O63</f>
        <v>0</v>
      </c>
      <c r="AF260" s="163">
        <f t="shared" si="190"/>
        <v>0</v>
      </c>
      <c r="AG260" s="160">
        <f t="shared" si="191"/>
        <v>0</v>
      </c>
      <c r="AI260" s="319" t="s">
        <v>118</v>
      </c>
      <c r="AJ260" s="162">
        <f t="shared" si="210"/>
        <v>59</v>
      </c>
      <c r="AK260" s="163" t="str">
        <f>INDEX(Map!$W$2:$W$67, MATCH('Raw data'!AJ260, Map!$V$2:$V$67,0))</f>
        <v>T3</v>
      </c>
      <c r="AL260" s="165" t="str">
        <f>INDEX(Map!$X$2:$X$67, MATCH('Raw data'!AJ260, Map!$V$2:$V$67,0))</f>
        <v>R9</v>
      </c>
      <c r="AM260" s="319">
        <f t="shared" si="211"/>
        <v>90.4</v>
      </c>
      <c r="AN260" s="150">
        <f t="shared" si="212"/>
        <v>2.2600000000000002</v>
      </c>
      <c r="AO260" s="151">
        <f t="shared" si="213"/>
        <v>33.20000000000001</v>
      </c>
      <c r="AP260" s="150">
        <f t="shared" si="214"/>
        <v>0.83000000000000029</v>
      </c>
      <c r="AQ260" s="151">
        <f t="shared" si="215"/>
        <v>55</v>
      </c>
      <c r="AR260" s="149">
        <f t="shared" si="216"/>
        <v>1.375</v>
      </c>
      <c r="AS260" s="150">
        <f t="shared" si="217"/>
        <v>1.6566265060240959</v>
      </c>
    </row>
    <row r="261" spans="10:45" x14ac:dyDescent="0.25">
      <c r="J261" s="1" t="str">
        <f t="shared" si="209"/>
        <v>OK</v>
      </c>
      <c r="K261" s="164" t="s">
        <v>90</v>
      </c>
      <c r="L261" s="162">
        <f>'39 days'!$A64</f>
        <v>60</v>
      </c>
      <c r="M261" s="163">
        <f>'39 days'!B64</f>
        <v>38</v>
      </c>
      <c r="N261" s="163" t="str">
        <f>INDEX(Map!$W$2:$W$67, MATCH('Raw data'!L261, Map!$V$2:$V$67,0))</f>
        <v>T5</v>
      </c>
      <c r="O261" s="165" t="str">
        <f>INDEX(Map!$X$2:$X$67, MATCH('Raw data'!L261, Map!$V$2:$V$67,0))</f>
        <v>R9</v>
      </c>
      <c r="P261" s="158">
        <f>('39 days'!$C64-'39 days'!$C$3)+('39 days'!$D64-'39 days'!$C$3)</f>
        <v>88.4</v>
      </c>
      <c r="Q261" s="154">
        <f t="shared" si="220"/>
        <v>2.3263157894736843</v>
      </c>
      <c r="R261" s="155">
        <f t="shared" si="221"/>
        <v>32.715384615384622</v>
      </c>
      <c r="S261" s="328">
        <f t="shared" si="218"/>
        <v>0.86093117408906905</v>
      </c>
      <c r="T261" s="336">
        <f>IF((IF(('39 days'!$E64-'39 days'!$E$3)&lt;0, 0, ('39 days'!$E64-'39 days'!$E$3)))+(IF(('39 days'!$F64-'39 days'!$F$3)&lt;0, 0, ('39 days'!$F64-'39 days'!$F$3)))+('39 days'!$H64*'39 days'!$G64)+('39 days'!$I64)&lt;0, 0, (IF(('39 days'!$E64-'39 days'!$E$3)&lt;0, 0, ('39 days'!$E64-'39 days'!$E$3)))+(IF(('39 days'!$F64-'39 days'!$F$3)&lt;0, 0, ('39 days'!$F64-'39 days'!$F$3)))+('39 days'!$H64*'39 days'!$G64)+('39 days'!$I64))</f>
        <v>8.35</v>
      </c>
      <c r="U261" s="158">
        <f>I63-'Raw data'!T261</f>
        <v>54.65</v>
      </c>
      <c r="V261" s="154">
        <f t="shared" si="222"/>
        <v>1.4381578947368421</v>
      </c>
      <c r="W261" s="155">
        <f t="shared" si="219"/>
        <v>1.7541436464088396</v>
      </c>
      <c r="X261" s="196">
        <f t="shared" si="198"/>
        <v>39</v>
      </c>
      <c r="Y261" s="213">
        <f t="shared" ref="Y261:Y267" si="223">X261-AF261</f>
        <v>38</v>
      </c>
      <c r="Z261" s="163">
        <f>'39 days'!J64</f>
        <v>1</v>
      </c>
      <c r="AA261" s="154">
        <f>'39 days'!K64</f>
        <v>1.7</v>
      </c>
      <c r="AB261" s="163">
        <f>'39 days'!L64</f>
        <v>0</v>
      </c>
      <c r="AC261" s="154">
        <f>'39 days'!M64</f>
        <v>0</v>
      </c>
      <c r="AD261" s="213">
        <f>'39 days'!N64</f>
        <v>0</v>
      </c>
      <c r="AE261" s="154">
        <f>'39 days'!O64</f>
        <v>0</v>
      </c>
      <c r="AF261" s="163">
        <f t="shared" ref="AF261:AF267" si="224">SUM(Z261,AB261,AD261)</f>
        <v>1</v>
      </c>
      <c r="AG261" s="160">
        <f t="shared" ref="AG261:AG267" si="225">SUM(AA261,AC261,AE261)</f>
        <v>1.7</v>
      </c>
      <c r="AI261" s="319" t="s">
        <v>118</v>
      </c>
      <c r="AJ261" s="162">
        <f t="shared" si="210"/>
        <v>60</v>
      </c>
      <c r="AK261" s="163" t="str">
        <f>INDEX(Map!$W$2:$W$67, MATCH('Raw data'!AJ261, Map!$V$2:$V$67,0))</f>
        <v>T5</v>
      </c>
      <c r="AL261" s="165" t="str">
        <f>INDEX(Map!$X$2:$X$67, MATCH('Raw data'!AJ261, Map!$V$2:$V$67,0))</f>
        <v>R9</v>
      </c>
      <c r="AM261" s="319">
        <f t="shared" si="211"/>
        <v>88.4</v>
      </c>
      <c r="AN261" s="150">
        <f t="shared" si="212"/>
        <v>2.3263157894736843</v>
      </c>
      <c r="AO261" s="151">
        <f t="shared" si="213"/>
        <v>32.715384615384622</v>
      </c>
      <c r="AP261" s="150">
        <f t="shared" si="214"/>
        <v>0.86093117408906905</v>
      </c>
      <c r="AQ261" s="151">
        <f t="shared" si="215"/>
        <v>54.65</v>
      </c>
      <c r="AR261" s="149">
        <f t="shared" si="216"/>
        <v>1.4381578947368421</v>
      </c>
      <c r="AS261" s="150">
        <f t="shared" si="217"/>
        <v>1.5879526151095211</v>
      </c>
    </row>
    <row r="262" spans="10:45" x14ac:dyDescent="0.25">
      <c r="J262" s="1" t="str">
        <f t="shared" si="209"/>
        <v>OK</v>
      </c>
      <c r="K262" s="164" t="s">
        <v>90</v>
      </c>
      <c r="L262" s="162">
        <f>'39 days'!$A65</f>
        <v>61</v>
      </c>
      <c r="M262" s="163">
        <f>'39 days'!B65</f>
        <v>36</v>
      </c>
      <c r="N262" s="163" t="str">
        <f>INDEX(Map!$W$2:$W$67, MATCH('Raw data'!L262, Map!$V$2:$V$67,0))</f>
        <v>T2</v>
      </c>
      <c r="O262" s="165" t="str">
        <f>INDEX(Map!$X$2:$X$67, MATCH('Raw data'!L262, Map!$V$2:$V$67,0))</f>
        <v>R9</v>
      </c>
      <c r="P262" s="158">
        <f>('39 days'!$C65-'39 days'!$C$3)+('39 days'!$D65-'39 days'!$C$3)</f>
        <v>83.949999999999989</v>
      </c>
      <c r="Q262" s="154">
        <f t="shared" si="220"/>
        <v>2.3319444444444439</v>
      </c>
      <c r="R262" s="155">
        <f t="shared" si="221"/>
        <v>30.599999999999987</v>
      </c>
      <c r="S262" s="328">
        <f t="shared" ref="S262:S267" si="226">Q262-Q196</f>
        <v>0.84999999999999964</v>
      </c>
      <c r="T262" s="336">
        <f>IF((IF(('39 days'!$E65-'39 days'!$E$3)&lt;0, 0, ('39 days'!$E65-'39 days'!$E$3)))+(IF(('39 days'!$F65-'39 days'!$F$3)&lt;0, 0, ('39 days'!$F65-'39 days'!$F$3)))+('39 days'!$H65*'39 days'!$G65)+('39 days'!$I65)&lt;0, 0, (IF(('39 days'!$E65-'39 days'!$E$3)&lt;0, 0, ('39 days'!$E65-'39 days'!$E$3)))+(IF(('39 days'!$F65-'39 days'!$F$3)&lt;0, 0, ('39 days'!$F65-'39 days'!$F$3)))+('39 days'!$H65*'39 days'!$G65)+('39 days'!$I65))</f>
        <v>12.05</v>
      </c>
      <c r="U262" s="158">
        <f>I64-'Raw data'!T262</f>
        <v>50.95</v>
      </c>
      <c r="V262" s="154">
        <f t="shared" si="222"/>
        <v>1.4152777777777779</v>
      </c>
      <c r="W262" s="155">
        <f t="shared" si="219"/>
        <v>1.7621506433898864</v>
      </c>
      <c r="X262" s="196">
        <f t="shared" si="198"/>
        <v>36</v>
      </c>
      <c r="Y262" s="213">
        <f t="shared" si="223"/>
        <v>36</v>
      </c>
      <c r="Z262" s="163">
        <f>'39 days'!J65</f>
        <v>0</v>
      </c>
      <c r="AA262" s="154">
        <f>'39 days'!K65</f>
        <v>0</v>
      </c>
      <c r="AB262" s="163">
        <f>'39 days'!L65</f>
        <v>0</v>
      </c>
      <c r="AC262" s="154">
        <f>'39 days'!M65</f>
        <v>0</v>
      </c>
      <c r="AD262" s="213">
        <f>'39 days'!N65</f>
        <v>0</v>
      </c>
      <c r="AE262" s="154">
        <f>'39 days'!O65</f>
        <v>0</v>
      </c>
      <c r="AF262" s="163">
        <f t="shared" si="224"/>
        <v>0</v>
      </c>
      <c r="AG262" s="160">
        <f t="shared" si="225"/>
        <v>0</v>
      </c>
      <c r="AI262" s="319" t="s">
        <v>118</v>
      </c>
      <c r="AJ262" s="162">
        <f t="shared" si="210"/>
        <v>61</v>
      </c>
      <c r="AK262" s="163" t="str">
        <f>INDEX(Map!$W$2:$W$67, MATCH('Raw data'!AJ262, Map!$V$2:$V$67,0))</f>
        <v>T2</v>
      </c>
      <c r="AL262" s="165" t="str">
        <f>INDEX(Map!$X$2:$X$67, MATCH('Raw data'!AJ262, Map!$V$2:$V$67,0))</f>
        <v>R9</v>
      </c>
      <c r="AM262" s="319">
        <f t="shared" si="211"/>
        <v>83.949999999999989</v>
      </c>
      <c r="AN262" s="150">
        <f t="shared" si="212"/>
        <v>2.3319444444444439</v>
      </c>
      <c r="AO262" s="151">
        <f t="shared" si="213"/>
        <v>30.599999999999987</v>
      </c>
      <c r="AP262" s="150">
        <f t="shared" si="214"/>
        <v>0.84999999999999964</v>
      </c>
      <c r="AQ262" s="151">
        <f t="shared" si="215"/>
        <v>50.95</v>
      </c>
      <c r="AR262" s="149">
        <f t="shared" si="216"/>
        <v>1.4152777777777779</v>
      </c>
      <c r="AS262" s="150">
        <f t="shared" si="217"/>
        <v>1.6650326797385628</v>
      </c>
    </row>
    <row r="263" spans="10:45" x14ac:dyDescent="0.25">
      <c r="J263" s="1" t="str">
        <f t="shared" si="209"/>
        <v>OK</v>
      </c>
      <c r="K263" s="164" t="s">
        <v>90</v>
      </c>
      <c r="L263" s="162">
        <f>'39 days'!$A66</f>
        <v>62</v>
      </c>
      <c r="M263" s="163">
        <f>'39 days'!B66</f>
        <v>37</v>
      </c>
      <c r="N263" s="163" t="str">
        <f>INDEX(Map!$W$2:$W$67, MATCH('Raw data'!L263, Map!$V$2:$V$67,0))</f>
        <v>T6</v>
      </c>
      <c r="O263" s="165" t="str">
        <f>INDEX(Map!$X$2:$X$67, MATCH('Raw data'!L263, Map!$V$2:$V$67,0))</f>
        <v>R9</v>
      </c>
      <c r="P263" s="158">
        <f>('39 days'!$C66-'39 days'!$C$3)+('39 days'!$D66-'39 days'!$C$3)</f>
        <v>85.95</v>
      </c>
      <c r="Q263" s="154">
        <f t="shared" si="220"/>
        <v>2.3229729729729729</v>
      </c>
      <c r="R263" s="155">
        <f t="shared" si="221"/>
        <v>32.200000000000003</v>
      </c>
      <c r="S263" s="328">
        <f t="shared" si="226"/>
        <v>0.87027027027027026</v>
      </c>
      <c r="T263" s="336">
        <f>IF((IF(('39 days'!$E66-'39 days'!$E$3)&lt;0, 0, ('39 days'!$E66-'39 days'!$E$3)))+(IF(('39 days'!$F66-'39 days'!$F$3)&lt;0, 0, ('39 days'!$F66-'39 days'!$F$3)))+('39 days'!$H66*'39 days'!$G66)+('39 days'!$I66)&lt;0, 0, (IF(('39 days'!$E66-'39 days'!$E$3)&lt;0, 0, ('39 days'!$E66-'39 days'!$E$3)))+(IF(('39 days'!$F66-'39 days'!$F$3)&lt;0, 0, ('39 days'!$F66-'39 days'!$F$3)))+('39 days'!$H66*'39 days'!$G66)+('39 days'!$I66))</f>
        <v>9</v>
      </c>
      <c r="U263" s="158">
        <f>I65-'Raw data'!T263</f>
        <v>54</v>
      </c>
      <c r="V263" s="154">
        <f t="shared" si="222"/>
        <v>1.4594594594594594</v>
      </c>
      <c r="W263" s="155">
        <f t="shared" si="219"/>
        <v>1.7524775031324753</v>
      </c>
      <c r="X263" s="196">
        <f t="shared" ref="X263:X267" si="227">X197-AF197</f>
        <v>37</v>
      </c>
      <c r="Y263" s="213">
        <f t="shared" si="223"/>
        <v>37</v>
      </c>
      <c r="Z263" s="163">
        <f>'39 days'!J66</f>
        <v>0</v>
      </c>
      <c r="AA263" s="154">
        <f>'39 days'!K66</f>
        <v>0</v>
      </c>
      <c r="AB263" s="163">
        <f>'39 days'!L66</f>
        <v>0</v>
      </c>
      <c r="AC263" s="154">
        <f>'39 days'!M66</f>
        <v>0</v>
      </c>
      <c r="AD263" s="213">
        <f>'39 days'!N66</f>
        <v>0</v>
      </c>
      <c r="AE263" s="154">
        <f>'39 days'!O66</f>
        <v>0</v>
      </c>
      <c r="AF263" s="163">
        <f t="shared" si="224"/>
        <v>0</v>
      </c>
      <c r="AG263" s="160">
        <f t="shared" si="225"/>
        <v>0</v>
      </c>
      <c r="AI263" s="319" t="s">
        <v>118</v>
      </c>
      <c r="AJ263" s="162">
        <f t="shared" si="210"/>
        <v>62</v>
      </c>
      <c r="AK263" s="163" t="str">
        <f>INDEX(Map!$W$2:$W$67, MATCH('Raw data'!AJ263, Map!$V$2:$V$67,0))</f>
        <v>T6</v>
      </c>
      <c r="AL263" s="165" t="str">
        <f>INDEX(Map!$X$2:$X$67, MATCH('Raw data'!AJ263, Map!$V$2:$V$67,0))</f>
        <v>R9</v>
      </c>
      <c r="AM263" s="319">
        <f t="shared" si="211"/>
        <v>85.95</v>
      </c>
      <c r="AN263" s="150">
        <f t="shared" si="212"/>
        <v>2.3229729729729729</v>
      </c>
      <c r="AO263" s="151">
        <f t="shared" si="213"/>
        <v>32.200000000000003</v>
      </c>
      <c r="AP263" s="150">
        <f t="shared" si="214"/>
        <v>0.87027027027027026</v>
      </c>
      <c r="AQ263" s="151">
        <f t="shared" si="215"/>
        <v>54</v>
      </c>
      <c r="AR263" s="149">
        <f t="shared" si="216"/>
        <v>1.4594594594594594</v>
      </c>
      <c r="AS263" s="150">
        <f t="shared" si="217"/>
        <v>1.6770186335403725</v>
      </c>
    </row>
    <row r="264" spans="10:45" x14ac:dyDescent="0.25">
      <c r="J264" s="1" t="str">
        <f t="shared" si="209"/>
        <v>OK</v>
      </c>
      <c r="K264" s="164" t="s">
        <v>90</v>
      </c>
      <c r="L264" s="162">
        <f>'39 days'!$A67</f>
        <v>63</v>
      </c>
      <c r="M264" s="163">
        <f>'39 days'!B67</f>
        <v>37</v>
      </c>
      <c r="N264" s="163" t="str">
        <f>INDEX(Map!$W$2:$W$67, MATCH('Raw data'!L264, Map!$V$2:$V$67,0))</f>
        <v>T1</v>
      </c>
      <c r="O264" s="165" t="str">
        <f>INDEX(Map!$X$2:$X$67, MATCH('Raw data'!L264, Map!$V$2:$V$67,0))</f>
        <v>R9</v>
      </c>
      <c r="P264" s="158">
        <f>('39 days'!$C67-'39 days'!$C$3)+('39 days'!$D67-'39 days'!$C$3)</f>
        <v>86.9</v>
      </c>
      <c r="Q264" s="154">
        <f t="shared" si="220"/>
        <v>2.3486486486486489</v>
      </c>
      <c r="R264" s="155">
        <f t="shared" si="221"/>
        <v>30.03684210526318</v>
      </c>
      <c r="S264" s="328">
        <f t="shared" si="226"/>
        <v>0.8118065433854913</v>
      </c>
      <c r="T264" s="336">
        <f>IF((IF(('39 days'!$E67-'39 days'!$E$3)&lt;0, 0, ('39 days'!$E67-'39 days'!$E$3)))+(IF(('39 days'!$F67-'39 days'!$F$3)&lt;0, 0, ('39 days'!$F67-'39 days'!$F$3)))+('39 days'!$H67*'39 days'!$G67)+('39 days'!$I67)&lt;0, 0, (IF(('39 days'!$E67-'39 days'!$E$3)&lt;0, 0, ('39 days'!$E67-'39 days'!$E$3)))+(IF(('39 days'!$F67-'39 days'!$F$3)&lt;0, 0, ('39 days'!$F67-'39 days'!$F$3)))+('39 days'!$H67*'39 days'!$G67)+('39 days'!$I67))</f>
        <v>10.6</v>
      </c>
      <c r="U264" s="158">
        <f>I66-'Raw data'!T264</f>
        <v>52.4</v>
      </c>
      <c r="V264" s="154">
        <f t="shared" si="222"/>
        <v>1.4162162162162162</v>
      </c>
      <c r="W264" s="155">
        <f t="shared" si="219"/>
        <v>1.7336559080662011</v>
      </c>
      <c r="X264" s="196">
        <f t="shared" si="227"/>
        <v>38</v>
      </c>
      <c r="Y264" s="213">
        <f t="shared" si="223"/>
        <v>37</v>
      </c>
      <c r="Z264" s="163">
        <f>'39 days'!J67</f>
        <v>1</v>
      </c>
      <c r="AA264" s="154">
        <f>'39 days'!K67</f>
        <v>2.6850000000000001</v>
      </c>
      <c r="AB264" s="163">
        <f>'39 days'!L67</f>
        <v>0</v>
      </c>
      <c r="AC264" s="154">
        <f>'39 days'!M67</f>
        <v>0</v>
      </c>
      <c r="AD264" s="213">
        <f>'39 days'!N67</f>
        <v>0</v>
      </c>
      <c r="AE264" s="154">
        <f>'39 days'!O67</f>
        <v>0</v>
      </c>
      <c r="AF264" s="163">
        <f t="shared" si="224"/>
        <v>1</v>
      </c>
      <c r="AG264" s="160">
        <f t="shared" si="225"/>
        <v>2.6850000000000001</v>
      </c>
      <c r="AI264" s="319" t="s">
        <v>118</v>
      </c>
      <c r="AJ264" s="162">
        <f t="shared" si="210"/>
        <v>63</v>
      </c>
      <c r="AK264" s="163" t="str">
        <f>INDEX(Map!$W$2:$W$67, MATCH('Raw data'!AJ264, Map!$V$2:$V$67,0))</f>
        <v>T1</v>
      </c>
      <c r="AL264" s="165" t="str">
        <f>INDEX(Map!$X$2:$X$67, MATCH('Raw data'!AJ264, Map!$V$2:$V$67,0))</f>
        <v>R9</v>
      </c>
      <c r="AM264" s="319">
        <f t="shared" si="211"/>
        <v>86.9</v>
      </c>
      <c r="AN264" s="150">
        <f t="shared" si="212"/>
        <v>2.3486486486486489</v>
      </c>
      <c r="AO264" s="151">
        <f t="shared" si="213"/>
        <v>30.03684210526318</v>
      </c>
      <c r="AP264" s="150">
        <f t="shared" si="214"/>
        <v>0.8118065433854913</v>
      </c>
      <c r="AQ264" s="151">
        <f t="shared" si="215"/>
        <v>52.4</v>
      </c>
      <c r="AR264" s="149">
        <f t="shared" si="216"/>
        <v>1.4162162162162162</v>
      </c>
      <c r="AS264" s="150">
        <f t="shared" si="217"/>
        <v>1.6013768366534495</v>
      </c>
    </row>
    <row r="265" spans="10:45" x14ac:dyDescent="0.25">
      <c r="J265" s="1" t="str">
        <f t="shared" si="209"/>
        <v>OK</v>
      </c>
      <c r="K265" s="164" t="s">
        <v>90</v>
      </c>
      <c r="L265" s="162">
        <f>'39 days'!$A68</f>
        <v>64</v>
      </c>
      <c r="M265" s="163">
        <f>'39 days'!B68</f>
        <v>35</v>
      </c>
      <c r="N265" s="163" t="str">
        <f>INDEX(Map!$W$2:$W$67, MATCH('Raw data'!L265, Map!$V$2:$V$67,0))</f>
        <v>T4</v>
      </c>
      <c r="O265" s="165" t="str">
        <f>INDEX(Map!$X$2:$X$67, MATCH('Raw data'!L265, Map!$V$2:$V$67,0))</f>
        <v>R9</v>
      </c>
      <c r="P265" s="158">
        <f>('39 days'!$C68-'39 days'!$C$3)+('39 days'!$D68-'39 days'!$C$3)</f>
        <v>81.900000000000006</v>
      </c>
      <c r="Q265" s="154">
        <f t="shared" si="220"/>
        <v>2.3400000000000003</v>
      </c>
      <c r="R265" s="155">
        <f t="shared" si="221"/>
        <v>30.95555555555557</v>
      </c>
      <c r="S265" s="328">
        <f t="shared" si="226"/>
        <v>0.88444444444444481</v>
      </c>
      <c r="T265" s="336">
        <f>IF((IF(('39 days'!$E68-'39 days'!$E$3)&lt;0, 0, ('39 days'!$E68-'39 days'!$E$3)))+(IF(('39 days'!$F68-'39 days'!$F$3)&lt;0, 0, ('39 days'!$F68-'39 days'!$F$3)))+('39 days'!$H68*'39 days'!$G68)+('39 days'!$I68)&lt;0, 0, (IF(('39 days'!$E68-'39 days'!$E$3)&lt;0, 0, ('39 days'!$E68-'39 days'!$E$3)))+(IF(('39 days'!$F68-'39 days'!$F$3)&lt;0, 0, ('39 days'!$F68-'39 days'!$F$3)))+('39 days'!$H68*'39 days'!$G68)+('39 days'!$I68))</f>
        <v>11.9</v>
      </c>
      <c r="U265" s="158">
        <f>I67-'Raw data'!T265</f>
        <v>51.1</v>
      </c>
      <c r="V265" s="154">
        <f t="shared" si="222"/>
        <v>1.46</v>
      </c>
      <c r="W265" s="155">
        <f t="shared" si="219"/>
        <v>1.7301218804410912</v>
      </c>
      <c r="X265" s="196">
        <f t="shared" si="227"/>
        <v>36</v>
      </c>
      <c r="Y265" s="213">
        <f t="shared" si="223"/>
        <v>35</v>
      </c>
      <c r="Z265" s="163">
        <f>'39 days'!J68</f>
        <v>1</v>
      </c>
      <c r="AA265" s="154">
        <f>'39 days'!K68</f>
        <v>2.1</v>
      </c>
      <c r="AB265" s="163">
        <f>'39 days'!L68</f>
        <v>0</v>
      </c>
      <c r="AC265" s="154">
        <f>'39 days'!M68</f>
        <v>0</v>
      </c>
      <c r="AD265" s="213">
        <f>'39 days'!N68</f>
        <v>0</v>
      </c>
      <c r="AE265" s="154">
        <f>'39 days'!O68</f>
        <v>0</v>
      </c>
      <c r="AF265" s="163">
        <f t="shared" si="224"/>
        <v>1</v>
      </c>
      <c r="AG265" s="160">
        <f t="shared" si="225"/>
        <v>2.1</v>
      </c>
      <c r="AI265" s="319" t="s">
        <v>118</v>
      </c>
      <c r="AJ265" s="162">
        <f t="shared" si="210"/>
        <v>64</v>
      </c>
      <c r="AK265" s="163" t="str">
        <f>INDEX(Map!$W$2:$W$67, MATCH('Raw data'!AJ265, Map!$V$2:$V$67,0))</f>
        <v>T4</v>
      </c>
      <c r="AL265" s="165" t="str">
        <f>INDEX(Map!$X$2:$X$67, MATCH('Raw data'!AJ265, Map!$V$2:$V$67,0))</f>
        <v>R9</v>
      </c>
      <c r="AM265" s="319">
        <f t="shared" si="211"/>
        <v>81.900000000000006</v>
      </c>
      <c r="AN265" s="150">
        <f t="shared" si="212"/>
        <v>2.3400000000000003</v>
      </c>
      <c r="AO265" s="151">
        <f t="shared" si="213"/>
        <v>30.95555555555557</v>
      </c>
      <c r="AP265" s="150">
        <f t="shared" si="214"/>
        <v>0.88444444444444481</v>
      </c>
      <c r="AQ265" s="151">
        <f t="shared" si="215"/>
        <v>51.1</v>
      </c>
      <c r="AR265" s="149">
        <f t="shared" si="216"/>
        <v>1.46</v>
      </c>
      <c r="AS265" s="150">
        <f t="shared" si="217"/>
        <v>1.5458823529411758</v>
      </c>
    </row>
    <row r="266" spans="10:45" x14ac:dyDescent="0.25">
      <c r="J266" s="1" t="str">
        <f t="shared" si="209"/>
        <v>OK</v>
      </c>
      <c r="K266" s="164" t="s">
        <v>90</v>
      </c>
      <c r="L266" s="162">
        <f>'39 days'!$A69</f>
        <v>65</v>
      </c>
      <c r="M266" s="163">
        <f>'39 days'!B69</f>
        <v>37</v>
      </c>
      <c r="N266" s="163" t="str">
        <f>INDEX(Map!$W$2:$W$67, MATCH('Raw data'!L266, Map!$V$2:$V$67,0))</f>
        <v>T3</v>
      </c>
      <c r="O266" s="165" t="str">
        <f>INDEX(Map!$X$2:$X$67, MATCH('Raw data'!L266, Map!$V$2:$V$67,0))</f>
        <v>R11</v>
      </c>
      <c r="P266" s="158">
        <f>('39 days'!$C69-'39 days'!$C$3)+('39 days'!$D69-'39 days'!$C$3)</f>
        <v>87.800000000000011</v>
      </c>
      <c r="Q266" s="154">
        <f t="shared" si="220"/>
        <v>2.3729729729729732</v>
      </c>
      <c r="R266" s="155">
        <f t="shared" si="221"/>
        <v>33.100000000000016</v>
      </c>
      <c r="S266" s="328">
        <f t="shared" si="226"/>
        <v>0.89459459459459501</v>
      </c>
      <c r="T266" s="336">
        <f>IF((IF(('39 days'!$E69-'39 days'!$E$3)&lt;0, 0, ('39 days'!$E69-'39 days'!$E$3)))+(IF(('39 days'!$F69-'39 days'!$F$3)&lt;0, 0, ('39 days'!$F69-'39 days'!$F$3)))+('39 days'!$H69*'39 days'!$G69)+('39 days'!$I69)&lt;0, 0, (IF(('39 days'!$E69-'39 days'!$E$3)&lt;0, 0, ('39 days'!$E69-'39 days'!$E$3)))+(IF(('39 days'!$F69-'39 days'!$F$3)&lt;0, 0, ('39 days'!$F69-'39 days'!$F$3)))+('39 days'!$H69*'39 days'!$G69)+('39 days'!$I69))</f>
        <v>7.5</v>
      </c>
      <c r="U266" s="158">
        <f>I68-'Raw data'!T266</f>
        <v>54.35</v>
      </c>
      <c r="V266" s="154">
        <f t="shared" si="222"/>
        <v>1.4689189189189189</v>
      </c>
      <c r="W266" s="155">
        <f t="shared" ref="W266:W267" si="228">(U266+U200+U134+U68)/(P266+AG266+AG200+AG134+AG68)</f>
        <v>1.7388167388167381</v>
      </c>
      <c r="X266" s="196">
        <f t="shared" si="227"/>
        <v>37</v>
      </c>
      <c r="Y266" s="213">
        <f t="shared" si="223"/>
        <v>37</v>
      </c>
      <c r="Z266" s="163">
        <f>'39 days'!J69</f>
        <v>0</v>
      </c>
      <c r="AA266" s="154">
        <f>'39 days'!K69</f>
        <v>0</v>
      </c>
      <c r="AB266" s="163">
        <f>'39 days'!L69</f>
        <v>0</v>
      </c>
      <c r="AC266" s="154">
        <f>'39 days'!M69</f>
        <v>0</v>
      </c>
      <c r="AD266" s="213">
        <f>'39 days'!N69</f>
        <v>0</v>
      </c>
      <c r="AE266" s="154">
        <f>'39 days'!O69</f>
        <v>0</v>
      </c>
      <c r="AF266" s="163">
        <f t="shared" si="224"/>
        <v>0</v>
      </c>
      <c r="AG266" s="160">
        <f t="shared" si="225"/>
        <v>0</v>
      </c>
      <c r="AI266" s="319" t="s">
        <v>118</v>
      </c>
      <c r="AJ266" s="162">
        <f t="shared" si="210"/>
        <v>65</v>
      </c>
      <c r="AK266" s="163" t="str">
        <f>INDEX(Map!$W$2:$W$67, MATCH('Raw data'!AJ266, Map!$V$2:$V$67,0))</f>
        <v>T3</v>
      </c>
      <c r="AL266" s="165" t="str">
        <f>INDEX(Map!$X$2:$X$67, MATCH('Raw data'!AJ266, Map!$V$2:$V$67,0))</f>
        <v>R11</v>
      </c>
      <c r="AM266" s="319">
        <f t="shared" si="211"/>
        <v>87.800000000000011</v>
      </c>
      <c r="AN266" s="150">
        <f t="shared" si="212"/>
        <v>2.3729729729729732</v>
      </c>
      <c r="AO266" s="151">
        <f t="shared" si="213"/>
        <v>33.100000000000016</v>
      </c>
      <c r="AP266" s="150">
        <f t="shared" si="214"/>
        <v>0.89459459459459501</v>
      </c>
      <c r="AQ266" s="151">
        <f t="shared" si="215"/>
        <v>54.35</v>
      </c>
      <c r="AR266" s="149">
        <f t="shared" si="216"/>
        <v>1.4689189189189189</v>
      </c>
      <c r="AS266" s="150">
        <f t="shared" si="217"/>
        <v>1.6419939577039269</v>
      </c>
    </row>
    <row r="267" spans="10:45" ht="15.75" thickBot="1" x14ac:dyDescent="0.3">
      <c r="J267" s="1" t="str">
        <f t="shared" ref="J267" si="229">IF(M267=Y267,"OK","Verificar")</f>
        <v>OK</v>
      </c>
      <c r="K267" s="166" t="s">
        <v>90</v>
      </c>
      <c r="L267" s="167">
        <f>'39 days'!$A70</f>
        <v>66</v>
      </c>
      <c r="M267" s="168">
        <f>'39 days'!B70</f>
        <v>35</v>
      </c>
      <c r="N267" s="168" t="str">
        <f>INDEX(Map!$W$2:$W$67, MATCH('Raw data'!L267, Map!$V$2:$V$67,0))</f>
        <v>T1</v>
      </c>
      <c r="O267" s="169" t="str">
        <f>INDEX(Map!$X$2:$X$67, MATCH('Raw data'!L267, Map!$V$2:$V$67,0))</f>
        <v>R11</v>
      </c>
      <c r="P267" s="159">
        <f>('39 days'!$C70-'39 days'!$C$3)+('39 days'!$D70-'39 days'!$C$3)</f>
        <v>82.3</v>
      </c>
      <c r="Q267" s="157">
        <f t="shared" si="220"/>
        <v>2.3514285714285714</v>
      </c>
      <c r="R267" s="156">
        <f t="shared" si="221"/>
        <v>30.650000000000006</v>
      </c>
      <c r="S267" s="329">
        <f t="shared" si="226"/>
        <v>0.87571428571428589</v>
      </c>
      <c r="T267" s="337">
        <f>IF((IF(('39 days'!$E70-'39 days'!$E$3)&lt;0, 0, ('39 days'!$E70-'39 days'!$E$3)))+(IF(('39 days'!$F70-'39 days'!$F$3)&lt;0, 0, ('39 days'!$F70-'39 days'!$F$3)))+('39 days'!$H70*'39 days'!$G70)+('39 days'!$I70)&lt;0, 0, (IF(('39 days'!$E70-'39 days'!$E$3)&lt;0, 0, ('39 days'!$E70-'39 days'!$E$3)))+(IF(('39 days'!$F70-'39 days'!$F$3)&lt;0, 0, ('39 days'!$F70-'39 days'!$F$3)))+('39 days'!$H70*'39 days'!$G70)+('39 days'!$I70))</f>
        <v>9.9</v>
      </c>
      <c r="U267" s="159">
        <f>I69-'Raw data'!T267</f>
        <v>52</v>
      </c>
      <c r="V267" s="157">
        <f t="shared" si="222"/>
        <v>1.4857142857142858</v>
      </c>
      <c r="W267" s="156">
        <f t="shared" si="228"/>
        <v>1.7615144868983035</v>
      </c>
      <c r="X267" s="197">
        <f t="shared" si="227"/>
        <v>35</v>
      </c>
      <c r="Y267" s="214">
        <f t="shared" si="223"/>
        <v>35</v>
      </c>
      <c r="Z267" s="168">
        <f>'39 days'!J70</f>
        <v>0</v>
      </c>
      <c r="AA267" s="157">
        <f>'39 days'!K70</f>
        <v>0</v>
      </c>
      <c r="AB267" s="168">
        <f>'39 days'!L70</f>
        <v>0</v>
      </c>
      <c r="AC267" s="157">
        <f>'39 days'!M70</f>
        <v>0</v>
      </c>
      <c r="AD267" s="214">
        <f>'39 days'!N70</f>
        <v>0</v>
      </c>
      <c r="AE267" s="157">
        <f>'39 days'!O70</f>
        <v>0</v>
      </c>
      <c r="AF267" s="168">
        <f t="shared" si="224"/>
        <v>0</v>
      </c>
      <c r="AG267" s="161">
        <f t="shared" si="225"/>
        <v>0</v>
      </c>
      <c r="AI267" s="321" t="s">
        <v>118</v>
      </c>
      <c r="AJ267" s="167">
        <f t="shared" ref="AJ267" si="230">L267</f>
        <v>66</v>
      </c>
      <c r="AK267" s="168" t="str">
        <f>INDEX(Map!$W$2:$W$67, MATCH('Raw data'!AJ267, Map!$V$2:$V$67,0))</f>
        <v>T1</v>
      </c>
      <c r="AL267" s="169" t="str">
        <f>INDEX(Map!$X$2:$X$67, MATCH('Raw data'!AJ267, Map!$V$2:$V$67,0))</f>
        <v>R11</v>
      </c>
      <c r="AM267" s="321">
        <f t="shared" ref="AM267:AP267" si="231">P267</f>
        <v>82.3</v>
      </c>
      <c r="AN267" s="313">
        <f t="shared" si="231"/>
        <v>2.3514285714285714</v>
      </c>
      <c r="AO267" s="312">
        <f t="shared" si="231"/>
        <v>30.650000000000006</v>
      </c>
      <c r="AP267" s="313">
        <f t="shared" si="231"/>
        <v>0.87571428571428589</v>
      </c>
      <c r="AQ267" s="312">
        <f t="shared" ref="AQ267:AR267" si="232">U267</f>
        <v>52</v>
      </c>
      <c r="AR267" s="314">
        <f t="shared" si="232"/>
        <v>1.4857142857142858</v>
      </c>
      <c r="AS267" s="313">
        <f t="shared" ref="AS267" si="233">AQ267/(AO267+AG267)</f>
        <v>1.6965742251223488</v>
      </c>
    </row>
  </sheetData>
  <mergeCells count="22">
    <mergeCell ref="AO2:AP2"/>
    <mergeCell ref="AQ2:AR2"/>
    <mergeCell ref="U2:V2"/>
    <mergeCell ref="AO1:AP1"/>
    <mergeCell ref="AQ1:AR1"/>
    <mergeCell ref="AD2:AE2"/>
    <mergeCell ref="Z2:AA2"/>
    <mergeCell ref="AB2:AC2"/>
    <mergeCell ref="X1:AG1"/>
    <mergeCell ref="X2:Y2"/>
    <mergeCell ref="AF2:AG2"/>
    <mergeCell ref="AM2:AN2"/>
    <mergeCell ref="AM1:AN1"/>
    <mergeCell ref="P1:Q1"/>
    <mergeCell ref="U1:V1"/>
    <mergeCell ref="R1:S1"/>
    <mergeCell ref="R2:S2"/>
    <mergeCell ref="A2:D2"/>
    <mergeCell ref="G2:I2"/>
    <mergeCell ref="E2:F2"/>
    <mergeCell ref="K1:O1"/>
    <mergeCell ref="P2:Q2"/>
  </mergeCells>
  <pageMargins left="0.511811024" right="0.511811024" top="0.78740157499999996" bottom="0.78740157499999996" header="0.31496062000000002" footer="0.31496062000000002"/>
  <pageSetup paperSize="9" orientation="portrait" horizontalDpi="4294967293" r:id="rId1"/>
  <ignoredErrors>
    <ignoredError sqref="P67 U5 P5 P71:P79 P80 P81:P135 P68:P69 P6:P66 V71:V79 U136:V136 U137:V139 V81:V135 V67 U68:V69 U6:V66 U141:V165 V140 V203:V267 V202 U171:V190 V170 U167:V169 V166 U192:V201 V191" evalError="1"/>
    <ignoredError sqref="Q6:Q66 Q68:Q69 Q4 Q81:Q135 Q80 Q137:Q267 Q136 Q71:Q79 Q70 Q5 Q67" evalError="1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5"/>
  <dimension ref="A1:AF84"/>
  <sheetViews>
    <sheetView tabSelected="1" zoomScaleNormal="100" workbookViewId="0">
      <pane xSplit="3" ySplit="1" topLeftCell="I2" activePane="bottomRight" state="frozen"/>
      <selection pane="topRight" activeCell="E1" sqref="E1"/>
      <selection pane="bottomLeft" activeCell="A2" sqref="A2"/>
      <selection pane="bottomRight" activeCell="J2" sqref="J2:K2"/>
    </sheetView>
  </sheetViews>
  <sheetFormatPr defaultRowHeight="15" x14ac:dyDescent="0.25"/>
  <cols>
    <col min="1" max="1" width="5.5703125" style="24" customWidth="1"/>
    <col min="2" max="2" width="11.5703125" style="24" bestFit="1" customWidth="1"/>
    <col min="3" max="3" width="10.140625" style="24" bestFit="1" customWidth="1"/>
    <col min="4" max="20" width="12.5703125" style="24" bestFit="1" customWidth="1"/>
    <col min="21" max="22" width="12" style="24" bestFit="1" customWidth="1"/>
    <col min="23" max="23" width="12.140625" style="24" bestFit="1" customWidth="1"/>
    <col min="24" max="24" width="12.28515625" style="24" bestFit="1" customWidth="1"/>
    <col min="25" max="25" width="12.85546875" style="24" bestFit="1" customWidth="1"/>
    <col min="26" max="26" width="13.5703125" style="24" bestFit="1" customWidth="1"/>
    <col min="27" max="29" width="12" style="24" bestFit="1" customWidth="1"/>
    <col min="30" max="31" width="12" style="418" bestFit="1" customWidth="1"/>
    <col min="32" max="32" width="12.42578125" style="418" bestFit="1" customWidth="1"/>
    <col min="33" max="16384" width="9.140625" style="24"/>
  </cols>
  <sheetData>
    <row r="1" spans="1:32" x14ac:dyDescent="0.25">
      <c r="A1" s="24" t="s">
        <v>0</v>
      </c>
      <c r="B1" s="24" t="s">
        <v>30</v>
      </c>
      <c r="C1" s="24" t="s">
        <v>31</v>
      </c>
      <c r="D1" s="24" t="str">
        <f>IF('1 day'!$B$1="","","BW1")</f>
        <v>BW1</v>
      </c>
      <c r="E1" s="24" t="str">
        <f>IF('14 days'!$B$1="","","BW14")</f>
        <v>BW14</v>
      </c>
      <c r="F1" s="24" t="str">
        <f>IF('23 days'!$B$1="","","BW23")</f>
        <v>BW23</v>
      </c>
      <c r="G1" s="24" t="str">
        <f>IF('32 days'!$B$1="","","BW32")</f>
        <v>BW32</v>
      </c>
      <c r="H1" s="24" t="str">
        <f>IF('39 days'!$B$1="","","BW39")</f>
        <v>BW39</v>
      </c>
      <c r="I1" s="24" t="str">
        <f>IF('14 days'!$B$1="","","BWG14")</f>
        <v>BWG14</v>
      </c>
      <c r="J1" s="24" t="str">
        <f>IF('23 days'!$B$1="","","BWG23")</f>
        <v>BWG23</v>
      </c>
      <c r="K1" s="24" t="str">
        <f>IF('32 days'!$B$1="","","BWG32")</f>
        <v>BWG32</v>
      </c>
      <c r="L1" s="24" t="str">
        <f>IF('39 days'!$B$1="","","BWG39")</f>
        <v>BWG39</v>
      </c>
      <c r="M1" s="24" t="str">
        <f>IF('14 days'!$B$1="","","FI14")</f>
        <v>FI14</v>
      </c>
      <c r="N1" s="24" t="str">
        <f>IF('23 days'!$B$1="","","FI23")</f>
        <v>FI23</v>
      </c>
      <c r="O1" s="24" t="str">
        <f>IF('32 days'!$B$1="","","FI32")</f>
        <v>FI32</v>
      </c>
      <c r="P1" s="24" t="str">
        <f>IF('39 days'!$B$1="","","FI39")</f>
        <v>FI39</v>
      </c>
      <c r="Q1" s="24" t="str">
        <f>IF('14 days'!$B$1="","","FCR14")</f>
        <v>FCR14</v>
      </c>
      <c r="R1" s="24" t="str">
        <f>IF('23 days'!$B$1="","","FCR23")</f>
        <v>FCR23</v>
      </c>
      <c r="S1" s="24" t="str">
        <f>IF('32 days'!$B$1="","","FCR32")</f>
        <v>FCR32</v>
      </c>
      <c r="T1" s="24" t="str">
        <f>IF('39 days'!$B$1="","","FCR39")</f>
        <v>FCR39</v>
      </c>
      <c r="U1" s="24" t="s">
        <v>119</v>
      </c>
      <c r="V1" s="24" t="s">
        <v>120</v>
      </c>
      <c r="W1" s="24" t="s">
        <v>121</v>
      </c>
      <c r="X1" s="418" t="s">
        <v>122</v>
      </c>
      <c r="Y1" s="418" t="s">
        <v>123</v>
      </c>
      <c r="Z1" s="418" t="s">
        <v>124</v>
      </c>
      <c r="AA1" s="418" t="s">
        <v>125</v>
      </c>
      <c r="AB1" s="418" t="s">
        <v>126</v>
      </c>
      <c r="AC1" s="418" t="s">
        <v>127</v>
      </c>
      <c r="AD1" s="418" t="s">
        <v>128</v>
      </c>
      <c r="AE1" s="418" t="s">
        <v>129</v>
      </c>
      <c r="AF1" s="418" t="s">
        <v>130</v>
      </c>
    </row>
    <row r="2" spans="1:32" x14ac:dyDescent="0.25">
      <c r="A2" s="24">
        <f>'Raw data'!L4</f>
        <v>1</v>
      </c>
      <c r="B2" s="24" t="str">
        <f>INDEX('Raw data'!$B$4:$B$69, 'Wide data'!A2)</f>
        <v>T6</v>
      </c>
      <c r="C2" s="24" t="str">
        <f>INDEX('Raw data'!$C$4:$C$69, 'Wide data'!A2)</f>
        <v>R10</v>
      </c>
      <c r="D2" s="24">
        <f t="array" ref="D2">INDEX('Raw data'!$F$4:$F$69,MATCH($A$1&amp;'Wide data'!$A2,'Raw data'!$A$3&amp;'Raw data'!$A$4:$A$69,0))</f>
        <v>4.5950000000000005E-2</v>
      </c>
      <c r="E2" s="24">
        <f t="array" ref="E2">IF(E$1="","",INDEX('Raw data'!$Q$4:$Q$267,MATCH("14 days"&amp;'Wide data'!$A$1&amp;'Wide data'!$A2,'Raw data'!$K$4:$K$267&amp;'Raw data'!$L$2&amp;'Raw data'!$L$4:$L$267,0)))</f>
        <v>0.35224999999999995</v>
      </c>
      <c r="F2" s="24">
        <f t="array" ref="F2">IF(F$1="","",INDEX('Raw data'!$Q$4:$Q$267,MATCH("23 days"&amp;'Wide data'!$A$1&amp;'Wide data'!$A2,'Raw data'!$K$4:$K$267&amp;'Raw data'!$L$2&amp;'Raw data'!$L$4:$L$267,0)))</f>
        <v>0.93500000000000016</v>
      </c>
      <c r="G2" s="24">
        <f t="array" ref="G2">IF(G$1="","",INDEX('Raw data'!$Q$4:$Q$267,MATCH("32 days"&amp;'Wide data'!$A$1&amp;'Wide data'!$A2,'Raw data'!$K$4:$K$267&amp;'Raw data'!$L$2&amp;'Raw data'!$L$4:$L$267,0)))</f>
        <v>1.4361538461538461</v>
      </c>
      <c r="H2" s="24">
        <f t="array" ref="H2">IF(H$1="","",INDEX('Raw data'!$Q$4:$Q$267,MATCH("39 days"&amp;'Wide data'!$A$1&amp;'Wide data'!$A2,'Raw data'!$K$4:$K$267&amp;'Raw data'!$L$2&amp;'Raw data'!$L$4:$L$267,0)))</f>
        <v>2.2974358974358973</v>
      </c>
      <c r="I2" s="24">
        <f t="array" ref="I2">IF(I$1="","",INDEX('Raw data'!$S$4:$S$267,MATCH("14 days"&amp;'Wide data'!$A$1&amp;'Wide data'!$A2,'Raw data'!$K$4:$K$267&amp;'Raw data'!$L$2&amp;'Raw data'!$L$4:$L$267,0)))</f>
        <v>0.30629999999999996</v>
      </c>
      <c r="J2" s="24">
        <f t="array" ref="J2">IF(J$1="","",INDEX('Raw data'!$S$4:$S$267,MATCH("23 days"&amp;'Wide data'!$A$1&amp;'Wide data'!$A2,'Raw data'!$K$4:$K$267&amp;'Raw data'!$L$2&amp;'Raw data'!$L$4:$L$267,0)))</f>
        <v>0.58275000000000021</v>
      </c>
      <c r="K2" s="24">
        <f t="array" ref="K2">IF(K$1="","",INDEX('Raw data'!$S$4:$S$267,MATCH("32 days"&amp;'Wide data'!$A$1&amp;'Wide data'!$A2,'Raw data'!$K$4:$K$267&amp;'Raw data'!$L$2&amp;'Raw data'!$L$4:$L$267,0)))</f>
        <v>0.50115384615384595</v>
      </c>
      <c r="L2" s="24">
        <f t="array" ref="L2">IF(L$1="","",INDEX('Raw data'!$S$4:$S$267,MATCH("39 days"&amp;'Wide data'!$A$1&amp;'Wide data'!$A2,'Raw data'!$K$4:$K$267&amp;'Raw data'!$L$2&amp;'Raw data'!$L$4:$L$267,0)))</f>
        <v>0.86128205128205115</v>
      </c>
      <c r="M2" s="24">
        <f t="array" ref="M2">IF(M$1="","",INDEX('Raw data'!$V$4:$V$267,MATCH("14 days"&amp;'Wide data'!$A$1&amp;'Wide data'!$A2,'Raw data'!$K$4:$K$267&amp;'Raw data'!$L$2&amp;'Raw data'!$L$4:$L$267,0)))</f>
        <v>0.39750000000000008</v>
      </c>
      <c r="N2" s="24">
        <f t="array" ref="N2">IF(N$1="","",INDEX('Raw data'!$V$4:$V$267,MATCH("23 days"&amp;'Wide data'!$A$1&amp;'Wide data'!$A2,'Raw data'!$K$4:$K$267&amp;'Raw data'!$L$2&amp;'Raw data'!$L$4:$L$267,0)))</f>
        <v>0.82212499999999999</v>
      </c>
      <c r="O2" s="24">
        <f t="array" ref="O2">IF(O$1="","",INDEX('Raw data'!$V$4:$V$267,MATCH("32 days"&amp;'Wide data'!$A$1&amp;'Wide data'!$A2,'Raw data'!$K$4:$K$267&amp;'Raw data'!$L$2&amp;'Raw data'!$L$4:$L$267,0)))</f>
        <v>1.3811538461538462</v>
      </c>
      <c r="P2" s="24">
        <f t="array" ref="P2">IF(P$1="","",INDEX('Raw data'!$V$4:$V$267,MATCH("39 days"&amp;'Wide data'!$A$1&amp;'Wide data'!$A2,'Raw data'!$K$4:$K$267&amp;'Raw data'!$L$2&amp;'Raw data'!$L$4:$L$267,0)))</f>
        <v>1.4230769230769231</v>
      </c>
      <c r="Q2" s="24">
        <f t="array" ref="Q2">IF(Q$1="","",INDEX('Raw data'!$W$4:$W$267,MATCH("14 days"&amp;'Wide data'!$A$1&amp;'Wide data'!$A2,'Raw data'!$K$4:$K$267&amp;'Raw data'!$L$2&amp;'Raw data'!$L$4:$L$267,0)))</f>
        <v>1.1284599006387512</v>
      </c>
      <c r="R2" s="24">
        <f t="array" ref="R2">IF(R$1="","",INDEX('Raw data'!$W$4:$W$267,MATCH("23 days"&amp;'Wide data'!$A$1&amp;'Wide data'!$A2,'Raw data'!$K$4:$K$267&amp;'Raw data'!$L$2&amp;'Raw data'!$L$4:$L$267,0)))</f>
        <v>1.3044117647058822</v>
      </c>
      <c r="S2" s="24">
        <f t="array" ref="S2">IF(S$1="","",INDEX('Raw data'!$W$4:$W$267,MATCH("32 days"&amp;'Wide data'!$A$1&amp;'Wide data'!$A2,'Raw data'!$K$4:$K$267&amp;'Raw data'!$L$2&amp;'Raw data'!$L$4:$L$267,0)))</f>
        <v>1.7989835261128639</v>
      </c>
      <c r="T2" s="24">
        <f t="array" ref="T2">IF(T$1="","",INDEX('Raw data'!$W$4:$W$267,MATCH("39 days"&amp;'Wide data'!$A$1&amp;'Wide data'!$A2,'Raw data'!$K$4:$K$267&amp;'Raw data'!$L$2&amp;'Raw data'!$L$4:$L$267,0)))</f>
        <v>1.744622173193602</v>
      </c>
      <c r="U2" s="24">
        <f t="array" ref="U2">IF(E$1="","",INDEX('Raw data'!$AN$4:$AN$267,MATCH("Starter"&amp;'Wide data'!$A$1&amp;'Wide data'!$A2,'Raw data'!$AI$4:$AI$267&amp;'Raw data'!$AJ$2&amp;'Raw data'!$AJ$4:$AJ$267,0)))</f>
        <v>0.35224999999999995</v>
      </c>
      <c r="V2" s="418">
        <f t="array" ref="V2">IF(G$1="","",INDEX('Raw data'!$AN$4:$AN$267,MATCH("Grower"&amp;'Wide data'!$A$1&amp;'Wide data'!$A2,'Raw data'!$AI$4:$AI$267&amp;'Raw data'!$AJ$2&amp;'Raw data'!$AJ$4:$AJ$267,0)))</f>
        <v>1.4361538461538461</v>
      </c>
      <c r="W2" s="418">
        <f t="array" ref="W2">IF(H$1="","",INDEX('Raw data'!$AN$4:$AN$267,MATCH("Finisher"&amp;'Wide data'!$A$1&amp;'Wide data'!$A2,'Raw data'!$AI$4:$AI$267&amp;'Raw data'!$AJ$2&amp;'Raw data'!$AJ$4:$AJ$267,0)))</f>
        <v>2.2974358974358973</v>
      </c>
      <c r="X2" s="418">
        <f t="array" ref="X2">IF(H$1="","",INDEX('Raw data'!$AP$4:$AP$267,MATCH("Starter"&amp;'Wide data'!$A$1&amp;'Wide data'!$A2,'Raw data'!$AI$4:$AI$267&amp;'Raw data'!$AJ$2&amp;'Raw data'!$AJ$4:$AJ$267,0)))</f>
        <v>0.30629999999999996</v>
      </c>
      <c r="Y2" s="418">
        <f t="array" ref="Y2">IF(J$1="","",INDEX('Raw data'!$AP$4:$AP$267,MATCH("Grower"&amp;'Wide data'!$A$1&amp;'Wide data'!$A2,'Raw data'!$AI$4:$AI$267&amp;'Raw data'!$AJ$2&amp;'Raw data'!$AJ$4:$AJ$267,0)))</f>
        <v>1.0839038461538462</v>
      </c>
      <c r="Z2" s="418">
        <f t="array" ref="Z2">IF(K$1="","",INDEX('Raw data'!$AP$4:$AP$267,MATCH("Finisher"&amp;'Wide data'!$A$1&amp;'Wide data'!$A2,'Raw data'!$AI$4:$AI$267&amp;'Raw data'!$AJ$2&amp;'Raw data'!$AJ$4:$AJ$267,0)))</f>
        <v>0.86128205128205115</v>
      </c>
      <c r="AA2" s="418">
        <f t="array" ref="AA2">IF(K$1="","",INDEX('Raw data'!$AR$4:$AR$267,MATCH("Starter"&amp;'Wide data'!$A$1&amp;'Wide data'!$A2,'Raw data'!$AI$4:$AI$267&amp;'Raw data'!$AJ$2&amp;'Raw data'!$AJ$4:$AJ$267,0)))</f>
        <v>0.39750000000000008</v>
      </c>
      <c r="AB2" s="418">
        <f t="array" ref="AB2">IF(M$1="","",INDEX('Raw data'!$AR$4:$AR$267,MATCH("Grower"&amp;'Wide data'!$A$1&amp;'Wide data'!$A2,'Raw data'!$AI$4:$AI$267&amp;'Raw data'!$AJ$2&amp;'Raw data'!$AJ$4:$AJ$267,0)))</f>
        <v>2.2032788461538462</v>
      </c>
      <c r="AC2" s="418">
        <f t="array" ref="AC2">IF(N$1="","",INDEX('Raw data'!$AR$4:$AR$267,MATCH("Finisher"&amp;'Wide data'!$A$1&amp;'Wide data'!$A2,'Raw data'!$AI$4:$AI$267&amp;'Raw data'!$AJ$2&amp;'Raw data'!$AJ$4:$AJ$267,0)))</f>
        <v>1.4230769230769231</v>
      </c>
      <c r="AD2" s="418">
        <f t="array" ref="AD2">IF(N$1="","",INDEX('Raw data'!$AS$4:$AS$267,MATCH("Starter"&amp;'Wide data'!$A$1&amp;'Wide data'!$A2,'Raw data'!$AI$4:$AI$267&amp;'Raw data'!$AJ$2&amp;'Raw data'!$AJ$4:$AJ$267,0)))</f>
        <v>1.1284599006387512</v>
      </c>
      <c r="AE2" s="418">
        <f t="array" ref="AE2">IF(P$1="","",INDEX('Raw data'!$AS$4:$AS$267,MATCH("Grower"&amp;'Wide data'!$A$1&amp;'Wide data'!$A2,'Raw data'!$AI$4:$AI$267&amp;'Raw data'!$AJ$2&amp;'Raw data'!$AJ$4:$AJ$267,0)))</f>
        <v>1.975856963899328</v>
      </c>
      <c r="AF2" s="418">
        <f t="array" ref="AF2">IF(Q$1="","",INDEX('Raw data'!$AS$4:$AS$267,MATCH("Finisher"&amp;'Wide data'!$A$1&amp;'Wide data'!$A2,'Raw data'!$AI$4:$AI$267&amp;'Raw data'!$AJ$2&amp;'Raw data'!$AJ$4:$AJ$267,0)))</f>
        <v>1.6522774635308128</v>
      </c>
    </row>
    <row r="3" spans="1:32" x14ac:dyDescent="0.25">
      <c r="A3" s="24">
        <f>'Raw data'!L5</f>
        <v>2</v>
      </c>
      <c r="B3" s="24" t="str">
        <f>INDEX('Raw data'!$B$4:$B$69, 'Wide data'!A3)</f>
        <v>T2</v>
      </c>
      <c r="C3" s="24" t="str">
        <f>INDEX('Raw data'!$C$4:$C$69, 'Wide data'!A3)</f>
        <v>R10</v>
      </c>
      <c r="D3" s="24">
        <f t="array" ref="D3">INDEX('Raw data'!$F$4:$F$69,MATCH($A$1&amp;'Wide data'!$A3,'Raw data'!$A$3&amp;'Raw data'!$A$4:$A$69,0))</f>
        <v>4.5850000000000002E-2</v>
      </c>
      <c r="E3" s="24">
        <f t="array" ref="E3">IF(E$1="","",INDEX('Raw data'!$Q$4:$Q$267,MATCH("14 days"&amp;'Wide data'!$A$1&amp;'Wide data'!$A3,'Raw data'!$K$4:$K$267&amp;'Raw data'!$L$2&amp;'Raw data'!$L$4:$L$267,0)))</f>
        <v>0.36225000000000002</v>
      </c>
      <c r="F3" s="24">
        <f t="array" ref="F3">IF(F$1="","",INDEX('Raw data'!$Q$4:$Q$267,MATCH("23 days"&amp;'Wide data'!$A$1&amp;'Wide data'!$A3,'Raw data'!$K$4:$K$267&amp;'Raw data'!$L$2&amp;'Raw data'!$L$4:$L$267,0)))</f>
        <v>0.96750000000000003</v>
      </c>
      <c r="G3" s="24">
        <f t="array" ref="G3">IF(G$1="","",INDEX('Raw data'!$Q$4:$Q$267,MATCH("32 days"&amp;'Wide data'!$A$1&amp;'Wide data'!$A3,'Raw data'!$K$4:$K$267&amp;'Raw data'!$L$2&amp;'Raw data'!$L$4:$L$267,0)))</f>
        <v>1.4512820512820512</v>
      </c>
      <c r="H3" s="24">
        <f t="array" ref="H3">IF(H$1="","",INDEX('Raw data'!$Q$4:$Q$267,MATCH("39 days"&amp;'Wide data'!$A$1&amp;'Wide data'!$A3,'Raw data'!$K$4:$K$267&amp;'Raw data'!$L$2&amp;'Raw data'!$L$4:$L$267,0)))</f>
        <v>2.2828947368421053</v>
      </c>
      <c r="I3" s="24">
        <f t="array" ref="I3">IF(I$1="","",INDEX('Raw data'!$S$4:$S$267,MATCH("14 days"&amp;'Wide data'!$A$1&amp;'Wide data'!$A3,'Raw data'!$K$4:$K$267&amp;'Raw data'!$L$2&amp;'Raw data'!$L$4:$L$267,0)))</f>
        <v>0.31640000000000001</v>
      </c>
      <c r="J3" s="24">
        <f t="array" ref="J3">IF(J$1="","",INDEX('Raw data'!$S$4:$S$267,MATCH("23 days"&amp;'Wide data'!$A$1&amp;'Wide data'!$A3,'Raw data'!$K$4:$K$267&amp;'Raw data'!$L$2&amp;'Raw data'!$L$4:$L$267,0)))</f>
        <v>0.60525000000000007</v>
      </c>
      <c r="K3" s="24">
        <f t="array" ref="K3">IF(K$1="","",INDEX('Raw data'!$S$4:$S$267,MATCH("32 days"&amp;'Wide data'!$A$1&amp;'Wide data'!$A3,'Raw data'!$K$4:$K$267&amp;'Raw data'!$L$2&amp;'Raw data'!$L$4:$L$267,0)))</f>
        <v>0.48378205128205121</v>
      </c>
      <c r="L3" s="24">
        <f t="array" ref="L3">IF(L$1="","",INDEX('Raw data'!$S$4:$S$267,MATCH("39 days"&amp;'Wide data'!$A$1&amp;'Wide data'!$A3,'Raw data'!$K$4:$K$267&amp;'Raw data'!$L$2&amp;'Raw data'!$L$4:$L$267,0)))</f>
        <v>0.83161268556005408</v>
      </c>
      <c r="M3" s="24">
        <f t="array" ref="M3">IF(M$1="","",INDEX('Raw data'!$V$4:$V$267,MATCH("14 days"&amp;'Wide data'!$A$1&amp;'Wide data'!$A3,'Raw data'!$K$4:$K$267&amp;'Raw data'!$L$2&amp;'Raw data'!$L$4:$L$267,0)))</f>
        <v>0.4325</v>
      </c>
      <c r="N3" s="24">
        <f t="array" ref="N3">IF(N$1="","",INDEX('Raw data'!$V$4:$V$267,MATCH("23 days"&amp;'Wide data'!$A$1&amp;'Wide data'!$A3,'Raw data'!$K$4:$K$267&amp;'Raw data'!$L$2&amp;'Raw data'!$L$4:$L$267,0)))</f>
        <v>0.81962499999999994</v>
      </c>
      <c r="O3" s="24">
        <f t="array" ref="O3">IF(O$1="","",INDEX('Raw data'!$V$4:$V$267,MATCH("32 days"&amp;'Wide data'!$A$1&amp;'Wide data'!$A3,'Raw data'!$K$4:$K$267&amp;'Raw data'!$L$2&amp;'Raw data'!$L$4:$L$267,0)))</f>
        <v>1.3721794871794872</v>
      </c>
      <c r="P3" s="24">
        <f t="array" ref="P3">IF(P$1="","",INDEX('Raw data'!$V$4:$V$267,MATCH("39 days"&amp;'Wide data'!$A$1&amp;'Wide data'!$A3,'Raw data'!$K$4:$K$267&amp;'Raw data'!$L$2&amp;'Raw data'!$L$4:$L$267,0)))</f>
        <v>1.4394736842105265</v>
      </c>
      <c r="Q3" s="24">
        <f t="array" ref="Q3">IF(Q$1="","",INDEX('Raw data'!$W$4:$W$267,MATCH("14 days"&amp;'Wide data'!$A$1&amp;'Wide data'!$A3,'Raw data'!$K$4:$K$267&amp;'Raw data'!$L$2&amp;'Raw data'!$L$4:$L$267,0)))</f>
        <v>1.1939268461007593</v>
      </c>
      <c r="R3" s="24">
        <f t="array" ref="R3">IF(R$1="","",INDEX('Raw data'!$W$4:$W$267,MATCH("23 days"&amp;'Wide data'!$A$1&amp;'Wide data'!$A3,'Raw data'!$K$4:$K$267&amp;'Raw data'!$L$2&amp;'Raw data'!$L$4:$L$267,0)))</f>
        <v>1.2941860465116277</v>
      </c>
      <c r="S3" s="24">
        <f t="array" ref="S3">IF(S$1="","",INDEX('Raw data'!$W$4:$W$267,MATCH("32 days"&amp;'Wide data'!$A$1&amp;'Wide data'!$A3,'Raw data'!$K$4:$K$267&amp;'Raw data'!$L$2&amp;'Raw data'!$L$4:$L$267,0)))</f>
        <v>1.7986111111111112</v>
      </c>
      <c r="T3" s="24">
        <f t="array" ref="T3">IF(T$1="","",INDEX('Raw data'!$W$4:$W$267,MATCH("39 days"&amp;'Wide data'!$A$1&amp;'Wide data'!$A3,'Raw data'!$K$4:$K$267&amp;'Raw data'!$L$2&amp;'Raw data'!$L$4:$L$267,0)))</f>
        <v>1.7615507878572065</v>
      </c>
      <c r="U3" s="418">
        <f t="array" ref="U3">IF(E$1="","",INDEX('Raw data'!$AN$4:$AN$267,MATCH("Starter"&amp;'Wide data'!$A$1&amp;'Wide data'!$A3,'Raw data'!$AI$4:$AI$267&amp;'Raw data'!$AJ$2&amp;'Raw data'!$AJ$4:$AJ$267,0)))</f>
        <v>0.36225000000000002</v>
      </c>
      <c r="V3" s="418">
        <f t="array" ref="V3">IF(G$1="","",INDEX('Raw data'!$AN$4:$AN$267,MATCH("Grower"&amp;'Wide data'!$A$1&amp;'Wide data'!$A3,'Raw data'!$AI$4:$AI$267&amp;'Raw data'!$AJ$2&amp;'Raw data'!$AJ$4:$AJ$267,0)))</f>
        <v>1.4512820512820512</v>
      </c>
      <c r="W3" s="418">
        <f t="array" ref="W3">IF(H$1="","",INDEX('Raw data'!$AN$4:$AN$267,MATCH("Finisher"&amp;'Wide data'!$A$1&amp;'Wide data'!$A3,'Raw data'!$AI$4:$AI$267&amp;'Raw data'!$AJ$2&amp;'Raw data'!$AJ$4:$AJ$267,0)))</f>
        <v>2.2828947368421053</v>
      </c>
      <c r="X3" s="418">
        <f t="array" ref="X3">IF(H$1="","",INDEX('Raw data'!$AP$4:$AP$267,MATCH("Starter"&amp;'Wide data'!$A$1&amp;'Wide data'!$A3,'Raw data'!$AI$4:$AI$267&amp;'Raw data'!$AJ$2&amp;'Raw data'!$AJ$4:$AJ$267,0)))</f>
        <v>0.31640000000000001</v>
      </c>
      <c r="Y3" s="418">
        <f t="array" ref="Y3">IF(J$1="","",INDEX('Raw data'!$AP$4:$AP$267,MATCH("Grower"&amp;'Wide data'!$A$1&amp;'Wide data'!$A3,'Raw data'!$AI$4:$AI$267&amp;'Raw data'!$AJ$2&amp;'Raw data'!$AJ$4:$AJ$267,0)))</f>
        <v>1.0890320512820513</v>
      </c>
      <c r="Z3" s="418">
        <f t="array" ref="Z3">IF(K$1="","",INDEX('Raw data'!$AP$4:$AP$267,MATCH("Finisher"&amp;'Wide data'!$A$1&amp;'Wide data'!$A3,'Raw data'!$AI$4:$AI$267&amp;'Raw data'!$AJ$2&amp;'Raw data'!$AJ$4:$AJ$267,0)))</f>
        <v>0.83161268556005408</v>
      </c>
      <c r="AA3" s="418">
        <f t="array" ref="AA3">IF(K$1="","",INDEX('Raw data'!$AR$4:$AR$267,MATCH("Starter"&amp;'Wide data'!$A$1&amp;'Wide data'!$A3,'Raw data'!$AI$4:$AI$267&amp;'Raw data'!$AJ$2&amp;'Raw data'!$AJ$4:$AJ$267,0)))</f>
        <v>0.4325</v>
      </c>
      <c r="AB3" s="418">
        <f t="array" ref="AB3">IF(M$1="","",INDEX('Raw data'!$AR$4:$AR$267,MATCH("Grower"&amp;'Wide data'!$A$1&amp;'Wide data'!$A3,'Raw data'!$AI$4:$AI$267&amp;'Raw data'!$AJ$2&amp;'Raw data'!$AJ$4:$AJ$267,0)))</f>
        <v>2.1918044871794873</v>
      </c>
      <c r="AC3" s="418">
        <f t="array" ref="AC3">IF(N$1="","",INDEX('Raw data'!$AR$4:$AR$267,MATCH("Finisher"&amp;'Wide data'!$A$1&amp;'Wide data'!$A3,'Raw data'!$AI$4:$AI$267&amp;'Raw data'!$AJ$2&amp;'Raw data'!$AJ$4:$AJ$267,0)))</f>
        <v>1.4394736842105265</v>
      </c>
      <c r="AD3" s="418">
        <f t="array" ref="AD3">IF(N$1="","",INDEX('Raw data'!$AS$4:$AS$267,MATCH("Starter"&amp;'Wide data'!$A$1&amp;'Wide data'!$A3,'Raw data'!$AI$4:$AI$267&amp;'Raw data'!$AJ$2&amp;'Raw data'!$AJ$4:$AJ$267,0)))</f>
        <v>1.1939268461007593</v>
      </c>
      <c r="AE3" s="418">
        <f t="array" ref="AE3">IF(P$1="","",INDEX('Raw data'!$AS$4:$AS$267,MATCH("Grower"&amp;'Wide data'!$A$1&amp;'Wide data'!$A3,'Raw data'!$AI$4:$AI$267&amp;'Raw data'!$AJ$2&amp;'Raw data'!$AJ$4:$AJ$267,0)))</f>
        <v>1.9579150360161079</v>
      </c>
      <c r="AF3" s="418">
        <f t="array" ref="AF3">IF(Q$1="","",INDEX('Raw data'!$AS$4:$AS$267,MATCH("Finisher"&amp;'Wide data'!$A$1&amp;'Wide data'!$A3,'Raw data'!$AI$4:$AI$267&amp;'Raw data'!$AJ$2&amp;'Raw data'!$AJ$4:$AJ$267,0)))</f>
        <v>1.6224096810698336</v>
      </c>
    </row>
    <row r="4" spans="1:32" x14ac:dyDescent="0.25">
      <c r="A4" s="24">
        <f>'Raw data'!L6</f>
        <v>3</v>
      </c>
      <c r="B4" s="24" t="str">
        <f>INDEX('Raw data'!$B$4:$B$69, 'Wide data'!A4)</f>
        <v>T5</v>
      </c>
      <c r="C4" s="24" t="str">
        <f>INDEX('Raw data'!$C$4:$C$69, 'Wide data'!A4)</f>
        <v>R1</v>
      </c>
      <c r="D4" s="24">
        <f t="array" ref="D4">INDEX('Raw data'!$F$4:$F$69,MATCH($A$1&amp;'Wide data'!$A4,'Raw data'!$A$3&amp;'Raw data'!$A$4:$A$69,0))</f>
        <v>4.5999999999999999E-2</v>
      </c>
      <c r="E4" s="24">
        <f t="array" ref="E4">IF(E$1="","",INDEX('Raw data'!$Q$4:$Q$267,MATCH("14 days"&amp;'Wide data'!$A$1&amp;'Wide data'!$A4,'Raw data'!$K$4:$K$267&amp;'Raw data'!$L$2&amp;'Raw data'!$L$4:$L$267,0)))</f>
        <v>0.34297297297297297</v>
      </c>
      <c r="F4" s="24">
        <f t="array" ref="F4">IF(F$1="","",INDEX('Raw data'!$Q$4:$Q$267,MATCH("23 days"&amp;'Wide data'!$A$1&amp;'Wide data'!$A4,'Raw data'!$K$4:$K$267&amp;'Raw data'!$L$2&amp;'Raw data'!$L$4:$L$267,0)))</f>
        <v>0.9458333333333333</v>
      </c>
      <c r="G4" s="24">
        <f t="array" ref="G4">IF(G$1="","",INDEX('Raw data'!$Q$4:$Q$267,MATCH("32 days"&amp;'Wide data'!$A$1&amp;'Wide data'!$A4,'Raw data'!$K$4:$K$267&amp;'Raw data'!$L$2&amp;'Raw data'!$L$4:$L$267,0)))</f>
        <v>1.4319444444444445</v>
      </c>
      <c r="H4" s="24">
        <f t="array" ref="H4">IF(H$1="","",INDEX('Raw data'!$Q$4:$Q$267,MATCH("39 days"&amp;'Wide data'!$A$1&amp;'Wide data'!$A4,'Raw data'!$K$4:$K$267&amp;'Raw data'!$L$2&amp;'Raw data'!$L$4:$L$267,0)))</f>
        <v>2.2814285714285711</v>
      </c>
      <c r="I4" s="24">
        <f t="array" ref="I4">IF(I$1="","",INDEX('Raw data'!$S$4:$S$267,MATCH("14 days"&amp;'Wide data'!$A$1&amp;'Wide data'!$A4,'Raw data'!$K$4:$K$267&amp;'Raw data'!$L$2&amp;'Raw data'!$L$4:$L$267,0)))</f>
        <v>0.29697297297297298</v>
      </c>
      <c r="J4" s="24">
        <f t="array" ref="J4">IF(J$1="","",INDEX('Raw data'!$S$4:$S$267,MATCH("23 days"&amp;'Wide data'!$A$1&amp;'Wide data'!$A4,'Raw data'!$K$4:$K$267&amp;'Raw data'!$L$2&amp;'Raw data'!$L$4:$L$267,0)))</f>
        <v>0.60286036036036039</v>
      </c>
      <c r="K4" s="24">
        <f t="array" ref="K4">IF(K$1="","",INDEX('Raw data'!$S$4:$S$267,MATCH("32 days"&amp;'Wide data'!$A$1&amp;'Wide data'!$A4,'Raw data'!$K$4:$K$267&amp;'Raw data'!$L$2&amp;'Raw data'!$L$4:$L$267,0)))</f>
        <v>0.48611111111111116</v>
      </c>
      <c r="L4" s="24">
        <f t="array" ref="L4">IF(L$1="","",INDEX('Raw data'!$S$4:$S$267,MATCH("39 days"&amp;'Wide data'!$A$1&amp;'Wide data'!$A4,'Raw data'!$K$4:$K$267&amp;'Raw data'!$L$2&amp;'Raw data'!$L$4:$L$267,0)))</f>
        <v>0.84948412698412668</v>
      </c>
      <c r="M4" s="24">
        <f t="array" ref="M4">IF(M$1="","",INDEX('Raw data'!$V$4:$V$267,MATCH("14 days"&amp;'Wide data'!$A$1&amp;'Wide data'!$A4,'Raw data'!$K$4:$K$267&amp;'Raw data'!$L$2&amp;'Raw data'!$L$4:$L$267,0)))</f>
        <v>0.41081081081081078</v>
      </c>
      <c r="N4" s="24">
        <f t="array" ref="N4">IF(N$1="","",INDEX('Raw data'!$V$4:$V$267,MATCH("23 days"&amp;'Wide data'!$A$1&amp;'Wide data'!$A4,'Raw data'!$K$4:$K$267&amp;'Raw data'!$L$2&amp;'Raw data'!$L$4:$L$267,0)))</f>
        <v>0.85930555555555566</v>
      </c>
      <c r="O4" s="24">
        <f t="array" ref="O4">IF(O$1="","",INDEX('Raw data'!$V$4:$V$267,MATCH("32 days"&amp;'Wide data'!$A$1&amp;'Wide data'!$A4,'Raw data'!$K$4:$K$267&amp;'Raw data'!$L$2&amp;'Raw data'!$L$4:$L$267,0)))</f>
        <v>1.4143055555555555</v>
      </c>
      <c r="P4" s="24">
        <f t="array" ref="P4">IF(P$1="","",INDEX('Raw data'!$V$4:$V$267,MATCH("39 days"&amp;'Wide data'!$A$1&amp;'Wide data'!$A4,'Raw data'!$K$4:$K$267&amp;'Raw data'!$L$2&amp;'Raw data'!$L$4:$L$267,0)))</f>
        <v>1.4471428571428571</v>
      </c>
      <c r="Q4" s="24">
        <f t="array" ref="Q4">IF(Q$1="","",INDEX('Raw data'!$W$4:$W$267,MATCH("14 days"&amp;'Wide data'!$A$1&amp;'Wide data'!$A4,'Raw data'!$K$4:$K$267&amp;'Raw data'!$L$2&amp;'Raw data'!$L$4:$L$267,0)))</f>
        <v>1.1405417573347338</v>
      </c>
      <c r="R4" s="24">
        <f t="array" ref="R4">IF(R$1="","",INDEX('Raw data'!$W$4:$W$267,MATCH("23 days"&amp;'Wide data'!$A$1&amp;'Wide data'!$A4,'Raw data'!$K$4:$K$267&amp;'Raw data'!$L$2&amp;'Raw data'!$L$4:$L$267,0)))</f>
        <v>1.3029909339961028</v>
      </c>
      <c r="S4" s="24">
        <f t="array" ref="S4">IF(S$1="","",INDEX('Raw data'!$W$4:$W$267,MATCH("32 days"&amp;'Wide data'!$A$1&amp;'Wide data'!$A4,'Raw data'!$K$4:$K$267&amp;'Raw data'!$L$2&amp;'Raw data'!$L$4:$L$267,0)))</f>
        <v>1.8343508420435859</v>
      </c>
      <c r="T4" s="24">
        <f t="array" ref="T4">IF(T$1="","",INDEX('Raw data'!$W$4:$W$267,MATCH("39 days"&amp;'Wide data'!$A$1&amp;'Wide data'!$A4,'Raw data'!$K$4:$K$267&amp;'Raw data'!$L$2&amp;'Raw data'!$L$4:$L$267,0)))</f>
        <v>1.7686928198495953</v>
      </c>
      <c r="U4" s="418">
        <f t="array" ref="U4">IF(E$1="","",INDEX('Raw data'!$AN$4:$AN$267,MATCH("Starter"&amp;'Wide data'!$A$1&amp;'Wide data'!$A4,'Raw data'!$AI$4:$AI$267&amp;'Raw data'!$AJ$2&amp;'Raw data'!$AJ$4:$AJ$267,0)))</f>
        <v>0.34297297297297297</v>
      </c>
      <c r="V4" s="418">
        <f t="array" ref="V4">IF(G$1="","",INDEX('Raw data'!$AN$4:$AN$267,MATCH("Grower"&amp;'Wide data'!$A$1&amp;'Wide data'!$A4,'Raw data'!$AI$4:$AI$267&amp;'Raw data'!$AJ$2&amp;'Raw data'!$AJ$4:$AJ$267,0)))</f>
        <v>1.4319444444444445</v>
      </c>
      <c r="W4" s="418">
        <f t="array" ref="W4">IF(H$1="","",INDEX('Raw data'!$AN$4:$AN$267,MATCH("Finisher"&amp;'Wide data'!$A$1&amp;'Wide data'!$A4,'Raw data'!$AI$4:$AI$267&amp;'Raw data'!$AJ$2&amp;'Raw data'!$AJ$4:$AJ$267,0)))</f>
        <v>2.2814285714285711</v>
      </c>
      <c r="X4" s="418">
        <f t="array" ref="X4">IF(H$1="","",INDEX('Raw data'!$AP$4:$AP$267,MATCH("Starter"&amp;'Wide data'!$A$1&amp;'Wide data'!$A4,'Raw data'!$AI$4:$AI$267&amp;'Raw data'!$AJ$2&amp;'Raw data'!$AJ$4:$AJ$267,0)))</f>
        <v>0.29697297297297298</v>
      </c>
      <c r="Y4" s="418">
        <f t="array" ref="Y4">IF(J$1="","",INDEX('Raw data'!$AP$4:$AP$267,MATCH("Grower"&amp;'Wide data'!$A$1&amp;'Wide data'!$A4,'Raw data'!$AI$4:$AI$267&amp;'Raw data'!$AJ$2&amp;'Raw data'!$AJ$4:$AJ$267,0)))</f>
        <v>1.0889714714714716</v>
      </c>
      <c r="Z4" s="418">
        <f t="array" ref="Z4">IF(K$1="","",INDEX('Raw data'!$AP$4:$AP$267,MATCH("Finisher"&amp;'Wide data'!$A$1&amp;'Wide data'!$A4,'Raw data'!$AI$4:$AI$267&amp;'Raw data'!$AJ$2&amp;'Raw data'!$AJ$4:$AJ$267,0)))</f>
        <v>0.84948412698412668</v>
      </c>
      <c r="AA4" s="418">
        <f t="array" ref="AA4">IF(K$1="","",INDEX('Raw data'!$AR$4:$AR$267,MATCH("Starter"&amp;'Wide data'!$A$1&amp;'Wide data'!$A4,'Raw data'!$AI$4:$AI$267&amp;'Raw data'!$AJ$2&amp;'Raw data'!$AJ$4:$AJ$267,0)))</f>
        <v>0.41081081081081078</v>
      </c>
      <c r="AB4" s="418">
        <f t="array" ref="AB4">IF(M$1="","",INDEX('Raw data'!$AR$4:$AR$267,MATCH("Grower"&amp;'Wide data'!$A$1&amp;'Wide data'!$A4,'Raw data'!$AI$4:$AI$267&amp;'Raw data'!$AJ$2&amp;'Raw data'!$AJ$4:$AJ$267,0)))</f>
        <v>2.2736111111111112</v>
      </c>
      <c r="AC4" s="418">
        <f t="array" ref="AC4">IF(N$1="","",INDEX('Raw data'!$AR$4:$AR$267,MATCH("Finisher"&amp;'Wide data'!$A$1&amp;'Wide data'!$A4,'Raw data'!$AI$4:$AI$267&amp;'Raw data'!$AJ$2&amp;'Raw data'!$AJ$4:$AJ$267,0)))</f>
        <v>1.4471428571428571</v>
      </c>
      <c r="AD4" s="418">
        <f t="array" ref="AD4">IF(N$1="","",INDEX('Raw data'!$AS$4:$AS$267,MATCH("Starter"&amp;'Wide data'!$A$1&amp;'Wide data'!$A4,'Raw data'!$AI$4:$AI$267&amp;'Raw data'!$AJ$2&amp;'Raw data'!$AJ$4:$AJ$267,0)))</f>
        <v>1.1405417573347338</v>
      </c>
      <c r="AE4" s="418">
        <f t="array" ref="AE4">IF(P$1="","",INDEX('Raw data'!$AS$4:$AS$267,MATCH("Grower"&amp;'Wide data'!$A$1&amp;'Wide data'!$A4,'Raw data'!$AI$4:$AI$267&amp;'Raw data'!$AJ$2&amp;'Raw data'!$AJ$4:$AJ$267,0)))</f>
        <v>2.0501980164505973</v>
      </c>
      <c r="AF4" s="418">
        <f t="array" ref="AF4">IF(Q$1="","",INDEX('Raw data'!$AS$4:$AS$267,MATCH("Finisher"&amp;'Wide data'!$A$1&amp;'Wide data'!$A4,'Raw data'!$AI$4:$AI$267&amp;'Raw data'!$AJ$2&amp;'Raw data'!$AJ$4:$AJ$267,0)))</f>
        <v>1.5811846484435301</v>
      </c>
    </row>
    <row r="5" spans="1:32" x14ac:dyDescent="0.25">
      <c r="A5" s="24">
        <f>'Raw data'!L7</f>
        <v>4</v>
      </c>
      <c r="B5" s="24" t="str">
        <f>INDEX('Raw data'!$B$4:$B$69, 'Wide data'!A5)</f>
        <v>T3</v>
      </c>
      <c r="C5" s="24" t="str">
        <f>INDEX('Raw data'!$C$4:$C$69, 'Wide data'!A5)</f>
        <v>R1</v>
      </c>
      <c r="D5" s="24">
        <f t="array" ref="D5">INDEX('Raw data'!$F$4:$F$69,MATCH($A$1&amp;'Wide data'!$A5,'Raw data'!$A$3&amp;'Raw data'!$A$4:$A$69,0))</f>
        <v>4.5950000000000005E-2</v>
      </c>
      <c r="E5" s="24">
        <f t="array" ref="E5">IF(E$1="","",INDEX('Raw data'!$Q$4:$Q$267,MATCH("14 days"&amp;'Wide data'!$A$1&amp;'Wide data'!$A5,'Raw data'!$K$4:$K$267&amp;'Raw data'!$L$2&amp;'Raw data'!$L$4:$L$267,0)))</f>
        <v>0.35871794871794871</v>
      </c>
      <c r="F5" s="24">
        <f t="array" ref="F5">IF(F$1="","",INDEX('Raw data'!$Q$4:$Q$267,MATCH("23 days"&amp;'Wide data'!$A$1&amp;'Wide data'!$A5,'Raw data'!$K$4:$K$267&amp;'Raw data'!$L$2&amp;'Raw data'!$L$4:$L$267,0)))</f>
        <v>1</v>
      </c>
      <c r="G5" s="24">
        <f t="array" ref="G5">IF(G$1="","",INDEX('Raw data'!$Q$4:$Q$267,MATCH("32 days"&amp;'Wide data'!$A$1&amp;'Wide data'!$A5,'Raw data'!$K$4:$K$267&amp;'Raw data'!$L$2&amp;'Raw data'!$L$4:$L$267,0)))</f>
        <v>1.523076923076923</v>
      </c>
      <c r="H5" s="24">
        <f t="array" ref="H5">IF(H$1="","",INDEX('Raw data'!$Q$4:$Q$267,MATCH("39 days"&amp;'Wide data'!$A$1&amp;'Wide data'!$A5,'Raw data'!$K$4:$K$267&amp;'Raw data'!$L$2&amp;'Raw data'!$L$4:$L$267,0)))</f>
        <v>2.3932432432432433</v>
      </c>
      <c r="I5" s="24">
        <f t="array" ref="I5">IF(I$1="","",INDEX('Raw data'!$S$4:$S$267,MATCH("14 days"&amp;'Wide data'!$A$1&amp;'Wide data'!$A5,'Raw data'!$K$4:$K$267&amp;'Raw data'!$L$2&amp;'Raw data'!$L$4:$L$267,0)))</f>
        <v>0.31276794871794872</v>
      </c>
      <c r="J5" s="24">
        <f t="array" ref="J5">IF(J$1="","",INDEX('Raw data'!$S$4:$S$267,MATCH("23 days"&amp;'Wide data'!$A$1&amp;'Wide data'!$A5,'Raw data'!$K$4:$K$267&amp;'Raw data'!$L$2&amp;'Raw data'!$L$4:$L$267,0)))</f>
        <v>0.64128205128205129</v>
      </c>
      <c r="K5" s="24">
        <f t="array" ref="K5">IF(K$1="","",INDEX('Raw data'!$S$4:$S$267,MATCH("32 days"&amp;'Wide data'!$A$1&amp;'Wide data'!$A5,'Raw data'!$K$4:$K$267&amp;'Raw data'!$L$2&amp;'Raw data'!$L$4:$L$267,0)))</f>
        <v>0.52307692307692299</v>
      </c>
      <c r="L5" s="24">
        <f t="array" ref="L5">IF(L$1="","",INDEX('Raw data'!$S$4:$S$267,MATCH("39 days"&amp;'Wide data'!$A$1&amp;'Wide data'!$A5,'Raw data'!$K$4:$K$267&amp;'Raw data'!$L$2&amp;'Raw data'!$L$4:$L$267,0)))</f>
        <v>0.87016632016632034</v>
      </c>
      <c r="M5" s="24">
        <f t="array" ref="M5">IF(M$1="","",INDEX('Raw data'!$V$4:$V$267,MATCH("14 days"&amp;'Wide data'!$A$1&amp;'Wide data'!$A5,'Raw data'!$K$4:$K$267&amp;'Raw data'!$L$2&amp;'Raw data'!$L$4:$L$267,0)))</f>
        <v>0.42333333333333339</v>
      </c>
      <c r="N5" s="24">
        <f t="array" ref="N5">IF(N$1="","",INDEX('Raw data'!$V$4:$V$267,MATCH("23 days"&amp;'Wide data'!$A$1&amp;'Wide data'!$A5,'Raw data'!$K$4:$K$267&amp;'Raw data'!$L$2&amp;'Raw data'!$L$4:$L$267,0)))</f>
        <v>0.86628205128205116</v>
      </c>
      <c r="O5" s="24">
        <f t="array" ref="O5">IF(O$1="","",INDEX('Raw data'!$V$4:$V$267,MATCH("32 days"&amp;'Wide data'!$A$1&amp;'Wide data'!$A5,'Raw data'!$K$4:$K$267&amp;'Raw data'!$L$2&amp;'Raw data'!$L$4:$L$267,0)))</f>
        <v>1.4362820512820513</v>
      </c>
      <c r="P5" s="24">
        <f t="array" ref="P5">IF(P$1="","",INDEX('Raw data'!$V$4:$V$267,MATCH("39 days"&amp;'Wide data'!$A$1&amp;'Wide data'!$A5,'Raw data'!$K$4:$K$267&amp;'Raw data'!$L$2&amp;'Raw data'!$L$4:$L$267,0)))</f>
        <v>1.4837837837837837</v>
      </c>
      <c r="Q5" s="24">
        <f t="array" ref="Q5">IF(Q$1="","",INDEX('Raw data'!$W$4:$W$267,MATCH("14 days"&amp;'Wide data'!$A$1&amp;'Wide data'!$A5,'Raw data'!$K$4:$K$267&amp;'Raw data'!$L$2&amp;'Raw data'!$L$4:$L$267,0)))</f>
        <v>1.1553533939818055</v>
      </c>
      <c r="R5" s="24">
        <f t="array" ref="R5">IF(R$1="","",INDEX('Raw data'!$W$4:$W$267,MATCH("23 days"&amp;'Wide data'!$A$1&amp;'Wide data'!$A5,'Raw data'!$K$4:$K$267&amp;'Raw data'!$L$2&amp;'Raw data'!$L$4:$L$267,0)))</f>
        <v>1.2797709923664125</v>
      </c>
      <c r="S5" s="24">
        <f t="array" ref="S5">IF(S$1="","",INDEX('Raw data'!$W$4:$W$267,MATCH("32 days"&amp;'Wide data'!$A$1&amp;'Wide data'!$A5,'Raw data'!$K$4:$K$267&amp;'Raw data'!$L$2&amp;'Raw data'!$L$4:$L$267,0)))</f>
        <v>1.7807370184254607</v>
      </c>
      <c r="T5" s="24">
        <f t="array" ref="T5">IF(T$1="","",INDEX('Raw data'!$W$4:$W$267,MATCH("39 days"&amp;'Wide data'!$A$1&amp;'Wide data'!$A5,'Raw data'!$K$4:$K$267&amp;'Raw data'!$L$2&amp;'Raw data'!$L$4:$L$267,0)))</f>
        <v>1.7287935656836457</v>
      </c>
      <c r="U5" s="418">
        <f t="array" ref="U5">IF(E$1="","",INDEX('Raw data'!$AN$4:$AN$267,MATCH("Starter"&amp;'Wide data'!$A$1&amp;'Wide data'!$A5,'Raw data'!$AI$4:$AI$267&amp;'Raw data'!$AJ$2&amp;'Raw data'!$AJ$4:$AJ$267,0)))</f>
        <v>0.35871794871794871</v>
      </c>
      <c r="V5" s="418">
        <f t="array" ref="V5">IF(G$1="","",INDEX('Raw data'!$AN$4:$AN$267,MATCH("Grower"&amp;'Wide data'!$A$1&amp;'Wide data'!$A5,'Raw data'!$AI$4:$AI$267&amp;'Raw data'!$AJ$2&amp;'Raw data'!$AJ$4:$AJ$267,0)))</f>
        <v>1.523076923076923</v>
      </c>
      <c r="W5" s="418">
        <f t="array" ref="W5">IF(H$1="","",INDEX('Raw data'!$AN$4:$AN$267,MATCH("Finisher"&amp;'Wide data'!$A$1&amp;'Wide data'!$A5,'Raw data'!$AI$4:$AI$267&amp;'Raw data'!$AJ$2&amp;'Raw data'!$AJ$4:$AJ$267,0)))</f>
        <v>2.3932432432432433</v>
      </c>
      <c r="X5" s="418">
        <f t="array" ref="X5">IF(H$1="","",INDEX('Raw data'!$AP$4:$AP$267,MATCH("Starter"&amp;'Wide data'!$A$1&amp;'Wide data'!$A5,'Raw data'!$AI$4:$AI$267&amp;'Raw data'!$AJ$2&amp;'Raw data'!$AJ$4:$AJ$267,0)))</f>
        <v>0.31276794871794872</v>
      </c>
      <c r="Y5" s="418">
        <f t="array" ref="Y5">IF(J$1="","",INDEX('Raw data'!$AP$4:$AP$267,MATCH("Grower"&amp;'Wide data'!$A$1&amp;'Wide data'!$A5,'Raw data'!$AI$4:$AI$267&amp;'Raw data'!$AJ$2&amp;'Raw data'!$AJ$4:$AJ$267,0)))</f>
        <v>1.1643589743589744</v>
      </c>
      <c r="Z5" s="418">
        <f t="array" ref="Z5">IF(K$1="","",INDEX('Raw data'!$AP$4:$AP$267,MATCH("Finisher"&amp;'Wide data'!$A$1&amp;'Wide data'!$A5,'Raw data'!$AI$4:$AI$267&amp;'Raw data'!$AJ$2&amp;'Raw data'!$AJ$4:$AJ$267,0)))</f>
        <v>0.87016632016632034</v>
      </c>
      <c r="AA5" s="418">
        <f t="array" ref="AA5">IF(K$1="","",INDEX('Raw data'!$AR$4:$AR$267,MATCH("Starter"&amp;'Wide data'!$A$1&amp;'Wide data'!$A5,'Raw data'!$AI$4:$AI$267&amp;'Raw data'!$AJ$2&amp;'Raw data'!$AJ$4:$AJ$267,0)))</f>
        <v>0.42333333333333339</v>
      </c>
      <c r="AB5" s="418">
        <f t="array" ref="AB5">IF(M$1="","",INDEX('Raw data'!$AR$4:$AR$267,MATCH("Grower"&amp;'Wide data'!$A$1&amp;'Wide data'!$A5,'Raw data'!$AI$4:$AI$267&amp;'Raw data'!$AJ$2&amp;'Raw data'!$AJ$4:$AJ$267,0)))</f>
        <v>2.3025641025641024</v>
      </c>
      <c r="AC5" s="418">
        <f t="array" ref="AC5">IF(N$1="","",INDEX('Raw data'!$AR$4:$AR$267,MATCH("Finisher"&amp;'Wide data'!$A$1&amp;'Wide data'!$A5,'Raw data'!$AI$4:$AI$267&amp;'Raw data'!$AJ$2&amp;'Raw data'!$AJ$4:$AJ$267,0)))</f>
        <v>1.4837837837837837</v>
      </c>
      <c r="AD5" s="418">
        <f t="array" ref="AD5">IF(N$1="","",INDEX('Raw data'!$AS$4:$AS$267,MATCH("Starter"&amp;'Wide data'!$A$1&amp;'Wide data'!$A5,'Raw data'!$AI$4:$AI$267&amp;'Raw data'!$AJ$2&amp;'Raw data'!$AJ$4:$AJ$267,0)))</f>
        <v>1.1553533939818055</v>
      </c>
      <c r="AE5" s="418">
        <f t="array" ref="AE5">IF(P$1="","",INDEX('Raw data'!$AS$4:$AS$267,MATCH("Grower"&amp;'Wide data'!$A$1&amp;'Wide data'!$A5,'Raw data'!$AI$4:$AI$267&amp;'Raw data'!$AJ$2&amp;'Raw data'!$AJ$4:$AJ$267,0)))</f>
        <v>1.977537987227483</v>
      </c>
      <c r="AF5" s="418">
        <f t="array" ref="AF5">IF(Q$1="","",INDEX('Raw data'!$AS$4:$AS$267,MATCH("Finisher"&amp;'Wide data'!$A$1&amp;'Wide data'!$A5,'Raw data'!$AI$4:$AI$267&amp;'Raw data'!$AJ$2&amp;'Raw data'!$AJ$4:$AJ$267,0)))</f>
        <v>1.5001576458223853</v>
      </c>
    </row>
    <row r="6" spans="1:32" x14ac:dyDescent="0.25">
      <c r="A6" s="24">
        <f>'Raw data'!L8</f>
        <v>5</v>
      </c>
      <c r="B6" s="24" t="str">
        <f>INDEX('Raw data'!$B$4:$B$69, 'Wide data'!A6)</f>
        <v>T6</v>
      </c>
      <c r="C6" s="24" t="str">
        <f>INDEX('Raw data'!$C$4:$C$69, 'Wide data'!A6)</f>
        <v>R1</v>
      </c>
      <c r="D6" s="24">
        <f t="array" ref="D6">INDEX('Raw data'!$F$4:$F$69,MATCH($A$1&amp;'Wide data'!$A6,'Raw data'!$A$3&amp;'Raw data'!$A$4:$A$69,0))</f>
        <v>4.5925000000000001E-2</v>
      </c>
      <c r="E6" s="24">
        <f t="array" ref="E6">IF(E$1="","",INDEX('Raw data'!$Q$4:$Q$267,MATCH("14 days"&amp;'Wide data'!$A$1&amp;'Wide data'!$A6,'Raw data'!$K$4:$K$267&amp;'Raw data'!$L$2&amp;'Raw data'!$L$4:$L$267,0)))</f>
        <v>0.34350000000000003</v>
      </c>
      <c r="F6" s="24">
        <f t="array" ref="F6">IF(F$1="","",INDEX('Raw data'!$Q$4:$Q$267,MATCH("23 days"&amp;'Wide data'!$A$1&amp;'Wide data'!$A6,'Raw data'!$K$4:$K$267&amp;'Raw data'!$L$2&amp;'Raw data'!$L$4:$L$267,0)))</f>
        <v>0.96625000000000016</v>
      </c>
      <c r="G6" s="24">
        <f t="array" ref="G6">IF(G$1="","",INDEX('Raw data'!$Q$4:$Q$267,MATCH("32 days"&amp;'Wide data'!$A$1&amp;'Wide data'!$A6,'Raw data'!$K$4:$K$267&amp;'Raw data'!$L$2&amp;'Raw data'!$L$4:$L$267,0)))</f>
        <v>1.4717948717948717</v>
      </c>
      <c r="H6" s="24">
        <f t="array" ref="H6">IF(H$1="","",INDEX('Raw data'!$Q$4:$Q$267,MATCH("39 days"&amp;'Wide data'!$A$1&amp;'Wide data'!$A6,'Raw data'!$K$4:$K$267&amp;'Raw data'!$L$2&amp;'Raw data'!$L$4:$L$267,0)))</f>
        <v>2.3628205128205129</v>
      </c>
      <c r="I6" s="24">
        <f t="array" ref="I6">IF(I$1="","",INDEX('Raw data'!$S$4:$S$267,MATCH("14 days"&amp;'Wide data'!$A$1&amp;'Wide data'!$A6,'Raw data'!$K$4:$K$267&amp;'Raw data'!$L$2&amp;'Raw data'!$L$4:$L$267,0)))</f>
        <v>0.29757500000000003</v>
      </c>
      <c r="J6" s="24">
        <f t="array" ref="J6">IF(J$1="","",INDEX('Raw data'!$S$4:$S$267,MATCH("23 days"&amp;'Wide data'!$A$1&amp;'Wide data'!$A6,'Raw data'!$K$4:$K$267&amp;'Raw data'!$L$2&amp;'Raw data'!$L$4:$L$267,0)))</f>
        <v>0.62275000000000014</v>
      </c>
      <c r="K6" s="24">
        <f t="array" ref="K6">IF(K$1="","",INDEX('Raw data'!$S$4:$S$267,MATCH("32 days"&amp;'Wide data'!$A$1&amp;'Wide data'!$A6,'Raw data'!$K$4:$K$267&amp;'Raw data'!$L$2&amp;'Raw data'!$L$4:$L$267,0)))</f>
        <v>0.50554487179487151</v>
      </c>
      <c r="L6" s="24">
        <f t="array" ref="L6">IF(L$1="","",INDEX('Raw data'!$S$4:$S$267,MATCH("39 days"&amp;'Wide data'!$A$1&amp;'Wide data'!$A6,'Raw data'!$K$4:$K$267&amp;'Raw data'!$L$2&amp;'Raw data'!$L$4:$L$267,0)))</f>
        <v>0.89102564102564119</v>
      </c>
      <c r="M6" s="24">
        <f t="array" ref="M6">IF(M$1="","",INDEX('Raw data'!$V$4:$V$267,MATCH("14 days"&amp;'Wide data'!$A$1&amp;'Wide data'!$A6,'Raw data'!$K$4:$K$267&amp;'Raw data'!$L$2&amp;'Raw data'!$L$4:$L$267,0)))</f>
        <v>0.39625000000000005</v>
      </c>
      <c r="N6" s="24">
        <f t="array" ref="N6">IF(N$1="","",INDEX('Raw data'!$V$4:$V$267,MATCH("23 days"&amp;'Wide data'!$A$1&amp;'Wide data'!$A6,'Raw data'!$K$4:$K$267&amp;'Raw data'!$L$2&amp;'Raw data'!$L$4:$L$267,0)))</f>
        <v>0.84462499999999996</v>
      </c>
      <c r="O6" s="24">
        <f t="array" ref="O6">IF(O$1="","",INDEX('Raw data'!$V$4:$V$267,MATCH("32 days"&amp;'Wide data'!$A$1&amp;'Wide data'!$A6,'Raw data'!$K$4:$K$267&amp;'Raw data'!$L$2&amp;'Raw data'!$L$4:$L$267,0)))</f>
        <v>1.4093589743589745</v>
      </c>
      <c r="P6" s="24">
        <f t="array" ref="P6">IF(P$1="","",INDEX('Raw data'!$V$4:$V$267,MATCH("39 days"&amp;'Wide data'!$A$1&amp;'Wide data'!$A6,'Raw data'!$K$4:$K$267&amp;'Raw data'!$L$2&amp;'Raw data'!$L$4:$L$267,0)))</f>
        <v>1.4666666666666668</v>
      </c>
      <c r="Q6" s="24">
        <f t="array" ref="Q6">IF(Q$1="","",INDEX('Raw data'!$W$4:$W$267,MATCH("14 days"&amp;'Wide data'!$A$1&amp;'Wide data'!$A6,'Raw data'!$K$4:$K$267&amp;'Raw data'!$L$2&amp;'Raw data'!$L$4:$L$267,0)))</f>
        <v>1.1535662299854441</v>
      </c>
      <c r="R6" s="24">
        <f t="array" ref="R6">IF(R$1="","",INDEX('Raw data'!$W$4:$W$267,MATCH("23 days"&amp;'Wide data'!$A$1&amp;'Wide data'!$A6,'Raw data'!$K$4:$K$267&amp;'Raw data'!$L$2&amp;'Raw data'!$L$4:$L$267,0)))</f>
        <v>1.2842173350582144</v>
      </c>
      <c r="S6" s="24">
        <f t="array" ref="S6">IF(S$1="","",INDEX('Raw data'!$W$4:$W$267,MATCH("32 days"&amp;'Wide data'!$A$1&amp;'Wide data'!$A6,'Raw data'!$K$4:$K$267&amp;'Raw data'!$L$2&amp;'Raw data'!$L$4:$L$267,0)))</f>
        <v>1.7880341880341879</v>
      </c>
      <c r="T6" s="24">
        <f t="array" ref="T6">IF(T$1="","",INDEX('Raw data'!$W$4:$W$267,MATCH("39 days"&amp;'Wide data'!$A$1&amp;'Wide data'!$A6,'Raw data'!$K$4:$K$267&amp;'Raw data'!$L$2&amp;'Raw data'!$L$4:$L$267,0)))</f>
        <v>1.7351206434316353</v>
      </c>
      <c r="U6" s="418">
        <f t="array" ref="U6">IF(E$1="","",INDEX('Raw data'!$AN$4:$AN$267,MATCH("Starter"&amp;'Wide data'!$A$1&amp;'Wide data'!$A6,'Raw data'!$AI$4:$AI$267&amp;'Raw data'!$AJ$2&amp;'Raw data'!$AJ$4:$AJ$267,0)))</f>
        <v>0.34350000000000003</v>
      </c>
      <c r="V6" s="418">
        <f t="array" ref="V6">IF(G$1="","",INDEX('Raw data'!$AN$4:$AN$267,MATCH("Grower"&amp;'Wide data'!$A$1&amp;'Wide data'!$A6,'Raw data'!$AI$4:$AI$267&amp;'Raw data'!$AJ$2&amp;'Raw data'!$AJ$4:$AJ$267,0)))</f>
        <v>1.4717948717948717</v>
      </c>
      <c r="W6" s="418">
        <f t="array" ref="W6">IF(H$1="","",INDEX('Raw data'!$AN$4:$AN$267,MATCH("Finisher"&amp;'Wide data'!$A$1&amp;'Wide data'!$A6,'Raw data'!$AI$4:$AI$267&amp;'Raw data'!$AJ$2&amp;'Raw data'!$AJ$4:$AJ$267,0)))</f>
        <v>2.3628205128205129</v>
      </c>
      <c r="X6" s="418">
        <f t="array" ref="X6">IF(H$1="","",INDEX('Raw data'!$AP$4:$AP$267,MATCH("Starter"&amp;'Wide data'!$A$1&amp;'Wide data'!$A6,'Raw data'!$AI$4:$AI$267&amp;'Raw data'!$AJ$2&amp;'Raw data'!$AJ$4:$AJ$267,0)))</f>
        <v>0.29757500000000003</v>
      </c>
      <c r="Y6" s="418">
        <f t="array" ref="Y6">IF(J$1="","",INDEX('Raw data'!$AP$4:$AP$267,MATCH("Grower"&amp;'Wide data'!$A$1&amp;'Wide data'!$A6,'Raw data'!$AI$4:$AI$267&amp;'Raw data'!$AJ$2&amp;'Raw data'!$AJ$4:$AJ$267,0)))</f>
        <v>1.1282948717948718</v>
      </c>
      <c r="Z6" s="418">
        <f t="array" ref="Z6">IF(K$1="","",INDEX('Raw data'!$AP$4:$AP$267,MATCH("Finisher"&amp;'Wide data'!$A$1&amp;'Wide data'!$A6,'Raw data'!$AI$4:$AI$267&amp;'Raw data'!$AJ$2&amp;'Raw data'!$AJ$4:$AJ$267,0)))</f>
        <v>0.89102564102564119</v>
      </c>
      <c r="AA6" s="418">
        <f t="array" ref="AA6">IF(K$1="","",INDEX('Raw data'!$AR$4:$AR$267,MATCH("Starter"&amp;'Wide data'!$A$1&amp;'Wide data'!$A6,'Raw data'!$AI$4:$AI$267&amp;'Raw data'!$AJ$2&amp;'Raw data'!$AJ$4:$AJ$267,0)))</f>
        <v>0.39625000000000005</v>
      </c>
      <c r="AB6" s="418">
        <f t="array" ref="AB6">IF(M$1="","",INDEX('Raw data'!$AR$4:$AR$267,MATCH("Grower"&amp;'Wide data'!$A$1&amp;'Wide data'!$A6,'Raw data'!$AI$4:$AI$267&amp;'Raw data'!$AJ$2&amp;'Raw data'!$AJ$4:$AJ$267,0)))</f>
        <v>2.2539839743589747</v>
      </c>
      <c r="AC6" s="418">
        <f t="array" ref="AC6">IF(N$1="","",INDEX('Raw data'!$AR$4:$AR$267,MATCH("Finisher"&amp;'Wide data'!$A$1&amp;'Wide data'!$A6,'Raw data'!$AI$4:$AI$267&amp;'Raw data'!$AJ$2&amp;'Raw data'!$AJ$4:$AJ$267,0)))</f>
        <v>1.4666666666666668</v>
      </c>
      <c r="AD6" s="418">
        <f t="array" ref="AD6">IF(N$1="","",INDEX('Raw data'!$AS$4:$AS$267,MATCH("Starter"&amp;'Wide data'!$A$1&amp;'Wide data'!$A6,'Raw data'!$AI$4:$AI$267&amp;'Raw data'!$AJ$2&amp;'Raw data'!$AJ$4:$AJ$267,0)))</f>
        <v>1.1535662299854441</v>
      </c>
      <c r="AE6" s="418">
        <f t="array" ref="AE6">IF(P$1="","",INDEX('Raw data'!$AS$4:$AS$267,MATCH("Grower"&amp;'Wide data'!$A$1&amp;'Wide data'!$A6,'Raw data'!$AI$4:$AI$267&amp;'Raw data'!$AJ$2&amp;'Raw data'!$AJ$4:$AJ$267,0)))</f>
        <v>1.9408982805281434</v>
      </c>
      <c r="AF6" s="418">
        <f t="array" ref="AF6">IF(Q$1="","",INDEX('Raw data'!$AS$4:$AS$267,MATCH("Finisher"&amp;'Wide data'!$A$1&amp;'Wide data'!$A6,'Raw data'!$AI$4:$AI$267&amp;'Raw data'!$AJ$2&amp;'Raw data'!$AJ$4:$AJ$267,0)))</f>
        <v>1.6460431654676257</v>
      </c>
    </row>
    <row r="7" spans="1:32" x14ac:dyDescent="0.25">
      <c r="A7" s="24">
        <f>'Raw data'!L9</f>
        <v>6</v>
      </c>
      <c r="B7" s="24" t="str">
        <f>INDEX('Raw data'!$B$4:$B$69, 'Wide data'!A7)</f>
        <v>T4</v>
      </c>
      <c r="C7" s="24" t="str">
        <f>INDEX('Raw data'!$C$4:$C$69, 'Wide data'!A7)</f>
        <v>R1</v>
      </c>
      <c r="D7" s="24">
        <f t="array" ref="D7">INDEX('Raw data'!$F$4:$F$69,MATCH($A$1&amp;'Wide data'!$A7,'Raw data'!$A$3&amp;'Raw data'!$A$4:$A$69,0))</f>
        <v>4.5999999999999999E-2</v>
      </c>
      <c r="E7" s="24">
        <f t="array" ref="E7">IF(E$1="","",INDEX('Raw data'!$Q$4:$Q$267,MATCH("14 days"&amp;'Wide data'!$A$1&amp;'Wide data'!$A7,'Raw data'!$K$4:$K$267&amp;'Raw data'!$L$2&amp;'Raw data'!$L$4:$L$267,0)))</f>
        <v>0.3286842105263158</v>
      </c>
      <c r="F7" s="24">
        <f t="array" ref="F7">IF(F$1="","",INDEX('Raw data'!$Q$4:$Q$267,MATCH("23 days"&amp;'Wide data'!$A$1&amp;'Wide data'!$A7,'Raw data'!$K$4:$K$267&amp;'Raw data'!$L$2&amp;'Raw data'!$L$4:$L$267,0)))</f>
        <v>0.9368421052631577</v>
      </c>
      <c r="G7" s="24">
        <f t="array" ref="G7">IF(G$1="","",INDEX('Raw data'!$Q$4:$Q$267,MATCH("32 days"&amp;'Wide data'!$A$1&amp;'Wide data'!$A7,'Raw data'!$K$4:$K$267&amp;'Raw data'!$L$2&amp;'Raw data'!$L$4:$L$267,0)))</f>
        <v>1.3736111111111109</v>
      </c>
      <c r="H7" s="24">
        <f t="array" ref="H7">IF(H$1="","",INDEX('Raw data'!$Q$4:$Q$267,MATCH("39 days"&amp;'Wide data'!$A$1&amp;'Wide data'!$A7,'Raw data'!$K$4:$K$267&amp;'Raw data'!$L$2&amp;'Raw data'!$L$4:$L$267,0)))</f>
        <v>2.1763888888888889</v>
      </c>
      <c r="I7" s="24">
        <f t="array" ref="I7">IF(I$1="","",INDEX('Raw data'!$S$4:$S$267,MATCH("14 days"&amp;'Wide data'!$A$1&amp;'Wide data'!$A7,'Raw data'!$K$4:$K$267&amp;'Raw data'!$L$2&amp;'Raw data'!$L$4:$L$267,0)))</f>
        <v>0.28268421052631582</v>
      </c>
      <c r="J7" s="24">
        <f t="array" ref="J7">IF(J$1="","",INDEX('Raw data'!$S$4:$S$267,MATCH("23 days"&amp;'Wide data'!$A$1&amp;'Wide data'!$A7,'Raw data'!$K$4:$K$267&amp;'Raw data'!$L$2&amp;'Raw data'!$L$4:$L$267,0)))</f>
        <v>0.6081578947368419</v>
      </c>
      <c r="K7" s="24">
        <f t="array" ref="K7">IF(K$1="","",INDEX('Raw data'!$S$4:$S$267,MATCH("32 days"&amp;'Wide data'!$A$1&amp;'Wide data'!$A7,'Raw data'!$K$4:$K$267&amp;'Raw data'!$L$2&amp;'Raw data'!$L$4:$L$267,0)))</f>
        <v>0.4367690058479532</v>
      </c>
      <c r="L7" s="24">
        <f t="array" ref="L7">IF(L$1="","",INDEX('Raw data'!$S$4:$S$267,MATCH("39 days"&amp;'Wide data'!$A$1&amp;'Wide data'!$A7,'Raw data'!$K$4:$K$267&amp;'Raw data'!$L$2&amp;'Raw data'!$L$4:$L$267,0)))</f>
        <v>0.80277777777777803</v>
      </c>
      <c r="M7" s="24">
        <f t="array" ref="M7">IF(M$1="","",INDEX('Raw data'!$V$4:$V$267,MATCH("14 days"&amp;'Wide data'!$A$1&amp;'Wide data'!$A7,'Raw data'!$K$4:$K$267&amp;'Raw data'!$L$2&amp;'Raw data'!$L$4:$L$267,0)))</f>
        <v>0.38947368421052636</v>
      </c>
      <c r="N7" s="24">
        <f t="array" ref="N7">IF(N$1="","",INDEX('Raw data'!$V$4:$V$267,MATCH("23 days"&amp;'Wide data'!$A$1&amp;'Wide data'!$A7,'Raw data'!$K$4:$K$267&amp;'Raw data'!$L$2&amp;'Raw data'!$L$4:$L$267,0)))</f>
        <v>0.84171052631578946</v>
      </c>
      <c r="O7" s="24">
        <f t="array" ref="O7">IF(O$1="","",INDEX('Raw data'!$V$4:$V$267,MATCH("32 days"&amp;'Wide data'!$A$1&amp;'Wide data'!$A7,'Raw data'!$K$4:$K$267&amp;'Raw data'!$L$2&amp;'Raw data'!$L$4:$L$267,0)))</f>
        <v>1.3712500000000001</v>
      </c>
      <c r="P7" s="24">
        <f t="array" ref="P7">IF(P$1="","",INDEX('Raw data'!$V$4:$V$267,MATCH("39 days"&amp;'Wide data'!$A$1&amp;'Wide data'!$A7,'Raw data'!$K$4:$K$267&amp;'Raw data'!$L$2&amp;'Raw data'!$L$4:$L$267,0)))</f>
        <v>1.3666666666666667</v>
      </c>
      <c r="Q7" s="24">
        <f t="array" ref="Q7">IF(Q$1="","",INDEX('Raw data'!$W$4:$W$267,MATCH("14 days"&amp;'Wide data'!$A$1&amp;'Wide data'!$A7,'Raw data'!$K$4:$K$267&amp;'Raw data'!$L$2&amp;'Raw data'!$L$4:$L$267,0)))</f>
        <v>1.1564306922956713</v>
      </c>
      <c r="R7" s="24">
        <f t="array" ref="R7">IF(R$1="","",INDEX('Raw data'!$W$4:$W$267,MATCH("23 days"&amp;'Wide data'!$A$1&amp;'Wide data'!$A7,'Raw data'!$K$4:$K$267&amp;'Raw data'!$L$2&amp;'Raw data'!$L$4:$L$267,0)))</f>
        <v>1.3029129998886044</v>
      </c>
      <c r="S7" s="24">
        <f t="array" ref="S7">IF(S$1="","",INDEX('Raw data'!$W$4:$W$267,MATCH("32 days"&amp;'Wide data'!$A$1&amp;'Wide data'!$A7,'Raw data'!$K$4:$K$267&amp;'Raw data'!$L$2&amp;'Raw data'!$L$4:$L$267,0)))</f>
        <v>1.8501770320197044</v>
      </c>
      <c r="T7" s="24">
        <f t="array" ref="T7">IF(T$1="","",INDEX('Raw data'!$W$4:$W$267,MATCH("39 days"&amp;'Wide data'!$A$1&amp;'Wide data'!$A7,'Raw data'!$K$4:$K$267&amp;'Raw data'!$L$2&amp;'Raw data'!$L$4:$L$267,0)))</f>
        <v>1.7973734975515658</v>
      </c>
      <c r="U7" s="418">
        <f t="array" ref="U7">IF(E$1="","",INDEX('Raw data'!$AN$4:$AN$267,MATCH("Starter"&amp;'Wide data'!$A$1&amp;'Wide data'!$A7,'Raw data'!$AI$4:$AI$267&amp;'Raw data'!$AJ$2&amp;'Raw data'!$AJ$4:$AJ$267,0)))</f>
        <v>0.3286842105263158</v>
      </c>
      <c r="V7" s="418">
        <f t="array" ref="V7">IF(G$1="","",INDEX('Raw data'!$AN$4:$AN$267,MATCH("Grower"&amp;'Wide data'!$A$1&amp;'Wide data'!$A7,'Raw data'!$AI$4:$AI$267&amp;'Raw data'!$AJ$2&amp;'Raw data'!$AJ$4:$AJ$267,0)))</f>
        <v>1.3736111111111109</v>
      </c>
      <c r="W7" s="418">
        <f t="array" ref="W7">IF(H$1="","",INDEX('Raw data'!$AN$4:$AN$267,MATCH("Finisher"&amp;'Wide data'!$A$1&amp;'Wide data'!$A7,'Raw data'!$AI$4:$AI$267&amp;'Raw data'!$AJ$2&amp;'Raw data'!$AJ$4:$AJ$267,0)))</f>
        <v>2.1763888888888889</v>
      </c>
      <c r="X7" s="418">
        <f t="array" ref="X7">IF(H$1="","",INDEX('Raw data'!$AP$4:$AP$267,MATCH("Starter"&amp;'Wide data'!$A$1&amp;'Wide data'!$A7,'Raw data'!$AI$4:$AI$267&amp;'Raw data'!$AJ$2&amp;'Raw data'!$AJ$4:$AJ$267,0)))</f>
        <v>0.28268421052631582</v>
      </c>
      <c r="Y7" s="418">
        <f t="array" ref="Y7">IF(J$1="","",INDEX('Raw data'!$AP$4:$AP$267,MATCH("Grower"&amp;'Wide data'!$A$1&amp;'Wide data'!$A7,'Raw data'!$AI$4:$AI$267&amp;'Raw data'!$AJ$2&amp;'Raw data'!$AJ$4:$AJ$267,0)))</f>
        <v>1.044926900584795</v>
      </c>
      <c r="Z7" s="418">
        <f t="array" ref="Z7">IF(K$1="","",INDEX('Raw data'!$AP$4:$AP$267,MATCH("Finisher"&amp;'Wide data'!$A$1&amp;'Wide data'!$A7,'Raw data'!$AI$4:$AI$267&amp;'Raw data'!$AJ$2&amp;'Raw data'!$AJ$4:$AJ$267,0)))</f>
        <v>0.80277777777777803</v>
      </c>
      <c r="AA7" s="418">
        <f t="array" ref="AA7">IF(K$1="","",INDEX('Raw data'!$AR$4:$AR$267,MATCH("Starter"&amp;'Wide data'!$A$1&amp;'Wide data'!$A7,'Raw data'!$AI$4:$AI$267&amp;'Raw data'!$AJ$2&amp;'Raw data'!$AJ$4:$AJ$267,0)))</f>
        <v>0.38947368421052636</v>
      </c>
      <c r="AB7" s="418">
        <f t="array" ref="AB7">IF(M$1="","",INDEX('Raw data'!$AR$4:$AR$267,MATCH("Grower"&amp;'Wide data'!$A$1&amp;'Wide data'!$A7,'Raw data'!$AI$4:$AI$267&amp;'Raw data'!$AJ$2&amp;'Raw data'!$AJ$4:$AJ$267,0)))</f>
        <v>2.2129605263157894</v>
      </c>
      <c r="AC7" s="418">
        <f t="array" ref="AC7">IF(N$1="","",INDEX('Raw data'!$AR$4:$AR$267,MATCH("Finisher"&amp;'Wide data'!$A$1&amp;'Wide data'!$A7,'Raw data'!$AI$4:$AI$267&amp;'Raw data'!$AJ$2&amp;'Raw data'!$AJ$4:$AJ$267,0)))</f>
        <v>1.3666666666666667</v>
      </c>
      <c r="AD7" s="418">
        <f t="array" ref="AD7">IF(N$1="","",INDEX('Raw data'!$AS$4:$AS$267,MATCH("Starter"&amp;'Wide data'!$A$1&amp;'Wide data'!$A7,'Raw data'!$AI$4:$AI$267&amp;'Raw data'!$AJ$2&amp;'Raw data'!$AJ$4:$AJ$267,0)))</f>
        <v>1.1564306922956713</v>
      </c>
      <c r="AE7" s="418">
        <f t="array" ref="AE7">IF(P$1="","",INDEX('Raw data'!$AS$4:$AS$267,MATCH("Grower"&amp;'Wide data'!$A$1&amp;'Wide data'!$A7,'Raw data'!$AI$4:$AI$267&amp;'Raw data'!$AJ$2&amp;'Raw data'!$AJ$4:$AJ$267,0)))</f>
        <v>1.9820345459907931</v>
      </c>
      <c r="AF7" s="418">
        <f t="array" ref="AF7">IF(Q$1="","",INDEX('Raw data'!$AS$4:$AS$267,MATCH("Finisher"&amp;'Wide data'!$A$1&amp;'Wide data'!$A7,'Raw data'!$AI$4:$AI$267&amp;'Raw data'!$AJ$2&amp;'Raw data'!$AJ$4:$AJ$267,0)))</f>
        <v>1.7024221453287194</v>
      </c>
    </row>
    <row r="8" spans="1:32" x14ac:dyDescent="0.25">
      <c r="A8" s="24">
        <f>'Raw data'!L10</f>
        <v>7</v>
      </c>
      <c r="B8" s="24" t="str">
        <f>INDEX('Raw data'!$B$4:$B$69, 'Wide data'!A8)</f>
        <v>T2</v>
      </c>
      <c r="C8" s="24" t="str">
        <f>INDEX('Raw data'!$C$4:$C$69, 'Wide data'!A8)</f>
        <v>R1</v>
      </c>
      <c r="D8" s="24">
        <f t="array" ref="D8">INDEX('Raw data'!$F$4:$F$69,MATCH($A$1&amp;'Wide data'!$A8,'Raw data'!$A$3&amp;'Raw data'!$A$4:$A$69,0))</f>
        <v>4.5850000000000002E-2</v>
      </c>
      <c r="E8" s="24">
        <f t="array" ref="E8">IF(E$1="","",INDEX('Raw data'!$Q$4:$Q$267,MATCH("14 days"&amp;'Wide data'!$A$1&amp;'Wide data'!$A8,'Raw data'!$K$4:$K$267&amp;'Raw data'!$L$2&amp;'Raw data'!$L$4:$L$267,0)))</f>
        <v>0.36000000000000004</v>
      </c>
      <c r="F8" s="24">
        <f t="array" ref="F8">IF(F$1="","",INDEX('Raw data'!$Q$4:$Q$267,MATCH("23 days"&amp;'Wide data'!$A$1&amp;'Wide data'!$A8,'Raw data'!$K$4:$K$267&amp;'Raw data'!$L$2&amp;'Raw data'!$L$4:$L$267,0)))</f>
        <v>0.99358974358974361</v>
      </c>
      <c r="G8" s="24">
        <f t="array" ref="G8">IF(G$1="","",INDEX('Raw data'!$Q$4:$Q$267,MATCH("32 days"&amp;'Wide data'!$A$1&amp;'Wide data'!$A8,'Raw data'!$K$4:$K$267&amp;'Raw data'!$L$2&amp;'Raw data'!$L$4:$L$267,0)))</f>
        <v>1.5276315789473685</v>
      </c>
      <c r="H8" s="24">
        <f t="array" ref="H8">IF(H$1="","",INDEX('Raw data'!$Q$4:$Q$267,MATCH("39 days"&amp;'Wide data'!$A$1&amp;'Wide data'!$A8,'Raw data'!$K$4:$K$267&amp;'Raw data'!$L$2&amp;'Raw data'!$L$4:$L$267,0)))</f>
        <v>2.3131578947368423</v>
      </c>
      <c r="I8" s="24">
        <f t="array" ref="I8">IF(I$1="","",INDEX('Raw data'!$S$4:$S$267,MATCH("14 days"&amp;'Wide data'!$A$1&amp;'Wide data'!$A8,'Raw data'!$K$4:$K$267&amp;'Raw data'!$L$2&amp;'Raw data'!$L$4:$L$267,0)))</f>
        <v>0.31415000000000004</v>
      </c>
      <c r="J8" s="24">
        <f t="array" ref="J8">IF(J$1="","",INDEX('Raw data'!$S$4:$S$267,MATCH("23 days"&amp;'Wide data'!$A$1&amp;'Wide data'!$A8,'Raw data'!$K$4:$K$267&amp;'Raw data'!$L$2&amp;'Raw data'!$L$4:$L$267,0)))</f>
        <v>0.63358974358974351</v>
      </c>
      <c r="K8" s="24">
        <f t="array" ref="K8">IF(K$1="","",INDEX('Raw data'!$S$4:$S$267,MATCH("32 days"&amp;'Wide data'!$A$1&amp;'Wide data'!$A8,'Raw data'!$K$4:$K$267&amp;'Raw data'!$L$2&amp;'Raw data'!$L$4:$L$267,0)))</f>
        <v>0.53404183535762484</v>
      </c>
      <c r="L8" s="24">
        <f t="array" ref="L8">IF(L$1="","",INDEX('Raw data'!$S$4:$S$267,MATCH("39 days"&amp;'Wide data'!$A$1&amp;'Wide data'!$A8,'Raw data'!$K$4:$K$267&amp;'Raw data'!$L$2&amp;'Raw data'!$L$4:$L$267,0)))</f>
        <v>0.78552631578947385</v>
      </c>
      <c r="M8" s="24">
        <f t="array" ref="M8">IF(M$1="","",INDEX('Raw data'!$V$4:$V$267,MATCH("14 days"&amp;'Wide data'!$A$1&amp;'Wide data'!$A8,'Raw data'!$K$4:$K$267&amp;'Raw data'!$L$2&amp;'Raw data'!$L$4:$L$267,0)))</f>
        <v>0.41025641025641019</v>
      </c>
      <c r="N8" s="24">
        <f t="array" ref="N8">IF(N$1="","",INDEX('Raw data'!$V$4:$V$267,MATCH("23 days"&amp;'Wide data'!$A$1&amp;'Wide data'!$A8,'Raw data'!$K$4:$K$267&amp;'Raw data'!$L$2&amp;'Raw data'!$L$4:$L$267,0)))</f>
        <v>0.84833333333333338</v>
      </c>
      <c r="O8" s="24">
        <f t="array" ref="O8">IF(O$1="","",INDEX('Raw data'!$V$4:$V$267,MATCH("32 days"&amp;'Wide data'!$A$1&amp;'Wide data'!$A8,'Raw data'!$K$4:$K$267&amp;'Raw data'!$L$2&amp;'Raw data'!$L$4:$L$267,0)))</f>
        <v>1.4398684210526316</v>
      </c>
      <c r="P8" s="24">
        <f t="array" ref="P8">IF(P$1="","",INDEX('Raw data'!$V$4:$V$267,MATCH("39 days"&amp;'Wide data'!$A$1&amp;'Wide data'!$A8,'Raw data'!$K$4:$K$267&amp;'Raw data'!$L$2&amp;'Raw data'!$L$4:$L$267,0)))</f>
        <v>1.3736842105263158</v>
      </c>
      <c r="Q8" s="24">
        <f t="array" ref="Q8">IF(Q$1="","",INDEX('Raw data'!$W$4:$W$267,MATCH("14 days"&amp;'Wide data'!$A$1&amp;'Wide data'!$A8,'Raw data'!$K$4:$K$267&amp;'Raw data'!$L$2&amp;'Raw data'!$L$4:$L$267,0)))</f>
        <v>1.1345103878607385</v>
      </c>
      <c r="R8" s="24">
        <f t="array" ref="R8">IF(R$1="","",INDEX('Raw data'!$W$4:$W$267,MATCH("23 days"&amp;'Wide data'!$A$1&amp;'Wide data'!$A8,'Raw data'!$K$4:$K$267&amp;'Raw data'!$L$2&amp;'Raw data'!$L$4:$L$267,0)))</f>
        <v>1.264653595444825</v>
      </c>
      <c r="S8" s="24">
        <f t="array" ref="S8">IF(S$1="","",INDEX('Raw data'!$W$4:$W$267,MATCH("32 days"&amp;'Wide data'!$A$1&amp;'Wide data'!$A8,'Raw data'!$K$4:$K$267&amp;'Raw data'!$L$2&amp;'Raw data'!$L$4:$L$267,0)))</f>
        <v>1.7544749252066327</v>
      </c>
      <c r="T8" s="24">
        <f t="array" ref="T8">IF(T$1="","",INDEX('Raw data'!$W$4:$W$267,MATCH("39 days"&amp;'Wide data'!$A$1&amp;'Wide data'!$A8,'Raw data'!$K$4:$K$267&amp;'Raw data'!$L$2&amp;'Raw data'!$L$4:$L$267,0)))</f>
        <v>1.7525529978767145</v>
      </c>
      <c r="U8" s="418">
        <f t="array" ref="U8">IF(E$1="","",INDEX('Raw data'!$AN$4:$AN$267,MATCH("Starter"&amp;'Wide data'!$A$1&amp;'Wide data'!$A8,'Raw data'!$AI$4:$AI$267&amp;'Raw data'!$AJ$2&amp;'Raw data'!$AJ$4:$AJ$267,0)))</f>
        <v>0.36000000000000004</v>
      </c>
      <c r="V8" s="418">
        <f t="array" ref="V8">IF(G$1="","",INDEX('Raw data'!$AN$4:$AN$267,MATCH("Grower"&amp;'Wide data'!$A$1&amp;'Wide data'!$A8,'Raw data'!$AI$4:$AI$267&amp;'Raw data'!$AJ$2&amp;'Raw data'!$AJ$4:$AJ$267,0)))</f>
        <v>1.5276315789473685</v>
      </c>
      <c r="W8" s="418">
        <f t="array" ref="W8">IF(H$1="","",INDEX('Raw data'!$AN$4:$AN$267,MATCH("Finisher"&amp;'Wide data'!$A$1&amp;'Wide data'!$A8,'Raw data'!$AI$4:$AI$267&amp;'Raw data'!$AJ$2&amp;'Raw data'!$AJ$4:$AJ$267,0)))</f>
        <v>2.3131578947368423</v>
      </c>
      <c r="X8" s="418">
        <f t="array" ref="X8">IF(H$1="","",INDEX('Raw data'!$AP$4:$AP$267,MATCH("Starter"&amp;'Wide data'!$A$1&amp;'Wide data'!$A8,'Raw data'!$AI$4:$AI$267&amp;'Raw data'!$AJ$2&amp;'Raw data'!$AJ$4:$AJ$267,0)))</f>
        <v>0.31415000000000004</v>
      </c>
      <c r="Y8" s="418">
        <f t="array" ref="Y8">IF(J$1="","",INDEX('Raw data'!$AP$4:$AP$267,MATCH("Grower"&amp;'Wide data'!$A$1&amp;'Wide data'!$A8,'Raw data'!$AI$4:$AI$267&amp;'Raw data'!$AJ$2&amp;'Raw data'!$AJ$4:$AJ$267,0)))</f>
        <v>1.1676315789473684</v>
      </c>
      <c r="Z8" s="418">
        <f t="array" ref="Z8">IF(K$1="","",INDEX('Raw data'!$AP$4:$AP$267,MATCH("Finisher"&amp;'Wide data'!$A$1&amp;'Wide data'!$A8,'Raw data'!$AI$4:$AI$267&amp;'Raw data'!$AJ$2&amp;'Raw data'!$AJ$4:$AJ$267,0)))</f>
        <v>0.78552631578947385</v>
      </c>
      <c r="AA8" s="418">
        <f t="array" ref="AA8">IF(K$1="","",INDEX('Raw data'!$AR$4:$AR$267,MATCH("Starter"&amp;'Wide data'!$A$1&amp;'Wide data'!$A8,'Raw data'!$AI$4:$AI$267&amp;'Raw data'!$AJ$2&amp;'Raw data'!$AJ$4:$AJ$267,0)))</f>
        <v>0.41025641025641019</v>
      </c>
      <c r="AB8" s="418">
        <f t="array" ref="AB8">IF(M$1="","",INDEX('Raw data'!$AR$4:$AR$267,MATCH("Grower"&amp;'Wide data'!$A$1&amp;'Wide data'!$A8,'Raw data'!$AI$4:$AI$267&amp;'Raw data'!$AJ$2&amp;'Raw data'!$AJ$4:$AJ$267,0)))</f>
        <v>2.2882017543859652</v>
      </c>
      <c r="AC8" s="418">
        <f t="array" ref="AC8">IF(N$1="","",INDEX('Raw data'!$AR$4:$AR$267,MATCH("Finisher"&amp;'Wide data'!$A$1&amp;'Wide data'!$A8,'Raw data'!$AI$4:$AI$267&amp;'Raw data'!$AJ$2&amp;'Raw data'!$AJ$4:$AJ$267,0)))</f>
        <v>1.3736842105263158</v>
      </c>
      <c r="AD8" s="418">
        <f t="array" ref="AD8">IF(N$1="","",INDEX('Raw data'!$AS$4:$AS$267,MATCH("Starter"&amp;'Wide data'!$A$1&amp;'Wide data'!$A8,'Raw data'!$AI$4:$AI$267&amp;'Raw data'!$AJ$2&amp;'Raw data'!$AJ$4:$AJ$267,0)))</f>
        <v>1.1345103878607385</v>
      </c>
      <c r="AE8" s="418">
        <f t="array" ref="AE8">IF(P$1="","",INDEX('Raw data'!$AS$4:$AS$267,MATCH("Grower"&amp;'Wide data'!$A$1&amp;'Wide data'!$A8,'Raw data'!$AI$4:$AI$267&amp;'Raw data'!$AJ$2&amp;'Raw data'!$AJ$4:$AJ$267,0)))</f>
        <v>1.9064746198687152</v>
      </c>
      <c r="AF8" s="418">
        <f t="array" ref="AF8">IF(Q$1="","",INDEX('Raw data'!$AS$4:$AS$267,MATCH("Finisher"&amp;'Wide data'!$A$1&amp;'Wide data'!$A8,'Raw data'!$AI$4:$AI$267&amp;'Raw data'!$AJ$2&amp;'Raw data'!$AJ$4:$AJ$267,0)))</f>
        <v>1.7487437185929646</v>
      </c>
    </row>
    <row r="9" spans="1:32" x14ac:dyDescent="0.25">
      <c r="A9" s="24">
        <f>'Raw data'!L11</f>
        <v>8</v>
      </c>
      <c r="B9" s="24" t="str">
        <f>INDEX('Raw data'!$B$4:$B$69, 'Wide data'!A9)</f>
        <v>T1</v>
      </c>
      <c r="C9" s="24" t="str">
        <f>INDEX('Raw data'!$C$4:$C$69, 'Wide data'!A9)</f>
        <v>R1</v>
      </c>
      <c r="D9" s="24">
        <f t="array" ref="D9">INDEX('Raw data'!$F$4:$F$69,MATCH($A$1&amp;'Wide data'!$A9,'Raw data'!$A$3&amp;'Raw data'!$A$4:$A$69,0))</f>
        <v>4.5850000000000002E-2</v>
      </c>
      <c r="E9" s="24">
        <f t="array" ref="E9">IF(E$1="","",INDEX('Raw data'!$Q$4:$Q$267,MATCH("14 days"&amp;'Wide data'!$A$1&amp;'Wide data'!$A9,'Raw data'!$K$4:$K$267&amp;'Raw data'!$L$2&amp;'Raw data'!$L$4:$L$267,0)))</f>
        <v>0.34974358974358971</v>
      </c>
      <c r="F9" s="24">
        <f t="array" ref="F9">IF(F$1="","",INDEX('Raw data'!$Q$4:$Q$267,MATCH("23 days"&amp;'Wide data'!$A$1&amp;'Wide data'!$A9,'Raw data'!$K$4:$K$267&amp;'Raw data'!$L$2&amp;'Raw data'!$L$4:$L$267,0)))</f>
        <v>0.96923076923076912</v>
      </c>
      <c r="G9" s="24">
        <f t="array" ref="G9">IF(G$1="","",INDEX('Raw data'!$Q$4:$Q$267,MATCH("32 days"&amp;'Wide data'!$A$1&amp;'Wide data'!$A9,'Raw data'!$K$4:$K$267&amp;'Raw data'!$L$2&amp;'Raw data'!$L$4:$L$267,0)))</f>
        <v>1.4223684210526315</v>
      </c>
      <c r="H9" s="24">
        <f t="array" ref="H9">IF(H$1="","",INDEX('Raw data'!$Q$4:$Q$267,MATCH("39 days"&amp;'Wide data'!$A$1&amp;'Wide data'!$A9,'Raw data'!$K$4:$K$267&amp;'Raw data'!$L$2&amp;'Raw data'!$L$4:$L$267,0)))</f>
        <v>2.2458333333333331</v>
      </c>
      <c r="I9" s="24">
        <f t="array" ref="I9">IF(I$1="","",INDEX('Raw data'!$S$4:$S$267,MATCH("14 days"&amp;'Wide data'!$A$1&amp;'Wide data'!$A9,'Raw data'!$K$4:$K$267&amp;'Raw data'!$L$2&amp;'Raw data'!$L$4:$L$267,0)))</f>
        <v>0.30389358974358971</v>
      </c>
      <c r="J9" s="24">
        <f t="array" ref="J9">IF(J$1="","",INDEX('Raw data'!$S$4:$S$267,MATCH("23 days"&amp;'Wide data'!$A$1&amp;'Wide data'!$A9,'Raw data'!$K$4:$K$267&amp;'Raw data'!$L$2&amp;'Raw data'!$L$4:$L$267,0)))</f>
        <v>0.61948717948717946</v>
      </c>
      <c r="K9" s="24">
        <f t="array" ref="K9">IF(K$1="","",INDEX('Raw data'!$S$4:$S$267,MATCH("32 days"&amp;'Wide data'!$A$1&amp;'Wide data'!$A9,'Raw data'!$K$4:$K$267&amp;'Raw data'!$L$2&amp;'Raw data'!$L$4:$L$267,0)))</f>
        <v>0.45313765182186239</v>
      </c>
      <c r="L9" s="24">
        <f t="array" ref="L9">IF(L$1="","",INDEX('Raw data'!$S$4:$S$267,MATCH("39 days"&amp;'Wide data'!$A$1&amp;'Wide data'!$A9,'Raw data'!$K$4:$K$267&amp;'Raw data'!$L$2&amp;'Raw data'!$L$4:$L$267,0)))</f>
        <v>0.82346491228070162</v>
      </c>
      <c r="M9" s="24">
        <f t="array" ref="M9">IF(M$1="","",INDEX('Raw data'!$V$4:$V$267,MATCH("14 days"&amp;'Wide data'!$A$1&amp;'Wide data'!$A9,'Raw data'!$K$4:$K$267&amp;'Raw data'!$L$2&amp;'Raw data'!$L$4:$L$267,0)))</f>
        <v>0.4012820512820513</v>
      </c>
      <c r="N9" s="24">
        <f t="array" ref="N9">IF(N$1="","",INDEX('Raw data'!$V$4:$V$267,MATCH("23 days"&amp;'Wide data'!$A$1&amp;'Wide data'!$A9,'Raw data'!$K$4:$K$267&amp;'Raw data'!$L$2&amp;'Raw data'!$L$4:$L$267,0)))</f>
        <v>0.83935897435897433</v>
      </c>
      <c r="O9" s="24">
        <f t="array" ref="O9">IF(O$1="","",INDEX('Raw data'!$V$4:$V$267,MATCH("32 days"&amp;'Wide data'!$A$1&amp;'Wide data'!$A9,'Raw data'!$K$4:$K$267&amp;'Raw data'!$L$2&amp;'Raw data'!$L$4:$L$267,0)))</f>
        <v>1.3556578947368421</v>
      </c>
      <c r="P9" s="24">
        <f t="array" ref="P9">IF(P$1="","",INDEX('Raw data'!$V$4:$V$267,MATCH("39 days"&amp;'Wide data'!$A$1&amp;'Wide data'!$A9,'Raw data'!$K$4:$K$267&amp;'Raw data'!$L$2&amp;'Raw data'!$L$4:$L$267,0)))</f>
        <v>1.4597222222222221</v>
      </c>
      <c r="Q9" s="24">
        <f t="array" ref="Q9">IF(Q$1="","",INDEX('Raw data'!$W$4:$W$267,MATCH("14 days"&amp;'Wide data'!$A$1&amp;'Wide data'!$A9,'Raw data'!$K$4:$K$267&amp;'Raw data'!$L$2&amp;'Raw data'!$L$4:$L$267,0)))</f>
        <v>1.1333188500253459</v>
      </c>
      <c r="R9" s="24">
        <f t="array" ref="R9">IF(R$1="","",INDEX('Raw data'!$W$4:$W$267,MATCH("23 days"&amp;'Wide data'!$A$1&amp;'Wide data'!$A9,'Raw data'!$K$4:$K$267&amp;'Raw data'!$L$2&amp;'Raw data'!$L$4:$L$267,0)))</f>
        <v>1.2743290579156681</v>
      </c>
      <c r="S9" s="24">
        <f t="array" ref="S9">IF(S$1="","",INDEX('Raw data'!$W$4:$W$267,MATCH("32 days"&amp;'Wide data'!$A$1&amp;'Wide data'!$A9,'Raw data'!$K$4:$K$267&amp;'Raw data'!$L$2&amp;'Raw data'!$L$4:$L$267,0)))</f>
        <v>1.8173879823173065</v>
      </c>
      <c r="T9" s="24">
        <f t="array" ref="T9">IF(T$1="","",INDEX('Raw data'!$W$4:$W$267,MATCH("39 days"&amp;'Wide data'!$A$1&amp;'Wide data'!$A9,'Raw data'!$K$4:$K$267&amp;'Raw data'!$L$2&amp;'Raw data'!$L$4:$L$267,0)))</f>
        <v>1.7726331945768705</v>
      </c>
      <c r="U9" s="418">
        <f t="array" ref="U9">IF(E$1="","",INDEX('Raw data'!$AN$4:$AN$267,MATCH("Starter"&amp;'Wide data'!$A$1&amp;'Wide data'!$A9,'Raw data'!$AI$4:$AI$267&amp;'Raw data'!$AJ$2&amp;'Raw data'!$AJ$4:$AJ$267,0)))</f>
        <v>0.34974358974358971</v>
      </c>
      <c r="V9" s="418">
        <f t="array" ref="V9">IF(G$1="","",INDEX('Raw data'!$AN$4:$AN$267,MATCH("Grower"&amp;'Wide data'!$A$1&amp;'Wide data'!$A9,'Raw data'!$AI$4:$AI$267&amp;'Raw data'!$AJ$2&amp;'Raw data'!$AJ$4:$AJ$267,0)))</f>
        <v>1.4223684210526315</v>
      </c>
      <c r="W9" s="418">
        <f t="array" ref="W9">IF(H$1="","",INDEX('Raw data'!$AN$4:$AN$267,MATCH("Finisher"&amp;'Wide data'!$A$1&amp;'Wide data'!$A9,'Raw data'!$AI$4:$AI$267&amp;'Raw data'!$AJ$2&amp;'Raw data'!$AJ$4:$AJ$267,0)))</f>
        <v>2.2458333333333331</v>
      </c>
      <c r="X9" s="418">
        <f t="array" ref="X9">IF(H$1="","",INDEX('Raw data'!$AP$4:$AP$267,MATCH("Starter"&amp;'Wide data'!$A$1&amp;'Wide data'!$A9,'Raw data'!$AI$4:$AI$267&amp;'Raw data'!$AJ$2&amp;'Raw data'!$AJ$4:$AJ$267,0)))</f>
        <v>0.30389358974358971</v>
      </c>
      <c r="Y9" s="418">
        <f t="array" ref="Y9">IF(J$1="","",INDEX('Raw data'!$AP$4:$AP$267,MATCH("Grower"&amp;'Wide data'!$A$1&amp;'Wide data'!$A9,'Raw data'!$AI$4:$AI$267&amp;'Raw data'!$AJ$2&amp;'Raw data'!$AJ$4:$AJ$267,0)))</f>
        <v>1.0726248313090418</v>
      </c>
      <c r="Z9" s="418">
        <f t="array" ref="Z9">IF(K$1="","",INDEX('Raw data'!$AP$4:$AP$267,MATCH("Finisher"&amp;'Wide data'!$A$1&amp;'Wide data'!$A9,'Raw data'!$AI$4:$AI$267&amp;'Raw data'!$AJ$2&amp;'Raw data'!$AJ$4:$AJ$267,0)))</f>
        <v>0.82346491228070162</v>
      </c>
      <c r="AA9" s="418">
        <f t="array" ref="AA9">IF(K$1="","",INDEX('Raw data'!$AR$4:$AR$267,MATCH("Starter"&amp;'Wide data'!$A$1&amp;'Wide data'!$A9,'Raw data'!$AI$4:$AI$267&amp;'Raw data'!$AJ$2&amp;'Raw data'!$AJ$4:$AJ$267,0)))</f>
        <v>0.4012820512820513</v>
      </c>
      <c r="AB9" s="418">
        <f t="array" ref="AB9">IF(M$1="","",INDEX('Raw data'!$AR$4:$AR$267,MATCH("Grower"&amp;'Wide data'!$A$1&amp;'Wide data'!$A9,'Raw data'!$AI$4:$AI$267&amp;'Raw data'!$AJ$2&amp;'Raw data'!$AJ$4:$AJ$267,0)))</f>
        <v>2.1950168690958165</v>
      </c>
      <c r="AC9" s="418">
        <f t="array" ref="AC9">IF(N$1="","",INDEX('Raw data'!$AR$4:$AR$267,MATCH("Finisher"&amp;'Wide data'!$A$1&amp;'Wide data'!$A9,'Raw data'!$AI$4:$AI$267&amp;'Raw data'!$AJ$2&amp;'Raw data'!$AJ$4:$AJ$267,0)))</f>
        <v>1.4597222222222221</v>
      </c>
      <c r="AD9" s="418">
        <f t="array" ref="AD9">IF(N$1="","",INDEX('Raw data'!$AS$4:$AS$267,MATCH("Starter"&amp;'Wide data'!$A$1&amp;'Wide data'!$A9,'Raw data'!$AI$4:$AI$267&amp;'Raw data'!$AJ$2&amp;'Raw data'!$AJ$4:$AJ$267,0)))</f>
        <v>1.1333188500253459</v>
      </c>
      <c r="AE9" s="418">
        <f t="array" ref="AE9">IF(P$1="","",INDEX('Raw data'!$AS$4:$AS$267,MATCH("Grower"&amp;'Wide data'!$A$1&amp;'Wide data'!$A9,'Raw data'!$AI$4:$AI$267&amp;'Raw data'!$AJ$2&amp;'Raw data'!$AJ$4:$AJ$267,0)))</f>
        <v>1.9997991527899501</v>
      </c>
      <c r="AF9" s="418">
        <f t="array" ref="AF9">IF(Q$1="","",INDEX('Raw data'!$AS$4:$AS$267,MATCH("Finisher"&amp;'Wide data'!$A$1&amp;'Wide data'!$A9,'Raw data'!$AI$4:$AI$267&amp;'Raw data'!$AJ$2&amp;'Raw data'!$AJ$4:$AJ$267,0)))</f>
        <v>1.5511661904961651</v>
      </c>
    </row>
    <row r="10" spans="1:32" x14ac:dyDescent="0.25">
      <c r="A10" s="24">
        <f>'Raw data'!L12</f>
        <v>9</v>
      </c>
      <c r="B10" s="24" t="str">
        <f>INDEX('Raw data'!$B$4:$B$69, 'Wide data'!A10)</f>
        <v>T4</v>
      </c>
      <c r="C10" s="24" t="str">
        <f>INDEX('Raw data'!$C$4:$C$69, 'Wide data'!A10)</f>
        <v>R2</v>
      </c>
      <c r="D10" s="24">
        <f t="array" ref="D10">INDEX('Raw data'!$F$4:$F$69,MATCH($A$1&amp;'Wide data'!$A10,'Raw data'!$A$3&amp;'Raw data'!$A$4:$A$69,0))</f>
        <v>4.5975000000000002E-2</v>
      </c>
      <c r="E10" s="24">
        <f t="array" ref="E10">IF(E$1="","",INDEX('Raw data'!$Q$4:$Q$267,MATCH("14 days"&amp;'Wide data'!$A$1&amp;'Wide data'!$A10,'Raw data'!$K$4:$K$267&amp;'Raw data'!$L$2&amp;'Raw data'!$L$4:$L$267,0)))</f>
        <v>0.32474999999999998</v>
      </c>
      <c r="F10" s="24">
        <f t="array" ref="F10">IF(F$1="","",INDEX('Raw data'!$Q$4:$Q$267,MATCH("23 days"&amp;'Wide data'!$A$1&amp;'Wide data'!$A10,'Raw data'!$K$4:$K$267&amp;'Raw data'!$L$2&amp;'Raw data'!$L$4:$L$267,0)))</f>
        <v>0.90749999999999997</v>
      </c>
      <c r="G10" s="24">
        <f t="array" ref="G10">IF(G$1="","",INDEX('Raw data'!$Q$4:$Q$267,MATCH("32 days"&amp;'Wide data'!$A$1&amp;'Wide data'!$A10,'Raw data'!$K$4:$K$267&amp;'Raw data'!$L$2&amp;'Raw data'!$L$4:$L$267,0)))</f>
        <v>1.367948717948718</v>
      </c>
      <c r="H10" s="24">
        <f t="array" ref="H10">IF(H$1="","",INDEX('Raw data'!$Q$4:$Q$267,MATCH("39 days"&amp;'Wide data'!$A$1&amp;'Wide data'!$A10,'Raw data'!$K$4:$K$267&amp;'Raw data'!$L$2&amp;'Raw data'!$L$4:$L$267,0)))</f>
        <v>2.0837499999999998</v>
      </c>
      <c r="I10" s="24">
        <f t="array" ref="I10">IF(I$1="","",INDEX('Raw data'!$S$4:$S$267,MATCH("14 days"&amp;'Wide data'!$A$1&amp;'Wide data'!$A10,'Raw data'!$K$4:$K$267&amp;'Raw data'!$L$2&amp;'Raw data'!$L$4:$L$267,0)))</f>
        <v>0.278775</v>
      </c>
      <c r="J10" s="24">
        <f t="array" ref="J10">IF(J$1="","",INDEX('Raw data'!$S$4:$S$267,MATCH("23 days"&amp;'Wide data'!$A$1&amp;'Wide data'!$A10,'Raw data'!$K$4:$K$267&amp;'Raw data'!$L$2&amp;'Raw data'!$L$4:$L$267,0)))</f>
        <v>0.58274999999999999</v>
      </c>
      <c r="K10" s="24">
        <f t="array" ref="K10">IF(K$1="","",INDEX('Raw data'!$S$4:$S$267,MATCH("32 days"&amp;'Wide data'!$A$1&amp;'Wide data'!$A10,'Raw data'!$K$4:$K$267&amp;'Raw data'!$L$2&amp;'Raw data'!$L$4:$L$267,0)))</f>
        <v>0.460448717948718</v>
      </c>
      <c r="L10" s="24">
        <f t="array" ref="L10">IF(L$1="","",INDEX('Raw data'!$S$4:$S$267,MATCH("39 days"&amp;'Wide data'!$A$1&amp;'Wide data'!$A10,'Raw data'!$K$4:$K$267&amp;'Raw data'!$L$2&amp;'Raw data'!$L$4:$L$267,0)))</f>
        <v>0.7158012820512818</v>
      </c>
      <c r="M10" s="24">
        <f t="array" ref="M10">IF(M$1="","",INDEX('Raw data'!$V$4:$V$267,MATCH("14 days"&amp;'Wide data'!$A$1&amp;'Wide data'!$A10,'Raw data'!$K$4:$K$267&amp;'Raw data'!$L$2&amp;'Raw data'!$L$4:$L$267,0)))</f>
        <v>0.37124999999999997</v>
      </c>
      <c r="N10" s="24">
        <f t="array" ref="N10">IF(N$1="","",INDEX('Raw data'!$V$4:$V$267,MATCH("23 days"&amp;'Wide data'!$A$1&amp;'Wide data'!$A10,'Raw data'!$K$4:$K$267&amp;'Raw data'!$L$2&amp;'Raw data'!$L$4:$L$267,0)))</f>
        <v>0.79587500000000022</v>
      </c>
      <c r="O10" s="24">
        <f t="array" ref="O10">IF(O$1="","",INDEX('Raw data'!$V$4:$V$267,MATCH("32 days"&amp;'Wide data'!$A$1&amp;'Wide data'!$A10,'Raw data'!$K$4:$K$267&amp;'Raw data'!$L$2&amp;'Raw data'!$L$4:$L$267,0)))</f>
        <v>1.3375641025641023</v>
      </c>
      <c r="P10" s="24">
        <f t="array" ref="P10">IF(P$1="","",INDEX('Raw data'!$V$4:$V$267,MATCH("39 days"&amp;'Wide data'!$A$1&amp;'Wide data'!$A10,'Raw data'!$K$4:$K$267&amp;'Raw data'!$L$2&amp;'Raw data'!$L$4:$L$267,0)))</f>
        <v>1.2974999999999999</v>
      </c>
      <c r="Q10" s="24">
        <f t="array" ref="Q10">IF(Q$1="","",INDEX('Raw data'!$W$4:$W$267,MATCH("14 days"&amp;'Wide data'!$A$1&amp;'Wide data'!$A10,'Raw data'!$K$4:$K$267&amp;'Raw data'!$L$2&amp;'Raw data'!$L$4:$L$267,0)))</f>
        <v>1.1431870669745958</v>
      </c>
      <c r="R10" s="24">
        <f t="array" ref="R10">IF(R$1="","",INDEX('Raw data'!$W$4:$W$267,MATCH("23 days"&amp;'Wide data'!$A$1&amp;'Wide data'!$A10,'Raw data'!$K$4:$K$267&amp;'Raw data'!$L$2&amp;'Raw data'!$L$4:$L$267,0)))</f>
        <v>1.2860881542699729</v>
      </c>
      <c r="S10" s="24">
        <f t="array" ref="S10">IF(S$1="","",INDEX('Raw data'!$W$4:$W$267,MATCH("32 days"&amp;'Wide data'!$A$1&amp;'Wide data'!$A10,'Raw data'!$K$4:$K$267&amp;'Raw data'!$L$2&amp;'Raw data'!$L$4:$L$267,0)))</f>
        <v>1.8170955882352942</v>
      </c>
      <c r="T10" s="24">
        <f t="array" ref="T10">IF(T$1="","",INDEX('Raw data'!$W$4:$W$267,MATCH("39 days"&amp;'Wide data'!$A$1&amp;'Wide data'!$A10,'Raw data'!$K$4:$K$267&amp;'Raw data'!$L$2&amp;'Raw data'!$L$4:$L$267,0)))</f>
        <v>1.7861374407582939</v>
      </c>
      <c r="U10" s="418">
        <f t="array" ref="U10">IF(E$1="","",INDEX('Raw data'!$AN$4:$AN$267,MATCH("Starter"&amp;'Wide data'!$A$1&amp;'Wide data'!$A10,'Raw data'!$AI$4:$AI$267&amp;'Raw data'!$AJ$2&amp;'Raw data'!$AJ$4:$AJ$267,0)))</f>
        <v>0.32474999999999998</v>
      </c>
      <c r="V10" s="418">
        <f t="array" ref="V10">IF(G$1="","",INDEX('Raw data'!$AN$4:$AN$267,MATCH("Grower"&amp;'Wide data'!$A$1&amp;'Wide data'!$A10,'Raw data'!$AI$4:$AI$267&amp;'Raw data'!$AJ$2&amp;'Raw data'!$AJ$4:$AJ$267,0)))</f>
        <v>1.367948717948718</v>
      </c>
      <c r="W10" s="418">
        <f t="array" ref="W10">IF(H$1="","",INDEX('Raw data'!$AN$4:$AN$267,MATCH("Finisher"&amp;'Wide data'!$A$1&amp;'Wide data'!$A10,'Raw data'!$AI$4:$AI$267&amp;'Raw data'!$AJ$2&amp;'Raw data'!$AJ$4:$AJ$267,0)))</f>
        <v>2.0837499999999998</v>
      </c>
      <c r="X10" s="418">
        <f t="array" ref="X10">IF(H$1="","",INDEX('Raw data'!$AP$4:$AP$267,MATCH("Starter"&amp;'Wide data'!$A$1&amp;'Wide data'!$A10,'Raw data'!$AI$4:$AI$267&amp;'Raw data'!$AJ$2&amp;'Raw data'!$AJ$4:$AJ$267,0)))</f>
        <v>0.278775</v>
      </c>
      <c r="Y10" s="418">
        <f t="array" ref="Y10">IF(J$1="","",INDEX('Raw data'!$AP$4:$AP$267,MATCH("Grower"&amp;'Wide data'!$A$1&amp;'Wide data'!$A10,'Raw data'!$AI$4:$AI$267&amp;'Raw data'!$AJ$2&amp;'Raw data'!$AJ$4:$AJ$267,0)))</f>
        <v>1.0431987179487181</v>
      </c>
      <c r="Z10" s="418">
        <f t="array" ref="Z10">IF(K$1="","",INDEX('Raw data'!$AP$4:$AP$267,MATCH("Finisher"&amp;'Wide data'!$A$1&amp;'Wide data'!$A10,'Raw data'!$AI$4:$AI$267&amp;'Raw data'!$AJ$2&amp;'Raw data'!$AJ$4:$AJ$267,0)))</f>
        <v>0.7158012820512818</v>
      </c>
      <c r="AA10" s="418">
        <f t="array" ref="AA10">IF(K$1="","",INDEX('Raw data'!$AR$4:$AR$267,MATCH("Starter"&amp;'Wide data'!$A$1&amp;'Wide data'!$A10,'Raw data'!$AI$4:$AI$267&amp;'Raw data'!$AJ$2&amp;'Raw data'!$AJ$4:$AJ$267,0)))</f>
        <v>0.37124999999999997</v>
      </c>
      <c r="AB10" s="418">
        <f t="array" ref="AB10">IF(M$1="","",INDEX('Raw data'!$AR$4:$AR$267,MATCH("Grower"&amp;'Wide data'!$A$1&amp;'Wide data'!$A10,'Raw data'!$AI$4:$AI$267&amp;'Raw data'!$AJ$2&amp;'Raw data'!$AJ$4:$AJ$267,0)))</f>
        <v>2.1334391025641026</v>
      </c>
      <c r="AC10" s="418">
        <f t="array" ref="AC10">IF(N$1="","",INDEX('Raw data'!$AR$4:$AR$267,MATCH("Finisher"&amp;'Wide data'!$A$1&amp;'Wide data'!$A10,'Raw data'!$AI$4:$AI$267&amp;'Raw data'!$AJ$2&amp;'Raw data'!$AJ$4:$AJ$267,0)))</f>
        <v>1.2974999999999999</v>
      </c>
      <c r="AD10" s="418">
        <f t="array" ref="AD10">IF(N$1="","",INDEX('Raw data'!$AS$4:$AS$267,MATCH("Starter"&amp;'Wide data'!$A$1&amp;'Wide data'!$A10,'Raw data'!$AI$4:$AI$267&amp;'Raw data'!$AJ$2&amp;'Raw data'!$AJ$4:$AJ$267,0)))</f>
        <v>1.1431870669745958</v>
      </c>
      <c r="AE10" s="418">
        <f t="array" ref="AE10">IF(P$1="","",INDEX('Raw data'!$AS$4:$AS$267,MATCH("Grower"&amp;'Wide data'!$A$1&amp;'Wide data'!$A10,'Raw data'!$AI$4:$AI$267&amp;'Raw data'!$AJ$2&amp;'Raw data'!$AJ$4:$AJ$267,0)))</f>
        <v>1.9849943876646778</v>
      </c>
      <c r="AF10" s="418">
        <f t="array" ref="AF10">IF(Q$1="","",INDEX('Raw data'!$AS$4:$AS$267,MATCH("Finisher"&amp;'Wide data'!$A$1&amp;'Wide data'!$A10,'Raw data'!$AI$4:$AI$267&amp;'Raw data'!$AJ$2&amp;'Raw data'!$AJ$4:$AJ$267,0)))</f>
        <v>1.8126539202077649</v>
      </c>
    </row>
    <row r="11" spans="1:32" x14ac:dyDescent="0.25">
      <c r="A11" s="24">
        <f>'Raw data'!L13</f>
        <v>10</v>
      </c>
      <c r="B11" s="24" t="str">
        <f>INDEX('Raw data'!$B$4:$B$69, 'Wide data'!A11)</f>
        <v>T6</v>
      </c>
      <c r="C11" s="24" t="str">
        <f>INDEX('Raw data'!$C$4:$C$69, 'Wide data'!A11)</f>
        <v>R2</v>
      </c>
      <c r="D11" s="24">
        <f t="array" ref="D11">INDEX('Raw data'!$F$4:$F$69,MATCH($A$1&amp;'Wide data'!$A11,'Raw data'!$A$3&amp;'Raw data'!$A$4:$A$69,0))</f>
        <v>4.5850000000000002E-2</v>
      </c>
      <c r="E11" s="24">
        <f t="array" ref="E11">IF(E$1="","",INDEX('Raw data'!$Q$4:$Q$267,MATCH("14 days"&amp;'Wide data'!$A$1&amp;'Wide data'!$A11,'Raw data'!$K$4:$K$267&amp;'Raw data'!$L$2&amp;'Raw data'!$L$4:$L$267,0)))</f>
        <v>0.38657894736842102</v>
      </c>
      <c r="F11" s="24">
        <f t="array" ref="F11">IF(F$1="","",INDEX('Raw data'!$Q$4:$Q$267,MATCH("23 days"&amp;'Wide data'!$A$1&amp;'Wide data'!$A11,'Raw data'!$K$4:$K$267&amp;'Raw data'!$L$2&amp;'Raw data'!$L$4:$L$267,0)))</f>
        <v>1.0618421052631577</v>
      </c>
      <c r="G11" s="24">
        <f t="array" ref="G11">IF(G$1="","",INDEX('Raw data'!$Q$4:$Q$267,MATCH("32 days"&amp;'Wide data'!$A$1&amp;'Wide data'!$A11,'Raw data'!$K$4:$K$267&amp;'Raw data'!$L$2&amp;'Raw data'!$L$4:$L$267,0)))</f>
        <v>1.6635135135135135</v>
      </c>
      <c r="H11" s="24">
        <f t="array" ref="H11">IF(H$1="","",INDEX('Raw data'!$Q$4:$Q$267,MATCH("39 days"&amp;'Wide data'!$A$1&amp;'Wide data'!$A11,'Raw data'!$K$4:$K$267&amp;'Raw data'!$L$2&amp;'Raw data'!$L$4:$L$267,0)))</f>
        <v>2.5291666666666668</v>
      </c>
      <c r="I11" s="24">
        <f t="array" ref="I11">IF(I$1="","",INDEX('Raw data'!$S$4:$S$267,MATCH("14 days"&amp;'Wide data'!$A$1&amp;'Wide data'!$A11,'Raw data'!$K$4:$K$267&amp;'Raw data'!$L$2&amp;'Raw data'!$L$4:$L$267,0)))</f>
        <v>0.34072894736842102</v>
      </c>
      <c r="J11" s="24">
        <f t="array" ref="J11">IF(J$1="","",INDEX('Raw data'!$S$4:$S$267,MATCH("23 days"&amp;'Wide data'!$A$1&amp;'Wide data'!$A11,'Raw data'!$K$4:$K$267&amp;'Raw data'!$L$2&amp;'Raw data'!$L$4:$L$267,0)))</f>
        <v>0.67526315789473668</v>
      </c>
      <c r="K11" s="24">
        <f t="array" ref="K11">IF(K$1="","",INDEX('Raw data'!$S$4:$S$267,MATCH("32 days"&amp;'Wide data'!$A$1&amp;'Wide data'!$A11,'Raw data'!$K$4:$K$267&amp;'Raw data'!$L$2&amp;'Raw data'!$L$4:$L$267,0)))</f>
        <v>0.60167140825035581</v>
      </c>
      <c r="L11" s="24">
        <f t="array" ref="L11">IF(L$1="","",INDEX('Raw data'!$S$4:$S$267,MATCH("39 days"&amp;'Wide data'!$A$1&amp;'Wide data'!$A11,'Raw data'!$K$4:$K$267&amp;'Raw data'!$L$2&amp;'Raw data'!$L$4:$L$267,0)))</f>
        <v>0.86565315315315328</v>
      </c>
      <c r="M11" s="24">
        <f t="array" ref="M11">IF(M$1="","",INDEX('Raw data'!$V$4:$V$267,MATCH("14 days"&amp;'Wide data'!$A$1&amp;'Wide data'!$A11,'Raw data'!$K$4:$K$267&amp;'Raw data'!$L$2&amp;'Raw data'!$L$4:$L$267,0)))</f>
        <v>0.43947368421052641</v>
      </c>
      <c r="N11" s="24">
        <f t="array" ref="N11">IF(N$1="","",INDEX('Raw data'!$V$4:$V$267,MATCH("23 days"&amp;'Wide data'!$A$1&amp;'Wide data'!$A11,'Raw data'!$K$4:$K$267&amp;'Raw data'!$L$2&amp;'Raw data'!$L$4:$L$267,0)))</f>
        <v>0.92723684210526314</v>
      </c>
      <c r="O11" s="24">
        <f t="array" ref="O11">IF(O$1="","",INDEX('Raw data'!$V$4:$V$267,MATCH("32 days"&amp;'Wide data'!$A$1&amp;'Wide data'!$A11,'Raw data'!$K$4:$K$267&amp;'Raw data'!$L$2&amp;'Raw data'!$L$4:$L$267,0)))</f>
        <v>1.576081081081081</v>
      </c>
      <c r="P11" s="24">
        <f t="array" ref="P11">IF(P$1="","",INDEX('Raw data'!$V$4:$V$267,MATCH("39 days"&amp;'Wide data'!$A$1&amp;'Wide data'!$A11,'Raw data'!$K$4:$K$267&amp;'Raw data'!$L$2&amp;'Raw data'!$L$4:$L$267,0)))</f>
        <v>1.5472222222222223</v>
      </c>
      <c r="Q11" s="24">
        <f t="array" ref="Q11">IF(Q$1="","",INDEX('Raw data'!$W$4:$W$267,MATCH("14 days"&amp;'Wide data'!$A$1&amp;'Wide data'!$A11,'Raw data'!$K$4:$K$267&amp;'Raw data'!$L$2&amp;'Raw data'!$L$4:$L$267,0)))</f>
        <v>1.1213321694755929</v>
      </c>
      <c r="R11" s="24">
        <f t="array" ref="R11">IF(R$1="","",INDEX('Raw data'!$W$4:$W$267,MATCH("23 days"&amp;'Wide data'!$A$1&amp;'Wide data'!$A11,'Raw data'!$K$4:$K$267&amp;'Raw data'!$L$2&amp;'Raw data'!$L$4:$L$267,0)))</f>
        <v>1.2806697408329841</v>
      </c>
      <c r="S11" s="24">
        <f t="array" ref="S11">IF(S$1="","",INDEX('Raw data'!$W$4:$W$267,MATCH("32 days"&amp;'Wide data'!$A$1&amp;'Wide data'!$A11,'Raw data'!$K$4:$K$267&amp;'Raw data'!$L$2&amp;'Raw data'!$L$4:$L$267,0)))</f>
        <v>1.7568881169027775</v>
      </c>
      <c r="T11" s="24">
        <f t="array" ref="T11">IF(T$1="","",INDEX('Raw data'!$W$4:$W$267,MATCH("39 days"&amp;'Wide data'!$A$1&amp;'Wide data'!$A11,'Raw data'!$K$4:$K$267&amp;'Raw data'!$L$2&amp;'Raw data'!$L$4:$L$267,0)))</f>
        <v>1.7519874156733986</v>
      </c>
      <c r="U11" s="418">
        <f t="array" ref="U11">IF(E$1="","",INDEX('Raw data'!$AN$4:$AN$267,MATCH("Starter"&amp;'Wide data'!$A$1&amp;'Wide data'!$A11,'Raw data'!$AI$4:$AI$267&amp;'Raw data'!$AJ$2&amp;'Raw data'!$AJ$4:$AJ$267,0)))</f>
        <v>0.38657894736842102</v>
      </c>
      <c r="V11" s="418">
        <f t="array" ref="V11">IF(G$1="","",INDEX('Raw data'!$AN$4:$AN$267,MATCH("Grower"&amp;'Wide data'!$A$1&amp;'Wide data'!$A11,'Raw data'!$AI$4:$AI$267&amp;'Raw data'!$AJ$2&amp;'Raw data'!$AJ$4:$AJ$267,0)))</f>
        <v>1.6635135135135135</v>
      </c>
      <c r="W11" s="418">
        <f t="array" ref="W11">IF(H$1="","",INDEX('Raw data'!$AN$4:$AN$267,MATCH("Finisher"&amp;'Wide data'!$A$1&amp;'Wide data'!$A11,'Raw data'!$AI$4:$AI$267&amp;'Raw data'!$AJ$2&amp;'Raw data'!$AJ$4:$AJ$267,0)))</f>
        <v>2.5291666666666668</v>
      </c>
      <c r="X11" s="418">
        <f t="array" ref="X11">IF(H$1="","",INDEX('Raw data'!$AP$4:$AP$267,MATCH("Starter"&amp;'Wide data'!$A$1&amp;'Wide data'!$A11,'Raw data'!$AI$4:$AI$267&amp;'Raw data'!$AJ$2&amp;'Raw data'!$AJ$4:$AJ$267,0)))</f>
        <v>0.34072894736842102</v>
      </c>
      <c r="Y11" s="418">
        <f t="array" ref="Y11">IF(J$1="","",INDEX('Raw data'!$AP$4:$AP$267,MATCH("Grower"&amp;'Wide data'!$A$1&amp;'Wide data'!$A11,'Raw data'!$AI$4:$AI$267&amp;'Raw data'!$AJ$2&amp;'Raw data'!$AJ$4:$AJ$267,0)))</f>
        <v>1.2769345661450924</v>
      </c>
      <c r="Z11" s="418">
        <f t="array" ref="Z11">IF(K$1="","",INDEX('Raw data'!$AP$4:$AP$267,MATCH("Finisher"&amp;'Wide data'!$A$1&amp;'Wide data'!$A11,'Raw data'!$AI$4:$AI$267&amp;'Raw data'!$AJ$2&amp;'Raw data'!$AJ$4:$AJ$267,0)))</f>
        <v>0.86565315315315328</v>
      </c>
      <c r="AA11" s="418">
        <f t="array" ref="AA11">IF(K$1="","",INDEX('Raw data'!$AR$4:$AR$267,MATCH("Starter"&amp;'Wide data'!$A$1&amp;'Wide data'!$A11,'Raw data'!$AI$4:$AI$267&amp;'Raw data'!$AJ$2&amp;'Raw data'!$AJ$4:$AJ$267,0)))</f>
        <v>0.43947368421052641</v>
      </c>
      <c r="AB11" s="418">
        <f t="array" ref="AB11">IF(M$1="","",INDEX('Raw data'!$AR$4:$AR$267,MATCH("Grower"&amp;'Wide data'!$A$1&amp;'Wide data'!$A11,'Raw data'!$AI$4:$AI$267&amp;'Raw data'!$AJ$2&amp;'Raw data'!$AJ$4:$AJ$267,0)))</f>
        <v>2.5033179231863443</v>
      </c>
      <c r="AC11" s="418">
        <f t="array" ref="AC11">IF(N$1="","",INDEX('Raw data'!$AR$4:$AR$267,MATCH("Finisher"&amp;'Wide data'!$A$1&amp;'Wide data'!$A11,'Raw data'!$AI$4:$AI$267&amp;'Raw data'!$AJ$2&amp;'Raw data'!$AJ$4:$AJ$267,0)))</f>
        <v>1.5472222222222223</v>
      </c>
      <c r="AD11" s="418">
        <f t="array" ref="AD11">IF(N$1="","",INDEX('Raw data'!$AS$4:$AS$267,MATCH("Starter"&amp;'Wide data'!$A$1&amp;'Wide data'!$A11,'Raw data'!$AI$4:$AI$267&amp;'Raw data'!$AJ$2&amp;'Raw data'!$AJ$4:$AJ$267,0)))</f>
        <v>1.1213321694755929</v>
      </c>
      <c r="AE11" s="418">
        <f t="array" ref="AE11">IF(P$1="","",INDEX('Raw data'!$AS$4:$AS$267,MATCH("Grower"&amp;'Wide data'!$A$1&amp;'Wide data'!$A11,'Raw data'!$AI$4:$AI$267&amp;'Raw data'!$AJ$2&amp;'Raw data'!$AJ$4:$AJ$267,0)))</f>
        <v>1.9122337993469714</v>
      </c>
      <c r="AF11" s="418">
        <f t="array" ref="AF11">IF(Q$1="","",INDEX('Raw data'!$AS$4:$AS$267,MATCH("Finisher"&amp;'Wide data'!$A$1&amp;'Wide data'!$A11,'Raw data'!$AI$4:$AI$267&amp;'Raw data'!$AJ$2&amp;'Raw data'!$AJ$4:$AJ$267,0)))</f>
        <v>1.6561847559319363</v>
      </c>
    </row>
    <row r="12" spans="1:32" x14ac:dyDescent="0.25">
      <c r="A12" s="24">
        <f>'Raw data'!L14</f>
        <v>11</v>
      </c>
      <c r="B12" s="24" t="str">
        <f>INDEX('Raw data'!$B$4:$B$69, 'Wide data'!A12)</f>
        <v>T2</v>
      </c>
      <c r="C12" s="24" t="str">
        <f>INDEX('Raw data'!$C$4:$C$69, 'Wide data'!A12)</f>
        <v>R2</v>
      </c>
      <c r="D12" s="24">
        <f t="array" ref="D12">INDEX('Raw data'!$F$4:$F$69,MATCH($A$1&amp;'Wide data'!$A12,'Raw data'!$A$3&amp;'Raw data'!$A$4:$A$69,0))</f>
        <v>4.5749999999999999E-2</v>
      </c>
      <c r="E12" s="24">
        <f t="array" ref="E12">IF(E$1="","",INDEX('Raw data'!$Q$4:$Q$267,MATCH("14 days"&amp;'Wide data'!$A$1&amp;'Wide data'!$A12,'Raw data'!$K$4:$K$267&amp;'Raw data'!$L$2&amp;'Raw data'!$L$4:$L$267,0)))</f>
        <v>0.3215384615384615</v>
      </c>
      <c r="F12" s="24">
        <f t="array" ref="F12">IF(F$1="","",INDEX('Raw data'!$Q$4:$Q$267,MATCH("23 days"&amp;'Wide data'!$A$1&amp;'Wide data'!$A12,'Raw data'!$K$4:$K$267&amp;'Raw data'!$L$2&amp;'Raw data'!$L$4:$L$267,0)))</f>
        <v>0.86666666666666659</v>
      </c>
      <c r="G12" s="24">
        <f t="array" ref="G12">IF(G$1="","",INDEX('Raw data'!$Q$4:$Q$267,MATCH("32 days"&amp;'Wide data'!$A$1&amp;'Wide data'!$A12,'Raw data'!$K$4:$K$267&amp;'Raw data'!$L$2&amp;'Raw data'!$L$4:$L$267,0)))</f>
        <v>1.3210526315789473</v>
      </c>
      <c r="H12" s="24">
        <f t="array" ref="H12">IF(H$1="","",INDEX('Raw data'!$Q$4:$Q$267,MATCH("39 days"&amp;'Wide data'!$A$1&amp;'Wide data'!$A12,'Raw data'!$K$4:$K$267&amp;'Raw data'!$L$2&amp;'Raw data'!$L$4:$L$267,0)))</f>
        <v>2.1394736842105262</v>
      </c>
      <c r="I12" s="24">
        <f t="array" ref="I12">IF(I$1="","",INDEX('Raw data'!$S$4:$S$267,MATCH("14 days"&amp;'Wide data'!$A$1&amp;'Wide data'!$A12,'Raw data'!$K$4:$K$267&amp;'Raw data'!$L$2&amp;'Raw data'!$L$4:$L$267,0)))</f>
        <v>0.27578846153846148</v>
      </c>
      <c r="J12" s="24">
        <f t="array" ref="J12">IF(J$1="","",INDEX('Raw data'!$S$4:$S$267,MATCH("23 days"&amp;'Wide data'!$A$1&amp;'Wide data'!$A12,'Raw data'!$K$4:$K$267&amp;'Raw data'!$L$2&amp;'Raw data'!$L$4:$L$267,0)))</f>
        <v>0.54512820512820515</v>
      </c>
      <c r="K12" s="24">
        <f t="array" ref="K12">IF(K$1="","",INDEX('Raw data'!$S$4:$S$267,MATCH("32 days"&amp;'Wide data'!$A$1&amp;'Wide data'!$A12,'Raw data'!$K$4:$K$267&amp;'Raw data'!$L$2&amp;'Raw data'!$L$4:$L$267,0)))</f>
        <v>0.45438596491228067</v>
      </c>
      <c r="L12" s="24">
        <f t="array" ref="L12">IF(L$1="","",INDEX('Raw data'!$S$4:$S$267,MATCH("39 days"&amp;'Wide data'!$A$1&amp;'Wide data'!$A12,'Raw data'!$K$4:$K$267&amp;'Raw data'!$L$2&amp;'Raw data'!$L$4:$L$267,0)))</f>
        <v>0.81842105263157894</v>
      </c>
      <c r="M12" s="24">
        <f t="array" ref="M12">IF(M$1="","",INDEX('Raw data'!$V$4:$V$267,MATCH("14 days"&amp;'Wide data'!$A$1&amp;'Wide data'!$A12,'Raw data'!$K$4:$K$267&amp;'Raw data'!$L$2&amp;'Raw data'!$L$4:$L$267,0)))</f>
        <v>0.36794871794871797</v>
      </c>
      <c r="N12" s="24">
        <f t="array" ref="N12">IF(N$1="","",INDEX('Raw data'!$V$4:$V$267,MATCH("23 days"&amp;'Wide data'!$A$1&amp;'Wide data'!$A12,'Raw data'!$K$4:$K$267&amp;'Raw data'!$L$2&amp;'Raw data'!$L$4:$L$267,0)))</f>
        <v>0.73935897435897457</v>
      </c>
      <c r="O12" s="24">
        <f t="array" ref="O12">IF(O$1="","",INDEX('Raw data'!$V$4:$V$267,MATCH("32 days"&amp;'Wide data'!$A$1&amp;'Wide data'!$A12,'Raw data'!$K$4:$K$267&amp;'Raw data'!$L$2&amp;'Raw data'!$L$4:$L$267,0)))</f>
        <v>1.3082894736842103</v>
      </c>
      <c r="P12" s="24">
        <f t="array" ref="P12">IF(P$1="","",INDEX('Raw data'!$V$4:$V$267,MATCH("39 days"&amp;'Wide data'!$A$1&amp;'Wide data'!$A12,'Raw data'!$K$4:$K$267&amp;'Raw data'!$L$2&amp;'Raw data'!$L$4:$L$267,0)))</f>
        <v>1.3552631578947369</v>
      </c>
      <c r="Q12" s="24">
        <f t="array" ref="Q12">IF(Q$1="","",INDEX('Raw data'!$W$4:$W$267,MATCH("14 days"&amp;'Wide data'!$A$1&amp;'Wide data'!$A12,'Raw data'!$K$4:$K$267&amp;'Raw data'!$L$2&amp;'Raw data'!$L$4:$L$267,0)))</f>
        <v>1.137354363160815</v>
      </c>
      <c r="R12" s="24">
        <f t="array" ref="R12">IF(R$1="","",INDEX('Raw data'!$W$4:$W$267,MATCH("23 days"&amp;'Wide data'!$A$1&amp;'Wide data'!$A12,'Raw data'!$K$4:$K$267&amp;'Raw data'!$L$2&amp;'Raw data'!$L$4:$L$267,0)))</f>
        <v>1.2747586858340472</v>
      </c>
      <c r="S12" s="24">
        <f t="array" ref="S12">IF(S$1="","",INDEX('Raw data'!$W$4:$W$267,MATCH("32 days"&amp;'Wide data'!$A$1&amp;'Wide data'!$A12,'Raw data'!$K$4:$K$267&amp;'Raw data'!$L$2&amp;'Raw data'!$L$4:$L$267,0)))</f>
        <v>1.8117284552528428</v>
      </c>
      <c r="T12" s="24">
        <f t="array" ref="T12">IF(T$1="","",INDEX('Raw data'!$W$4:$W$267,MATCH("39 days"&amp;'Wide data'!$A$1&amp;'Wide data'!$A12,'Raw data'!$K$4:$K$267&amp;'Raw data'!$L$2&amp;'Raw data'!$L$4:$L$267,0)))</f>
        <v>1.7529164694028674</v>
      </c>
      <c r="U12" s="418">
        <f t="array" ref="U12">IF(E$1="","",INDEX('Raw data'!$AN$4:$AN$267,MATCH("Starter"&amp;'Wide data'!$A$1&amp;'Wide data'!$A12,'Raw data'!$AI$4:$AI$267&amp;'Raw data'!$AJ$2&amp;'Raw data'!$AJ$4:$AJ$267,0)))</f>
        <v>0.3215384615384615</v>
      </c>
      <c r="V12" s="418">
        <f t="array" ref="V12">IF(G$1="","",INDEX('Raw data'!$AN$4:$AN$267,MATCH("Grower"&amp;'Wide data'!$A$1&amp;'Wide data'!$A12,'Raw data'!$AI$4:$AI$267&amp;'Raw data'!$AJ$2&amp;'Raw data'!$AJ$4:$AJ$267,0)))</f>
        <v>1.3210526315789473</v>
      </c>
      <c r="W12" s="418">
        <f t="array" ref="W12">IF(H$1="","",INDEX('Raw data'!$AN$4:$AN$267,MATCH("Finisher"&amp;'Wide data'!$A$1&amp;'Wide data'!$A12,'Raw data'!$AI$4:$AI$267&amp;'Raw data'!$AJ$2&amp;'Raw data'!$AJ$4:$AJ$267,0)))</f>
        <v>2.1394736842105262</v>
      </c>
      <c r="X12" s="418">
        <f t="array" ref="X12">IF(H$1="","",INDEX('Raw data'!$AP$4:$AP$267,MATCH("Starter"&amp;'Wide data'!$A$1&amp;'Wide data'!$A12,'Raw data'!$AI$4:$AI$267&amp;'Raw data'!$AJ$2&amp;'Raw data'!$AJ$4:$AJ$267,0)))</f>
        <v>0.27578846153846148</v>
      </c>
      <c r="Y12" s="418">
        <f t="array" ref="Y12">IF(J$1="","",INDEX('Raw data'!$AP$4:$AP$267,MATCH("Grower"&amp;'Wide data'!$A$1&amp;'Wide data'!$A12,'Raw data'!$AI$4:$AI$267&amp;'Raw data'!$AJ$2&amp;'Raw data'!$AJ$4:$AJ$267,0)))</f>
        <v>0.99951417004048582</v>
      </c>
      <c r="Z12" s="418">
        <f t="array" ref="Z12">IF(K$1="","",INDEX('Raw data'!$AP$4:$AP$267,MATCH("Finisher"&amp;'Wide data'!$A$1&amp;'Wide data'!$A12,'Raw data'!$AI$4:$AI$267&amp;'Raw data'!$AJ$2&amp;'Raw data'!$AJ$4:$AJ$267,0)))</f>
        <v>0.81842105263157894</v>
      </c>
      <c r="AA12" s="418">
        <f t="array" ref="AA12">IF(K$1="","",INDEX('Raw data'!$AR$4:$AR$267,MATCH("Starter"&amp;'Wide data'!$A$1&amp;'Wide data'!$A12,'Raw data'!$AI$4:$AI$267&amp;'Raw data'!$AJ$2&amp;'Raw data'!$AJ$4:$AJ$267,0)))</f>
        <v>0.36794871794871797</v>
      </c>
      <c r="AB12" s="418">
        <f t="array" ref="AB12">IF(M$1="","",INDEX('Raw data'!$AR$4:$AR$267,MATCH("Grower"&amp;'Wide data'!$A$1&amp;'Wide data'!$A12,'Raw data'!$AI$4:$AI$267&amp;'Raw data'!$AJ$2&amp;'Raw data'!$AJ$4:$AJ$267,0)))</f>
        <v>2.0476484480431849</v>
      </c>
      <c r="AC12" s="418">
        <f t="array" ref="AC12">IF(N$1="","",INDEX('Raw data'!$AR$4:$AR$267,MATCH("Finisher"&amp;'Wide data'!$A$1&amp;'Wide data'!$A12,'Raw data'!$AI$4:$AI$267&amp;'Raw data'!$AJ$2&amp;'Raw data'!$AJ$4:$AJ$267,0)))</f>
        <v>1.3552631578947369</v>
      </c>
      <c r="AD12" s="418">
        <f t="array" ref="AD12">IF(N$1="","",INDEX('Raw data'!$AS$4:$AS$267,MATCH("Starter"&amp;'Wide data'!$A$1&amp;'Wide data'!$A12,'Raw data'!$AI$4:$AI$267&amp;'Raw data'!$AJ$2&amp;'Raw data'!$AJ$4:$AJ$267,0)))</f>
        <v>1.137354363160815</v>
      </c>
      <c r="AE12" s="418">
        <f t="array" ref="AE12">IF(P$1="","",INDEX('Raw data'!$AS$4:$AS$267,MATCH("Grower"&amp;'Wide data'!$A$1&amp;'Wide data'!$A12,'Raw data'!$AI$4:$AI$267&amp;'Raw data'!$AJ$2&amp;'Raw data'!$AJ$4:$AJ$267,0)))</f>
        <v>1.987265980772474</v>
      </c>
      <c r="AF12" s="418">
        <f t="array" ref="AF12">IF(Q$1="","",INDEX('Raw data'!$AS$4:$AS$267,MATCH("Finisher"&amp;'Wide data'!$A$1&amp;'Wide data'!$A12,'Raw data'!$AI$4:$AI$267&amp;'Raw data'!$AJ$2&amp;'Raw data'!$AJ$4:$AJ$267,0)))</f>
        <v>1.6559485530546623</v>
      </c>
    </row>
    <row r="13" spans="1:32" x14ac:dyDescent="0.25">
      <c r="A13" s="24">
        <f>'Raw data'!L15</f>
        <v>12</v>
      </c>
      <c r="B13" s="24" t="str">
        <f>INDEX('Raw data'!$B$4:$B$69, 'Wide data'!A13)</f>
        <v>T1</v>
      </c>
      <c r="C13" s="24" t="str">
        <f>INDEX('Raw data'!$C$4:$C$69, 'Wide data'!A13)</f>
        <v>R2</v>
      </c>
      <c r="D13" s="24">
        <f t="array" ref="D13">INDEX('Raw data'!$F$4:$F$69,MATCH($A$1&amp;'Wide data'!$A13,'Raw data'!$A$3&amp;'Raw data'!$A$4:$A$69,0))</f>
        <v>4.6024999999999996E-2</v>
      </c>
      <c r="E13" s="24">
        <f t="array" ref="E13">IF(E$1="","",INDEX('Raw data'!$Q$4:$Q$267,MATCH("14 days"&amp;'Wide data'!$A$1&amp;'Wide data'!$A13,'Raw data'!$K$4:$K$267&amp;'Raw data'!$L$2&amp;'Raw data'!$L$4:$L$267,0)))</f>
        <v>0.3561538461538461</v>
      </c>
      <c r="F13" s="24">
        <f t="array" ref="F13">IF(F$1="","",INDEX('Raw data'!$Q$4:$Q$267,MATCH("23 days"&amp;'Wide data'!$A$1&amp;'Wide data'!$A13,'Raw data'!$K$4:$K$267&amp;'Raw data'!$L$2&amp;'Raw data'!$L$4:$L$267,0)))</f>
        <v>0.95256410256410273</v>
      </c>
      <c r="G13" s="24">
        <f t="array" ref="G13">IF(G$1="","",INDEX('Raw data'!$Q$4:$Q$267,MATCH("32 days"&amp;'Wide data'!$A$1&amp;'Wide data'!$A13,'Raw data'!$K$4:$K$267&amp;'Raw data'!$L$2&amp;'Raw data'!$L$4:$L$267,0)))</f>
        <v>1.3960526315789472</v>
      </c>
      <c r="H13" s="24">
        <f t="array" ref="H13">IF(H$1="","",INDEX('Raw data'!$Q$4:$Q$267,MATCH("39 days"&amp;'Wide data'!$A$1&amp;'Wide data'!$A13,'Raw data'!$K$4:$K$267&amp;'Raw data'!$L$2&amp;'Raw data'!$L$4:$L$267,0)))</f>
        <v>2.189473684210526</v>
      </c>
      <c r="I13" s="24">
        <f t="array" ref="I13">IF(I$1="","",INDEX('Raw data'!$S$4:$S$267,MATCH("14 days"&amp;'Wide data'!$A$1&amp;'Wide data'!$A13,'Raw data'!$K$4:$K$267&amp;'Raw data'!$L$2&amp;'Raw data'!$L$4:$L$267,0)))</f>
        <v>0.31012884615384612</v>
      </c>
      <c r="J13" s="24">
        <f t="array" ref="J13">IF(J$1="","",INDEX('Raw data'!$S$4:$S$267,MATCH("23 days"&amp;'Wide data'!$A$1&amp;'Wide data'!$A13,'Raw data'!$K$4:$K$267&amp;'Raw data'!$L$2&amp;'Raw data'!$L$4:$L$267,0)))</f>
        <v>0.59641025641025669</v>
      </c>
      <c r="K13" s="24">
        <f t="array" ref="K13">IF(K$1="","",INDEX('Raw data'!$S$4:$S$267,MATCH("32 days"&amp;'Wide data'!$A$1&amp;'Wide data'!$A13,'Raw data'!$K$4:$K$267&amp;'Raw data'!$L$2&amp;'Raw data'!$L$4:$L$267,0)))</f>
        <v>0.44348852901484448</v>
      </c>
      <c r="L13" s="24">
        <f t="array" ref="L13">IF(L$1="","",INDEX('Raw data'!$S$4:$S$267,MATCH("39 days"&amp;'Wide data'!$A$1&amp;'Wide data'!$A13,'Raw data'!$K$4:$K$267&amp;'Raw data'!$L$2&amp;'Raw data'!$L$4:$L$267,0)))</f>
        <v>0.7934210526315788</v>
      </c>
      <c r="M13" s="24">
        <f t="array" ref="M13">IF(M$1="","",INDEX('Raw data'!$V$4:$V$267,MATCH("14 days"&amp;'Wide data'!$A$1&amp;'Wide data'!$A13,'Raw data'!$K$4:$K$267&amp;'Raw data'!$L$2&amp;'Raw data'!$L$4:$L$267,0)))</f>
        <v>0.41923076923076924</v>
      </c>
      <c r="N13" s="24">
        <f t="array" ref="N13">IF(N$1="","",INDEX('Raw data'!$V$4:$V$267,MATCH("23 days"&amp;'Wide data'!$A$1&amp;'Wide data'!$A13,'Raw data'!$K$4:$K$267&amp;'Raw data'!$L$2&amp;'Raw data'!$L$4:$L$267,0)))</f>
        <v>0.83166666666666678</v>
      </c>
      <c r="O13" s="24">
        <f t="array" ref="O13">IF(O$1="","",INDEX('Raw data'!$V$4:$V$267,MATCH("32 days"&amp;'Wide data'!$A$1&amp;'Wide data'!$A13,'Raw data'!$K$4:$K$267&amp;'Raw data'!$L$2&amp;'Raw data'!$L$4:$L$267,0)))</f>
        <v>1.3701315789473683</v>
      </c>
      <c r="P13" s="24">
        <f t="array" ref="P13">IF(P$1="","",INDEX('Raw data'!$V$4:$V$267,MATCH("39 days"&amp;'Wide data'!$A$1&amp;'Wide data'!$A13,'Raw data'!$K$4:$K$267&amp;'Raw data'!$L$2&amp;'Raw data'!$L$4:$L$267,0)))</f>
        <v>1.3776315789473683</v>
      </c>
      <c r="Q13" s="24">
        <f t="array" ref="Q13">IF(Q$1="","",INDEX('Raw data'!$W$4:$W$267,MATCH("14 days"&amp;'Wide data'!$A$1&amp;'Wide data'!$A13,'Raw data'!$K$4:$K$267&amp;'Raw data'!$L$2&amp;'Raw data'!$L$4:$L$267,0)))</f>
        <v>1.1734730495944883</v>
      </c>
      <c r="R13" s="24">
        <f t="array" ref="R13">IF(R$1="","",INDEX('Raw data'!$W$4:$W$267,MATCH("23 days"&amp;'Wide data'!$A$1&amp;'Wide data'!$A13,'Raw data'!$K$4:$K$267&amp;'Raw data'!$L$2&amp;'Raw data'!$L$4:$L$267,0)))</f>
        <v>1.3116715510983248</v>
      </c>
      <c r="S13" s="24">
        <f t="array" ref="S13">IF(S$1="","",INDEX('Raw data'!$W$4:$W$267,MATCH("32 days"&amp;'Wide data'!$A$1&amp;'Wide data'!$A13,'Raw data'!$K$4:$K$267&amp;'Raw data'!$L$2&amp;'Raw data'!$L$4:$L$267,0)))</f>
        <v>1.8322039133041439</v>
      </c>
      <c r="T13" s="24">
        <f t="array" ref="T13">IF(T$1="","",INDEX('Raw data'!$W$4:$W$267,MATCH("39 days"&amp;'Wide data'!$A$1&amp;'Wide data'!$A13,'Raw data'!$K$4:$K$267&amp;'Raw data'!$L$2&amp;'Raw data'!$L$4:$L$267,0)))</f>
        <v>1.7982698108999564</v>
      </c>
      <c r="U13" s="418">
        <f t="array" ref="U13">IF(E$1="","",INDEX('Raw data'!$AN$4:$AN$267,MATCH("Starter"&amp;'Wide data'!$A$1&amp;'Wide data'!$A13,'Raw data'!$AI$4:$AI$267&amp;'Raw data'!$AJ$2&amp;'Raw data'!$AJ$4:$AJ$267,0)))</f>
        <v>0.3561538461538461</v>
      </c>
      <c r="V13" s="418">
        <f t="array" ref="V13">IF(G$1="","",INDEX('Raw data'!$AN$4:$AN$267,MATCH("Grower"&amp;'Wide data'!$A$1&amp;'Wide data'!$A13,'Raw data'!$AI$4:$AI$267&amp;'Raw data'!$AJ$2&amp;'Raw data'!$AJ$4:$AJ$267,0)))</f>
        <v>1.3960526315789472</v>
      </c>
      <c r="W13" s="418">
        <f t="array" ref="W13">IF(H$1="","",INDEX('Raw data'!$AN$4:$AN$267,MATCH("Finisher"&amp;'Wide data'!$A$1&amp;'Wide data'!$A13,'Raw data'!$AI$4:$AI$267&amp;'Raw data'!$AJ$2&amp;'Raw data'!$AJ$4:$AJ$267,0)))</f>
        <v>2.189473684210526</v>
      </c>
      <c r="X13" s="418">
        <f t="array" ref="X13">IF(H$1="","",INDEX('Raw data'!$AP$4:$AP$267,MATCH("Starter"&amp;'Wide data'!$A$1&amp;'Wide data'!$A13,'Raw data'!$AI$4:$AI$267&amp;'Raw data'!$AJ$2&amp;'Raw data'!$AJ$4:$AJ$267,0)))</f>
        <v>0.31012884615384612</v>
      </c>
      <c r="Y13" s="418">
        <f t="array" ref="Y13">IF(J$1="","",INDEX('Raw data'!$AP$4:$AP$267,MATCH("Grower"&amp;'Wide data'!$A$1&amp;'Wide data'!$A13,'Raw data'!$AI$4:$AI$267&amp;'Raw data'!$AJ$2&amp;'Raw data'!$AJ$4:$AJ$267,0)))</f>
        <v>1.0398987854251012</v>
      </c>
      <c r="Z13" s="418">
        <f t="array" ref="Z13">IF(K$1="","",INDEX('Raw data'!$AP$4:$AP$267,MATCH("Finisher"&amp;'Wide data'!$A$1&amp;'Wide data'!$A13,'Raw data'!$AI$4:$AI$267&amp;'Raw data'!$AJ$2&amp;'Raw data'!$AJ$4:$AJ$267,0)))</f>
        <v>0.7934210526315788</v>
      </c>
      <c r="AA13" s="418">
        <f t="array" ref="AA13">IF(K$1="","",INDEX('Raw data'!$AR$4:$AR$267,MATCH("Starter"&amp;'Wide data'!$A$1&amp;'Wide data'!$A13,'Raw data'!$AI$4:$AI$267&amp;'Raw data'!$AJ$2&amp;'Raw data'!$AJ$4:$AJ$267,0)))</f>
        <v>0.41923076923076924</v>
      </c>
      <c r="AB13" s="418">
        <f t="array" ref="AB13">IF(M$1="","",INDEX('Raw data'!$AR$4:$AR$267,MATCH("Grower"&amp;'Wide data'!$A$1&amp;'Wide data'!$A13,'Raw data'!$AI$4:$AI$267&amp;'Raw data'!$AJ$2&amp;'Raw data'!$AJ$4:$AJ$267,0)))</f>
        <v>2.201798245614035</v>
      </c>
      <c r="AC13" s="418">
        <f t="array" ref="AC13">IF(N$1="","",INDEX('Raw data'!$AR$4:$AR$267,MATCH("Finisher"&amp;'Wide data'!$A$1&amp;'Wide data'!$A13,'Raw data'!$AI$4:$AI$267&amp;'Raw data'!$AJ$2&amp;'Raw data'!$AJ$4:$AJ$267,0)))</f>
        <v>1.3776315789473683</v>
      </c>
      <c r="AD13" s="418">
        <f t="array" ref="AD13">IF(N$1="","",INDEX('Raw data'!$AS$4:$AS$267,MATCH("Starter"&amp;'Wide data'!$A$1&amp;'Wide data'!$A13,'Raw data'!$AI$4:$AI$267&amp;'Raw data'!$AJ$2&amp;'Raw data'!$AJ$4:$AJ$267,0)))</f>
        <v>1.1734730495944883</v>
      </c>
      <c r="AE13" s="418">
        <f t="array" ref="AE13">IF(P$1="","",INDEX('Raw data'!$AS$4:$AS$267,MATCH("Grower"&amp;'Wide data'!$A$1&amp;'Wide data'!$A13,'Raw data'!$AI$4:$AI$267&amp;'Raw data'!$AJ$2&amp;'Raw data'!$AJ$4:$AJ$267,0)))</f>
        <v>2.0089122430567405</v>
      </c>
      <c r="AF13" s="418">
        <f t="array" ref="AF13">IF(Q$1="","",INDEX('Raw data'!$AS$4:$AS$267,MATCH("Finisher"&amp;'Wide data'!$A$1&amp;'Wide data'!$A13,'Raw data'!$AI$4:$AI$267&amp;'Raw data'!$AJ$2&amp;'Raw data'!$AJ$4:$AJ$267,0)))</f>
        <v>1.7363184079601992</v>
      </c>
    </row>
    <row r="14" spans="1:32" x14ac:dyDescent="0.25">
      <c r="A14" s="24">
        <f>'Raw data'!L16</f>
        <v>13</v>
      </c>
      <c r="B14" s="24" t="str">
        <f>INDEX('Raw data'!$B$4:$B$69, 'Wide data'!A14)</f>
        <v>T3</v>
      </c>
      <c r="C14" s="24" t="str">
        <f>INDEX('Raw data'!$C$4:$C$69, 'Wide data'!A14)</f>
        <v>R2</v>
      </c>
      <c r="D14" s="24">
        <f t="array" ref="D14">INDEX('Raw data'!$F$4:$F$69,MATCH($A$1&amp;'Wide data'!$A14,'Raw data'!$A$3&amp;'Raw data'!$A$4:$A$69,0))</f>
        <v>4.5725000000000002E-2</v>
      </c>
      <c r="E14" s="24">
        <f t="array" ref="E14">IF(E$1="","",INDEX('Raw data'!$Q$4:$Q$267,MATCH("14 days"&amp;'Wide data'!$A$1&amp;'Wide data'!$A14,'Raw data'!$K$4:$K$267&amp;'Raw data'!$L$2&amp;'Raw data'!$L$4:$L$267,0)))</f>
        <v>0.35230769230769232</v>
      </c>
      <c r="F14" s="24">
        <f t="array" ref="F14">IF(F$1="","",INDEX('Raw data'!$Q$4:$Q$267,MATCH("23 days"&amp;'Wide data'!$A$1&amp;'Wide data'!$A14,'Raw data'!$K$4:$K$267&amp;'Raw data'!$L$2&amp;'Raw data'!$L$4:$L$267,0)))</f>
        <v>0.95394736842105265</v>
      </c>
      <c r="G14" s="24">
        <f t="array" ref="G14">IF(G$1="","",INDEX('Raw data'!$Q$4:$Q$267,MATCH("32 days"&amp;'Wide data'!$A$1&amp;'Wide data'!$A14,'Raw data'!$K$4:$K$267&amp;'Raw data'!$L$2&amp;'Raw data'!$L$4:$L$267,0)))</f>
        <v>1.4473684210526314</v>
      </c>
      <c r="H14" s="24">
        <f t="array" ref="H14">IF(H$1="","",INDEX('Raw data'!$Q$4:$Q$267,MATCH("39 days"&amp;'Wide data'!$A$1&amp;'Wide data'!$A14,'Raw data'!$K$4:$K$267&amp;'Raw data'!$L$2&amp;'Raw data'!$L$4:$L$267,0)))</f>
        <v>2.2776315789473682</v>
      </c>
      <c r="I14" s="24">
        <f t="array" ref="I14">IF(I$1="","",INDEX('Raw data'!$S$4:$S$267,MATCH("14 days"&amp;'Wide data'!$A$1&amp;'Wide data'!$A14,'Raw data'!$K$4:$K$267&amp;'Raw data'!$L$2&amp;'Raw data'!$L$4:$L$267,0)))</f>
        <v>0.30658269230769231</v>
      </c>
      <c r="J14" s="24">
        <f t="array" ref="J14">IF(J$1="","",INDEX('Raw data'!$S$4:$S$267,MATCH("23 days"&amp;'Wide data'!$A$1&amp;'Wide data'!$A14,'Raw data'!$K$4:$K$267&amp;'Raw data'!$L$2&amp;'Raw data'!$L$4:$L$267,0)))</f>
        <v>0.60163967611336033</v>
      </c>
      <c r="K14" s="24">
        <f t="array" ref="K14">IF(K$1="","",INDEX('Raw data'!$S$4:$S$267,MATCH("32 days"&amp;'Wide data'!$A$1&amp;'Wide data'!$A14,'Raw data'!$K$4:$K$267&amp;'Raw data'!$L$2&amp;'Raw data'!$L$4:$L$267,0)))</f>
        <v>0.49342105263157876</v>
      </c>
      <c r="L14" s="24">
        <f t="array" ref="L14">IF(L$1="","",INDEX('Raw data'!$S$4:$S$267,MATCH("39 days"&amp;'Wide data'!$A$1&amp;'Wide data'!$A14,'Raw data'!$K$4:$K$267&amp;'Raw data'!$L$2&amp;'Raw data'!$L$4:$L$267,0)))</f>
        <v>0.83026315789473681</v>
      </c>
      <c r="M14" s="24">
        <f t="array" ref="M14">IF(M$1="","",INDEX('Raw data'!$V$4:$V$267,MATCH("14 days"&amp;'Wide data'!$A$1&amp;'Wide data'!$A14,'Raw data'!$K$4:$K$267&amp;'Raw data'!$L$2&amp;'Raw data'!$L$4:$L$267,0)))</f>
        <v>0.40769230769230774</v>
      </c>
      <c r="N14" s="24">
        <f t="array" ref="N14">IF(N$1="","",INDEX('Raw data'!$V$4:$V$267,MATCH("23 days"&amp;'Wide data'!$A$1&amp;'Wide data'!$A14,'Raw data'!$K$4:$K$267&amp;'Raw data'!$L$2&amp;'Raw data'!$L$4:$L$267,0)))</f>
        <v>0.83907894736842081</v>
      </c>
      <c r="O14" s="24">
        <f t="array" ref="O14">IF(O$1="","",INDEX('Raw data'!$V$4:$V$267,MATCH("32 days"&amp;'Wide data'!$A$1&amp;'Wide data'!$A14,'Raw data'!$K$4:$K$267&amp;'Raw data'!$L$2&amp;'Raw data'!$L$4:$L$267,0)))</f>
        <v>1.403026315789474</v>
      </c>
      <c r="P14" s="24">
        <f t="array" ref="P14">IF(P$1="","",INDEX('Raw data'!$V$4:$V$267,MATCH("39 days"&amp;'Wide data'!$A$1&amp;'Wide data'!$A14,'Raw data'!$K$4:$K$267&amp;'Raw data'!$L$2&amp;'Raw data'!$L$4:$L$267,0)))</f>
        <v>1.3907894736842106</v>
      </c>
      <c r="Q14" s="24">
        <f t="array" ref="Q14">IF(Q$1="","",INDEX('Raw data'!$W$4:$W$267,MATCH("14 days"&amp;'Wide data'!$A$1&amp;'Wide data'!$A14,'Raw data'!$K$4:$K$267&amp;'Raw data'!$L$2&amp;'Raw data'!$L$4:$L$267,0)))</f>
        <v>1.1406025824964134</v>
      </c>
      <c r="R14" s="24">
        <f t="array" ref="R14">IF(R$1="","",INDEX('Raw data'!$W$4:$W$267,MATCH("23 days"&amp;'Wide data'!$A$1&amp;'Wide data'!$A14,'Raw data'!$K$4:$K$267&amp;'Raw data'!$L$2&amp;'Raw data'!$L$4:$L$267,0)))</f>
        <v>1.2960401410360725</v>
      </c>
      <c r="S14" s="24">
        <f t="array" ref="S14">IF(S$1="","",INDEX('Raw data'!$W$4:$W$267,MATCH("32 days"&amp;'Wide data'!$A$1&amp;'Wide data'!$A14,'Raw data'!$K$4:$K$267&amp;'Raw data'!$L$2&amp;'Raw data'!$L$4:$L$267,0)))</f>
        <v>1.8176914778856528</v>
      </c>
      <c r="T14" s="24">
        <f t="array" ref="T14">IF(T$1="","",INDEX('Raw data'!$W$4:$W$267,MATCH("39 days"&amp;'Wide data'!$A$1&amp;'Wide data'!$A14,'Raw data'!$K$4:$K$267&amp;'Raw data'!$L$2&amp;'Raw data'!$L$4:$L$267,0)))</f>
        <v>1.7660892508890675</v>
      </c>
      <c r="U14" s="418">
        <f t="array" ref="U14">IF(E$1="","",INDEX('Raw data'!$AN$4:$AN$267,MATCH("Starter"&amp;'Wide data'!$A$1&amp;'Wide data'!$A14,'Raw data'!$AI$4:$AI$267&amp;'Raw data'!$AJ$2&amp;'Raw data'!$AJ$4:$AJ$267,0)))</f>
        <v>0.35230769230769232</v>
      </c>
      <c r="V14" s="418">
        <f t="array" ref="V14">IF(G$1="","",INDEX('Raw data'!$AN$4:$AN$267,MATCH("Grower"&amp;'Wide data'!$A$1&amp;'Wide data'!$A14,'Raw data'!$AI$4:$AI$267&amp;'Raw data'!$AJ$2&amp;'Raw data'!$AJ$4:$AJ$267,0)))</f>
        <v>1.4473684210526314</v>
      </c>
      <c r="W14" s="418">
        <f t="array" ref="W14">IF(H$1="","",INDEX('Raw data'!$AN$4:$AN$267,MATCH("Finisher"&amp;'Wide data'!$A$1&amp;'Wide data'!$A14,'Raw data'!$AI$4:$AI$267&amp;'Raw data'!$AJ$2&amp;'Raw data'!$AJ$4:$AJ$267,0)))</f>
        <v>2.2776315789473682</v>
      </c>
      <c r="X14" s="418">
        <f t="array" ref="X14">IF(H$1="","",INDEX('Raw data'!$AP$4:$AP$267,MATCH("Starter"&amp;'Wide data'!$A$1&amp;'Wide data'!$A14,'Raw data'!$AI$4:$AI$267&amp;'Raw data'!$AJ$2&amp;'Raw data'!$AJ$4:$AJ$267,0)))</f>
        <v>0.30658269230769231</v>
      </c>
      <c r="Y14" s="418">
        <f t="array" ref="Y14">IF(J$1="","",INDEX('Raw data'!$AP$4:$AP$267,MATCH("Grower"&amp;'Wide data'!$A$1&amp;'Wide data'!$A14,'Raw data'!$AI$4:$AI$267&amp;'Raw data'!$AJ$2&amp;'Raw data'!$AJ$4:$AJ$267,0)))</f>
        <v>1.0950607287449392</v>
      </c>
      <c r="Z14" s="418">
        <f t="array" ref="Z14">IF(K$1="","",INDEX('Raw data'!$AP$4:$AP$267,MATCH("Finisher"&amp;'Wide data'!$A$1&amp;'Wide data'!$A14,'Raw data'!$AI$4:$AI$267&amp;'Raw data'!$AJ$2&amp;'Raw data'!$AJ$4:$AJ$267,0)))</f>
        <v>0.83026315789473681</v>
      </c>
      <c r="AA14" s="418">
        <f t="array" ref="AA14">IF(K$1="","",INDEX('Raw data'!$AR$4:$AR$267,MATCH("Starter"&amp;'Wide data'!$A$1&amp;'Wide data'!$A14,'Raw data'!$AI$4:$AI$267&amp;'Raw data'!$AJ$2&amp;'Raw data'!$AJ$4:$AJ$267,0)))</f>
        <v>0.40769230769230774</v>
      </c>
      <c r="AB14" s="418">
        <f t="array" ref="AB14">IF(M$1="","",INDEX('Raw data'!$AR$4:$AR$267,MATCH("Grower"&amp;'Wide data'!$A$1&amp;'Wide data'!$A14,'Raw data'!$AI$4:$AI$267&amp;'Raw data'!$AJ$2&amp;'Raw data'!$AJ$4:$AJ$267,0)))</f>
        <v>2.242105263157895</v>
      </c>
      <c r="AC14" s="418">
        <f t="array" ref="AC14">IF(N$1="","",INDEX('Raw data'!$AR$4:$AR$267,MATCH("Finisher"&amp;'Wide data'!$A$1&amp;'Wide data'!$A14,'Raw data'!$AI$4:$AI$267&amp;'Raw data'!$AJ$2&amp;'Raw data'!$AJ$4:$AJ$267,0)))</f>
        <v>1.3907894736842106</v>
      </c>
      <c r="AD14" s="418">
        <f t="array" ref="AD14">IF(N$1="","",INDEX('Raw data'!$AS$4:$AS$267,MATCH("Starter"&amp;'Wide data'!$A$1&amp;'Wide data'!$A14,'Raw data'!$AI$4:$AI$267&amp;'Raw data'!$AJ$2&amp;'Raw data'!$AJ$4:$AJ$267,0)))</f>
        <v>1.1406025824964134</v>
      </c>
      <c r="AE14" s="418">
        <f t="array" ref="AE14">IF(P$1="","",INDEX('Raw data'!$AS$4:$AS$267,MATCH("Grower"&amp;'Wide data'!$A$1&amp;'Wide data'!$A14,'Raw data'!$AI$4:$AI$267&amp;'Raw data'!$AJ$2&amp;'Raw data'!$AJ$4:$AJ$267,0)))</f>
        <v>2.0270121884264856</v>
      </c>
      <c r="AF14" s="418">
        <f t="array" ref="AF14">IF(Q$1="","",INDEX('Raw data'!$AS$4:$AS$267,MATCH("Finisher"&amp;'Wide data'!$A$1&amp;'Wide data'!$A14,'Raw data'!$AI$4:$AI$267&amp;'Raw data'!$AJ$2&amp;'Raw data'!$AJ$4:$AJ$267,0)))</f>
        <v>1.6751188589540413</v>
      </c>
    </row>
    <row r="15" spans="1:32" x14ac:dyDescent="0.25">
      <c r="A15" s="24">
        <f>'Raw data'!L17</f>
        <v>14</v>
      </c>
      <c r="B15" s="24" t="str">
        <f>INDEX('Raw data'!$B$4:$B$69, 'Wide data'!A15)</f>
        <v>T5</v>
      </c>
      <c r="C15" s="24" t="str">
        <f>INDEX('Raw data'!$C$4:$C$69, 'Wide data'!A15)</f>
        <v>R2</v>
      </c>
      <c r="D15" s="24">
        <f t="array" ref="D15">INDEX('Raw data'!$F$4:$F$69,MATCH($A$1&amp;'Wide data'!$A15,'Raw data'!$A$3&amp;'Raw data'!$A$4:$A$69,0))</f>
        <v>4.5650000000000003E-2</v>
      </c>
      <c r="E15" s="24">
        <f t="array" ref="E15">IF(E$1="","",INDEX('Raw data'!$Q$4:$Q$267,MATCH("14 days"&amp;'Wide data'!$A$1&amp;'Wide data'!$A15,'Raw data'!$K$4:$K$267&amp;'Raw data'!$L$2&amp;'Raw data'!$L$4:$L$267,0)))</f>
        <v>0.36128205128205121</v>
      </c>
      <c r="F15" s="24">
        <f t="array" ref="F15">IF(F$1="","",INDEX('Raw data'!$Q$4:$Q$267,MATCH("23 days"&amp;'Wide data'!$A$1&amp;'Wide data'!$A15,'Raw data'!$K$4:$K$267&amp;'Raw data'!$L$2&amp;'Raw data'!$L$4:$L$267,0)))</f>
        <v>0.9705128205128204</v>
      </c>
      <c r="G15" s="24">
        <f t="array" ref="G15">IF(G$1="","",INDEX('Raw data'!$Q$4:$Q$267,MATCH("32 days"&amp;'Wide data'!$A$1&amp;'Wide data'!$A15,'Raw data'!$K$4:$K$267&amp;'Raw data'!$L$2&amp;'Raw data'!$L$4:$L$267,0)))</f>
        <v>1.4486486486486487</v>
      </c>
      <c r="H15" s="24">
        <f t="array" ref="H15">IF(H$1="","",INDEX('Raw data'!$Q$4:$Q$267,MATCH("39 days"&amp;'Wide data'!$A$1&amp;'Wide data'!$A15,'Raw data'!$K$4:$K$267&amp;'Raw data'!$L$2&amp;'Raw data'!$L$4:$L$267,0)))</f>
        <v>2.275675675675676</v>
      </c>
      <c r="I15" s="24">
        <f t="array" ref="I15">IF(I$1="","",INDEX('Raw data'!$S$4:$S$267,MATCH("14 days"&amp;'Wide data'!$A$1&amp;'Wide data'!$A15,'Raw data'!$K$4:$K$267&amp;'Raw data'!$L$2&amp;'Raw data'!$L$4:$L$267,0)))</f>
        <v>0.31563205128205118</v>
      </c>
      <c r="J15" s="24">
        <f t="array" ref="J15">IF(J$1="","",INDEX('Raw data'!$S$4:$S$267,MATCH("23 days"&amp;'Wide data'!$A$1&amp;'Wide data'!$A15,'Raw data'!$K$4:$K$267&amp;'Raw data'!$L$2&amp;'Raw data'!$L$4:$L$267,0)))</f>
        <v>0.60923076923076924</v>
      </c>
      <c r="K15" s="24">
        <f t="array" ref="K15">IF(K$1="","",INDEX('Raw data'!$S$4:$S$267,MATCH("32 days"&amp;'Wide data'!$A$1&amp;'Wide data'!$A15,'Raw data'!$K$4:$K$267&amp;'Raw data'!$L$2&amp;'Raw data'!$L$4:$L$267,0)))</f>
        <v>0.47813582813582833</v>
      </c>
      <c r="L15" s="24">
        <f t="array" ref="L15">IF(L$1="","",INDEX('Raw data'!$S$4:$S$267,MATCH("39 days"&amp;'Wide data'!$A$1&amp;'Wide data'!$A15,'Raw data'!$K$4:$K$267&amp;'Raw data'!$L$2&amp;'Raw data'!$L$4:$L$267,0)))</f>
        <v>0.82702702702702724</v>
      </c>
      <c r="M15" s="24">
        <f t="array" ref="M15">IF(M$1="","",INDEX('Raw data'!$V$4:$V$267,MATCH("14 days"&amp;'Wide data'!$A$1&amp;'Wide data'!$A15,'Raw data'!$K$4:$K$267&amp;'Raw data'!$L$2&amp;'Raw data'!$L$4:$L$267,0)))</f>
        <v>0.41153846153846158</v>
      </c>
      <c r="N15" s="24">
        <f t="array" ref="N15">IF(N$1="","",INDEX('Raw data'!$V$4:$V$267,MATCH("23 days"&amp;'Wide data'!$A$1&amp;'Wide data'!$A15,'Raw data'!$K$4:$K$267&amp;'Raw data'!$L$2&amp;'Raw data'!$L$4:$L$267,0)))</f>
        <v>0.83423076923076911</v>
      </c>
      <c r="O15" s="24">
        <f t="array" ref="O15">IF(O$1="","",INDEX('Raw data'!$V$4:$V$267,MATCH("32 days"&amp;'Wide data'!$A$1&amp;'Wide data'!$A15,'Raw data'!$K$4:$K$267&amp;'Raw data'!$L$2&amp;'Raw data'!$L$4:$L$267,0)))</f>
        <v>1.4395945945945947</v>
      </c>
      <c r="P15" s="24">
        <f t="array" ref="P15">IF(P$1="","",INDEX('Raw data'!$V$4:$V$267,MATCH("39 days"&amp;'Wide data'!$A$1&amp;'Wide data'!$A15,'Raw data'!$K$4:$K$267&amp;'Raw data'!$L$2&amp;'Raw data'!$L$4:$L$267,0)))</f>
        <v>1.3675675675675676</v>
      </c>
      <c r="Q15" s="24">
        <f t="array" ref="Q15">IF(Q$1="","",INDEX('Raw data'!$W$4:$W$267,MATCH("14 days"&amp;'Wide data'!$A$1&amp;'Wide data'!$A15,'Raw data'!$K$4:$K$267&amp;'Raw data'!$L$2&amp;'Raw data'!$L$4:$L$267,0)))</f>
        <v>1.129963390594199</v>
      </c>
      <c r="R15" s="24">
        <f t="array" ref="R15">IF(R$1="","",INDEX('Raw data'!$W$4:$W$267,MATCH("23 days"&amp;'Wide data'!$A$1&amp;'Wide data'!$A15,'Raw data'!$K$4:$K$267&amp;'Raw data'!$L$2&amp;'Raw data'!$L$4:$L$267,0)))</f>
        <v>1.2797650405647456</v>
      </c>
      <c r="S15" s="24">
        <f t="array" ref="S15">IF(S$1="","",INDEX('Raw data'!$W$4:$W$267,MATCH("32 days"&amp;'Wide data'!$A$1&amp;'Wide data'!$A15,'Raw data'!$K$4:$K$267&amp;'Raw data'!$L$2&amp;'Raw data'!$L$4:$L$267,0)))</f>
        <v>1.7717973697028737</v>
      </c>
      <c r="T15" s="24">
        <f t="array" ref="T15">IF(T$1="","",INDEX('Raw data'!$W$4:$W$267,MATCH("39 days"&amp;'Wide data'!$A$1&amp;'Wide data'!$A15,'Raw data'!$K$4:$K$267&amp;'Raw data'!$L$2&amp;'Raw data'!$L$4:$L$267,0)))</f>
        <v>1.7307342990781529</v>
      </c>
      <c r="U15" s="418">
        <f t="array" ref="U15">IF(E$1="","",INDEX('Raw data'!$AN$4:$AN$267,MATCH("Starter"&amp;'Wide data'!$A$1&amp;'Wide data'!$A15,'Raw data'!$AI$4:$AI$267&amp;'Raw data'!$AJ$2&amp;'Raw data'!$AJ$4:$AJ$267,0)))</f>
        <v>0.36128205128205121</v>
      </c>
      <c r="V15" s="418">
        <f t="array" ref="V15">IF(G$1="","",INDEX('Raw data'!$AN$4:$AN$267,MATCH("Grower"&amp;'Wide data'!$A$1&amp;'Wide data'!$A15,'Raw data'!$AI$4:$AI$267&amp;'Raw data'!$AJ$2&amp;'Raw data'!$AJ$4:$AJ$267,0)))</f>
        <v>1.4486486486486487</v>
      </c>
      <c r="W15" s="418">
        <f t="array" ref="W15">IF(H$1="","",INDEX('Raw data'!$AN$4:$AN$267,MATCH("Finisher"&amp;'Wide data'!$A$1&amp;'Wide data'!$A15,'Raw data'!$AI$4:$AI$267&amp;'Raw data'!$AJ$2&amp;'Raw data'!$AJ$4:$AJ$267,0)))</f>
        <v>2.275675675675676</v>
      </c>
      <c r="X15" s="418">
        <f t="array" ref="X15">IF(H$1="","",INDEX('Raw data'!$AP$4:$AP$267,MATCH("Starter"&amp;'Wide data'!$A$1&amp;'Wide data'!$A15,'Raw data'!$AI$4:$AI$267&amp;'Raw data'!$AJ$2&amp;'Raw data'!$AJ$4:$AJ$267,0)))</f>
        <v>0.31563205128205118</v>
      </c>
      <c r="Y15" s="418">
        <f t="array" ref="Y15">IF(J$1="","",INDEX('Raw data'!$AP$4:$AP$267,MATCH("Grower"&amp;'Wide data'!$A$1&amp;'Wide data'!$A15,'Raw data'!$AI$4:$AI$267&amp;'Raw data'!$AJ$2&amp;'Raw data'!$AJ$4:$AJ$267,0)))</f>
        <v>1.0873665973665976</v>
      </c>
      <c r="Z15" s="418">
        <f t="array" ref="Z15">IF(K$1="","",INDEX('Raw data'!$AP$4:$AP$267,MATCH("Finisher"&amp;'Wide data'!$A$1&amp;'Wide data'!$A15,'Raw data'!$AI$4:$AI$267&amp;'Raw data'!$AJ$2&amp;'Raw data'!$AJ$4:$AJ$267,0)))</f>
        <v>0.82702702702702724</v>
      </c>
      <c r="AA15" s="418">
        <f t="array" ref="AA15">IF(K$1="","",INDEX('Raw data'!$AR$4:$AR$267,MATCH("Starter"&amp;'Wide data'!$A$1&amp;'Wide data'!$A15,'Raw data'!$AI$4:$AI$267&amp;'Raw data'!$AJ$2&amp;'Raw data'!$AJ$4:$AJ$267,0)))</f>
        <v>0.41153846153846158</v>
      </c>
      <c r="AB15" s="418">
        <f t="array" ref="AB15">IF(M$1="","",INDEX('Raw data'!$AR$4:$AR$267,MATCH("Grower"&amp;'Wide data'!$A$1&amp;'Wide data'!$A15,'Raw data'!$AI$4:$AI$267&amp;'Raw data'!$AJ$2&amp;'Raw data'!$AJ$4:$AJ$267,0)))</f>
        <v>2.273825363825364</v>
      </c>
      <c r="AC15" s="418">
        <f t="array" ref="AC15">IF(N$1="","",INDEX('Raw data'!$AR$4:$AR$267,MATCH("Finisher"&amp;'Wide data'!$A$1&amp;'Wide data'!$A15,'Raw data'!$AI$4:$AI$267&amp;'Raw data'!$AJ$2&amp;'Raw data'!$AJ$4:$AJ$267,0)))</f>
        <v>1.3675675675675676</v>
      </c>
      <c r="AD15" s="418">
        <f t="array" ref="AD15">IF(N$1="","",INDEX('Raw data'!$AS$4:$AS$267,MATCH("Starter"&amp;'Wide data'!$A$1&amp;'Wide data'!$A15,'Raw data'!$AI$4:$AI$267&amp;'Raw data'!$AJ$2&amp;'Raw data'!$AJ$4:$AJ$267,0)))</f>
        <v>1.129963390594199</v>
      </c>
      <c r="AE15" s="418">
        <f t="array" ref="AE15">IF(P$1="","",INDEX('Raw data'!$AS$4:$AS$267,MATCH("Grower"&amp;'Wide data'!$A$1&amp;'Wide data'!$A15,'Raw data'!$AI$4:$AI$267&amp;'Raw data'!$AJ$2&amp;'Raw data'!$AJ$4:$AJ$267,0)))</f>
        <v>1.8973475011623813</v>
      </c>
      <c r="AF15" s="418">
        <f t="array" ref="AF15">IF(Q$1="","",INDEX('Raw data'!$AS$4:$AS$267,MATCH("Finisher"&amp;'Wide data'!$A$1&amp;'Wide data'!$A15,'Raw data'!$AI$4:$AI$267&amp;'Raw data'!$AJ$2&amp;'Raw data'!$AJ$4:$AJ$267,0)))</f>
        <v>1.6535947712418297</v>
      </c>
    </row>
    <row r="16" spans="1:32" x14ac:dyDescent="0.25">
      <c r="A16" s="24">
        <f>'Raw data'!L18</f>
        <v>15</v>
      </c>
      <c r="B16" s="24" t="str">
        <f>INDEX('Raw data'!$B$4:$B$69, 'Wide data'!A16)</f>
        <v>T4</v>
      </c>
      <c r="C16" s="24" t="str">
        <f>INDEX('Raw data'!$C$4:$C$69, 'Wide data'!A16)</f>
        <v>R3</v>
      </c>
      <c r="D16" s="24">
        <f t="array" ref="D16">INDEX('Raw data'!$F$4:$F$69,MATCH($A$1&amp;'Wide data'!$A16,'Raw data'!$A$3&amp;'Raw data'!$A$4:$A$69,0))</f>
        <v>4.5824999999999998E-2</v>
      </c>
      <c r="E16" s="24">
        <f t="array" ref="E16">IF(E$1="","",INDEX('Raw data'!$Q$4:$Q$267,MATCH("14 days"&amp;'Wide data'!$A$1&amp;'Wide data'!$A16,'Raw data'!$K$4:$K$267&amp;'Raw data'!$L$2&amp;'Raw data'!$L$4:$L$267,0)))</f>
        <v>0.36641025641025643</v>
      </c>
      <c r="F16" s="24">
        <f t="array" ref="F16">IF(F$1="","",INDEX('Raw data'!$Q$4:$Q$267,MATCH("23 days"&amp;'Wide data'!$A$1&amp;'Wide data'!$A16,'Raw data'!$K$4:$K$267&amp;'Raw data'!$L$2&amp;'Raw data'!$L$4:$L$267,0)))</f>
        <v>0.96973684210526301</v>
      </c>
      <c r="G16" s="24">
        <f t="array" ref="G16">IF(G$1="","",INDEX('Raw data'!$Q$4:$Q$267,MATCH("32 days"&amp;'Wide data'!$A$1&amp;'Wide data'!$A16,'Raw data'!$K$4:$K$267&amp;'Raw data'!$L$2&amp;'Raw data'!$L$4:$L$267,0)))</f>
        <v>1.472972972972973</v>
      </c>
      <c r="H16" s="24">
        <f t="array" ref="H16">IF(H$1="","",INDEX('Raw data'!$Q$4:$Q$267,MATCH("39 days"&amp;'Wide data'!$A$1&amp;'Wide data'!$A16,'Raw data'!$K$4:$K$267&amp;'Raw data'!$L$2&amp;'Raw data'!$L$4:$L$267,0)))</f>
        <v>2.285135135135135</v>
      </c>
      <c r="I16" s="24">
        <f t="array" ref="I16">IF(I$1="","",INDEX('Raw data'!$S$4:$S$267,MATCH("14 days"&amp;'Wide data'!$A$1&amp;'Wide data'!$A16,'Raw data'!$K$4:$K$267&amp;'Raw data'!$L$2&amp;'Raw data'!$L$4:$L$267,0)))</f>
        <v>0.32058525641025643</v>
      </c>
      <c r="J16" s="24">
        <f t="array" ref="J16">IF(J$1="","",INDEX('Raw data'!$S$4:$S$267,MATCH("23 days"&amp;'Wide data'!$A$1&amp;'Wide data'!$A16,'Raw data'!$K$4:$K$267&amp;'Raw data'!$L$2&amp;'Raw data'!$L$4:$L$267,0)))</f>
        <v>0.60332658569500652</v>
      </c>
      <c r="K16" s="24">
        <f t="array" ref="K16">IF(K$1="","",INDEX('Raw data'!$S$4:$S$267,MATCH("32 days"&amp;'Wide data'!$A$1&amp;'Wide data'!$A16,'Raw data'!$K$4:$K$267&amp;'Raw data'!$L$2&amp;'Raw data'!$L$4:$L$267,0)))</f>
        <v>0.50323613086771002</v>
      </c>
      <c r="L16" s="24">
        <f t="array" ref="L16">IF(L$1="","",INDEX('Raw data'!$S$4:$S$267,MATCH("39 days"&amp;'Wide data'!$A$1&amp;'Wide data'!$A16,'Raw data'!$K$4:$K$267&amp;'Raw data'!$L$2&amp;'Raw data'!$L$4:$L$267,0)))</f>
        <v>0.81216216216216197</v>
      </c>
      <c r="M16" s="24">
        <f t="array" ref="M16">IF(M$1="","",INDEX('Raw data'!$V$4:$V$267,MATCH("14 days"&amp;'Wide data'!$A$1&amp;'Wide data'!$A16,'Raw data'!$K$4:$K$267&amp;'Raw data'!$L$2&amp;'Raw data'!$L$4:$L$267,0)))</f>
        <v>0.42692307692307691</v>
      </c>
      <c r="N16" s="24">
        <f t="array" ref="N16">IF(N$1="","",INDEX('Raw data'!$V$4:$V$267,MATCH("23 days"&amp;'Wide data'!$A$1&amp;'Wide data'!$A16,'Raw data'!$K$4:$K$267&amp;'Raw data'!$L$2&amp;'Raw data'!$L$4:$L$267,0)))</f>
        <v>0.84302631578947362</v>
      </c>
      <c r="O16" s="24">
        <f t="array" ref="O16">IF(O$1="","",INDEX('Raw data'!$V$4:$V$267,MATCH("32 days"&amp;'Wide data'!$A$1&amp;'Wide data'!$A16,'Raw data'!$K$4:$K$267&amp;'Raw data'!$L$2&amp;'Raw data'!$L$4:$L$267,0)))</f>
        <v>1.4125675675675675</v>
      </c>
      <c r="P16" s="24">
        <f t="array" ref="P16">IF(P$1="","",INDEX('Raw data'!$V$4:$V$267,MATCH("39 days"&amp;'Wide data'!$A$1&amp;'Wide data'!$A16,'Raw data'!$K$4:$K$267&amp;'Raw data'!$L$2&amp;'Raw data'!$L$4:$L$267,0)))</f>
        <v>1.3756756756756756</v>
      </c>
      <c r="Q16" s="24">
        <f t="array" ref="Q16">IF(Q$1="","",INDEX('Raw data'!$W$4:$W$267,MATCH("14 days"&amp;'Wide data'!$A$1&amp;'Wide data'!$A16,'Raw data'!$K$4:$K$267&amp;'Raw data'!$L$2&amp;'Raw data'!$L$4:$L$267,0)))</f>
        <v>1.1451169188445665</v>
      </c>
      <c r="R16" s="24">
        <f t="array" ref="R16">IF(R$1="","",INDEX('Raw data'!$W$4:$W$267,MATCH("23 days"&amp;'Wide data'!$A$1&amp;'Wide data'!$A16,'Raw data'!$K$4:$K$267&amp;'Raw data'!$L$2&amp;'Raw data'!$L$4:$L$267,0)))</f>
        <v>1.2965379494007989</v>
      </c>
      <c r="S16" s="24">
        <f t="array" ref="S16">IF(S$1="","",INDEX('Raw data'!$W$4:$W$267,MATCH("32 days"&amp;'Wide data'!$A$1&amp;'Wide data'!$A16,'Raw data'!$K$4:$K$267&amp;'Raw data'!$L$2&amp;'Raw data'!$L$4:$L$267,0)))</f>
        <v>1.7962633451957293</v>
      </c>
      <c r="T16" s="24">
        <f t="array" ref="T16">IF(T$1="","",INDEX('Raw data'!$W$4:$W$267,MATCH("39 days"&amp;'Wide data'!$A$1&amp;'Wide data'!$A16,'Raw data'!$K$4:$K$267&amp;'Raw data'!$L$2&amp;'Raw data'!$L$4:$L$267,0)))</f>
        <v>1.7605797101449274</v>
      </c>
      <c r="U16" s="418">
        <f t="array" ref="U16">IF(E$1="","",INDEX('Raw data'!$AN$4:$AN$267,MATCH("Starter"&amp;'Wide data'!$A$1&amp;'Wide data'!$A16,'Raw data'!$AI$4:$AI$267&amp;'Raw data'!$AJ$2&amp;'Raw data'!$AJ$4:$AJ$267,0)))</f>
        <v>0.36641025641025643</v>
      </c>
      <c r="V16" s="418">
        <f t="array" ref="V16">IF(G$1="","",INDEX('Raw data'!$AN$4:$AN$267,MATCH("Grower"&amp;'Wide data'!$A$1&amp;'Wide data'!$A16,'Raw data'!$AI$4:$AI$267&amp;'Raw data'!$AJ$2&amp;'Raw data'!$AJ$4:$AJ$267,0)))</f>
        <v>1.472972972972973</v>
      </c>
      <c r="W16" s="418">
        <f t="array" ref="W16">IF(H$1="","",INDEX('Raw data'!$AN$4:$AN$267,MATCH("Finisher"&amp;'Wide data'!$A$1&amp;'Wide data'!$A16,'Raw data'!$AI$4:$AI$267&amp;'Raw data'!$AJ$2&amp;'Raw data'!$AJ$4:$AJ$267,0)))</f>
        <v>2.285135135135135</v>
      </c>
      <c r="X16" s="418">
        <f t="array" ref="X16">IF(H$1="","",INDEX('Raw data'!$AP$4:$AP$267,MATCH("Starter"&amp;'Wide data'!$A$1&amp;'Wide data'!$A16,'Raw data'!$AI$4:$AI$267&amp;'Raw data'!$AJ$2&amp;'Raw data'!$AJ$4:$AJ$267,0)))</f>
        <v>0.32058525641025643</v>
      </c>
      <c r="Y16" s="418">
        <f t="array" ref="Y16">IF(J$1="","",INDEX('Raw data'!$AP$4:$AP$267,MATCH("Grower"&amp;'Wide data'!$A$1&amp;'Wide data'!$A16,'Raw data'!$AI$4:$AI$267&amp;'Raw data'!$AJ$2&amp;'Raw data'!$AJ$4:$AJ$267,0)))</f>
        <v>1.1065627165627165</v>
      </c>
      <c r="Z16" s="418">
        <f t="array" ref="Z16">IF(K$1="","",INDEX('Raw data'!$AP$4:$AP$267,MATCH("Finisher"&amp;'Wide data'!$A$1&amp;'Wide data'!$A16,'Raw data'!$AI$4:$AI$267&amp;'Raw data'!$AJ$2&amp;'Raw data'!$AJ$4:$AJ$267,0)))</f>
        <v>0.81216216216216197</v>
      </c>
      <c r="AA16" s="418">
        <f t="array" ref="AA16">IF(K$1="","",INDEX('Raw data'!$AR$4:$AR$267,MATCH("Starter"&amp;'Wide data'!$A$1&amp;'Wide data'!$A16,'Raw data'!$AI$4:$AI$267&amp;'Raw data'!$AJ$2&amp;'Raw data'!$AJ$4:$AJ$267,0)))</f>
        <v>0.42692307692307691</v>
      </c>
      <c r="AB16" s="418">
        <f t="array" ref="AB16">IF(M$1="","",INDEX('Raw data'!$AR$4:$AR$267,MATCH("Grower"&amp;'Wide data'!$A$1&amp;'Wide data'!$A16,'Raw data'!$AI$4:$AI$267&amp;'Raw data'!$AJ$2&amp;'Raw data'!$AJ$4:$AJ$267,0)))</f>
        <v>2.255593883357041</v>
      </c>
      <c r="AC16" s="418">
        <f t="array" ref="AC16">IF(N$1="","",INDEX('Raw data'!$AR$4:$AR$267,MATCH("Finisher"&amp;'Wide data'!$A$1&amp;'Wide data'!$A16,'Raw data'!$AI$4:$AI$267&amp;'Raw data'!$AJ$2&amp;'Raw data'!$AJ$4:$AJ$267,0)))</f>
        <v>1.3756756756756756</v>
      </c>
      <c r="AD16" s="418">
        <f t="array" ref="AD16">IF(N$1="","",INDEX('Raw data'!$AS$4:$AS$267,MATCH("Starter"&amp;'Wide data'!$A$1&amp;'Wide data'!$A16,'Raw data'!$AI$4:$AI$267&amp;'Raw data'!$AJ$2&amp;'Raw data'!$AJ$4:$AJ$267,0)))</f>
        <v>1.1451169188445665</v>
      </c>
      <c r="AE16" s="418">
        <f t="array" ref="AE16">IF(P$1="","",INDEX('Raw data'!$AS$4:$AS$267,MATCH("Grower"&amp;'Wide data'!$A$1&amp;'Wide data'!$A16,'Raw data'!$AI$4:$AI$267&amp;'Raw data'!$AJ$2&amp;'Raw data'!$AJ$4:$AJ$267,0)))</f>
        <v>1.9606407943215574</v>
      </c>
      <c r="AF16" s="418">
        <f t="array" ref="AF16">IF(Q$1="","",INDEX('Raw data'!$AS$4:$AS$267,MATCH("Finisher"&amp;'Wide data'!$A$1&amp;'Wide data'!$A16,'Raw data'!$AI$4:$AI$267&amp;'Raw data'!$AJ$2&amp;'Raw data'!$AJ$4:$AJ$267,0)))</f>
        <v>1.6938435940099836</v>
      </c>
    </row>
    <row r="17" spans="1:32" x14ac:dyDescent="0.25">
      <c r="A17" s="24">
        <f>'Raw data'!L19</f>
        <v>16</v>
      </c>
      <c r="B17" s="24" t="str">
        <f>INDEX('Raw data'!$B$4:$B$69, 'Wide data'!A17)</f>
        <v>T2</v>
      </c>
      <c r="C17" s="24" t="str">
        <f>INDEX('Raw data'!$C$4:$C$69, 'Wide data'!A17)</f>
        <v>R3</v>
      </c>
      <c r="D17" s="24">
        <f t="array" ref="D17">INDEX('Raw data'!$F$4:$F$69,MATCH($A$1&amp;'Wide data'!$A17,'Raw data'!$A$3&amp;'Raw data'!$A$4:$A$69,0))</f>
        <v>4.58E-2</v>
      </c>
      <c r="E17" s="24">
        <f t="array" ref="E17">IF(E$1="","",INDEX('Raw data'!$Q$4:$Q$267,MATCH("14 days"&amp;'Wide data'!$A$1&amp;'Wide data'!$A17,'Raw data'!$K$4:$K$267&amp;'Raw data'!$L$2&amp;'Raw data'!$L$4:$L$267,0)))</f>
        <v>0.38051282051282048</v>
      </c>
      <c r="F17" s="24">
        <f t="array" ref="F17">IF(F$1="","",INDEX('Raw data'!$Q$4:$Q$267,MATCH("23 days"&amp;'Wide data'!$A$1&amp;'Wide data'!$A17,'Raw data'!$K$4:$K$267&amp;'Raw data'!$L$2&amp;'Raw data'!$L$4:$L$267,0)))</f>
        <v>1.0012820512820513</v>
      </c>
      <c r="G17" s="24">
        <f t="array" ref="G17">IF(G$1="","",INDEX('Raw data'!$Q$4:$Q$267,MATCH("32 days"&amp;'Wide data'!$A$1&amp;'Wide data'!$A17,'Raw data'!$K$4:$K$267&amp;'Raw data'!$L$2&amp;'Raw data'!$L$4:$L$267,0)))</f>
        <v>1.5210526315789472</v>
      </c>
      <c r="H17" s="24">
        <f t="array" ref="H17">IF(H$1="","",INDEX('Raw data'!$Q$4:$Q$267,MATCH("39 days"&amp;'Wide data'!$A$1&amp;'Wide data'!$A17,'Raw data'!$K$4:$K$267&amp;'Raw data'!$L$2&amp;'Raw data'!$L$4:$L$267,0)))</f>
        <v>2.4289473684210527</v>
      </c>
      <c r="I17" s="24">
        <f t="array" ref="I17">IF(I$1="","",INDEX('Raw data'!$S$4:$S$267,MATCH("14 days"&amp;'Wide data'!$A$1&amp;'Wide data'!$A17,'Raw data'!$K$4:$K$267&amp;'Raw data'!$L$2&amp;'Raw data'!$L$4:$L$267,0)))</f>
        <v>0.33471282051282047</v>
      </c>
      <c r="J17" s="24">
        <f t="array" ref="J17">IF(J$1="","",INDEX('Raw data'!$S$4:$S$267,MATCH("23 days"&amp;'Wide data'!$A$1&amp;'Wide data'!$A17,'Raw data'!$K$4:$K$267&amp;'Raw data'!$L$2&amp;'Raw data'!$L$4:$L$267,0)))</f>
        <v>0.62076923076923074</v>
      </c>
      <c r="K17" s="24">
        <f t="array" ref="K17">IF(K$1="","",INDEX('Raw data'!$S$4:$S$267,MATCH("32 days"&amp;'Wide data'!$A$1&amp;'Wide data'!$A17,'Raw data'!$K$4:$K$267&amp;'Raw data'!$L$2&amp;'Raw data'!$L$4:$L$267,0)))</f>
        <v>0.51977058029689593</v>
      </c>
      <c r="L17" s="24">
        <f t="array" ref="L17">IF(L$1="","",INDEX('Raw data'!$S$4:$S$267,MATCH("39 days"&amp;'Wide data'!$A$1&amp;'Wide data'!$A17,'Raw data'!$K$4:$K$267&amp;'Raw data'!$L$2&amp;'Raw data'!$L$4:$L$267,0)))</f>
        <v>0.90789473684210553</v>
      </c>
      <c r="M17" s="24">
        <f t="array" ref="M17">IF(M$1="","",INDEX('Raw data'!$V$4:$V$267,MATCH("14 days"&amp;'Wide data'!$A$1&amp;'Wide data'!$A17,'Raw data'!$K$4:$K$267&amp;'Raw data'!$L$2&amp;'Raw data'!$L$4:$L$267,0)))</f>
        <v>0.42948717948717946</v>
      </c>
      <c r="N17" s="24">
        <f t="array" ref="N17">IF(N$1="","",INDEX('Raw data'!$V$4:$V$267,MATCH("23 days"&amp;'Wide data'!$A$1&amp;'Wide data'!$A17,'Raw data'!$K$4:$K$267&amp;'Raw data'!$L$2&amp;'Raw data'!$L$4:$L$267,0)))</f>
        <v>0.84576923076923072</v>
      </c>
      <c r="O17" s="24">
        <f t="array" ref="O17">IF(O$1="","",INDEX('Raw data'!$V$4:$V$267,MATCH("32 days"&amp;'Wide data'!$A$1&amp;'Wide data'!$A17,'Raw data'!$K$4:$K$267&amp;'Raw data'!$L$2&amp;'Raw data'!$L$4:$L$267,0)))</f>
        <v>1.4398684210526316</v>
      </c>
      <c r="P17" s="24">
        <f t="array" ref="P17">IF(P$1="","",INDEX('Raw data'!$V$4:$V$267,MATCH("39 days"&amp;'Wide data'!$A$1&amp;'Wide data'!$A17,'Raw data'!$K$4:$K$267&amp;'Raw data'!$L$2&amp;'Raw data'!$L$4:$L$267,0)))</f>
        <v>1.4460526315789475</v>
      </c>
      <c r="Q17" s="24">
        <f t="array" ref="Q17">IF(Q$1="","",INDEX('Raw data'!$W$4:$W$267,MATCH("14 days"&amp;'Wide data'!$A$1&amp;'Wide data'!$A17,'Raw data'!$K$4:$K$267&amp;'Raw data'!$L$2&amp;'Raw data'!$L$4:$L$267,0)))</f>
        <v>1.1248405076892083</v>
      </c>
      <c r="R17" s="24">
        <f t="array" ref="R17">IF(R$1="","",INDEX('Raw data'!$W$4:$W$267,MATCH("23 days"&amp;'Wide data'!$A$1&amp;'Wide data'!$A17,'Raw data'!$K$4:$K$267&amp;'Raw data'!$L$2&amp;'Raw data'!$L$4:$L$267,0)))</f>
        <v>1.2719623539039921</v>
      </c>
      <c r="S17" s="24">
        <f t="array" ref="S17">IF(S$1="","",INDEX('Raw data'!$W$4:$W$267,MATCH("32 days"&amp;'Wide data'!$A$1&amp;'Wide data'!$A17,'Raw data'!$K$4:$K$267&amp;'Raw data'!$L$2&amp;'Raw data'!$L$4:$L$267,0)))</f>
        <v>1.7763303345181205</v>
      </c>
      <c r="T17" s="24">
        <f t="array" ref="T17">IF(T$1="","",INDEX('Raw data'!$W$4:$W$267,MATCH("39 days"&amp;'Wide data'!$A$1&amp;'Wide data'!$A17,'Raw data'!$K$4:$K$267&amp;'Raw data'!$L$2&amp;'Raw data'!$L$4:$L$267,0)))</f>
        <v>1.708448998403018</v>
      </c>
      <c r="U17" s="418">
        <f t="array" ref="U17">IF(E$1="","",INDEX('Raw data'!$AN$4:$AN$267,MATCH("Starter"&amp;'Wide data'!$A$1&amp;'Wide data'!$A17,'Raw data'!$AI$4:$AI$267&amp;'Raw data'!$AJ$2&amp;'Raw data'!$AJ$4:$AJ$267,0)))</f>
        <v>0.38051282051282048</v>
      </c>
      <c r="V17" s="418">
        <f t="array" ref="V17">IF(G$1="","",INDEX('Raw data'!$AN$4:$AN$267,MATCH("Grower"&amp;'Wide data'!$A$1&amp;'Wide data'!$A17,'Raw data'!$AI$4:$AI$267&amp;'Raw data'!$AJ$2&amp;'Raw data'!$AJ$4:$AJ$267,0)))</f>
        <v>1.5210526315789472</v>
      </c>
      <c r="W17" s="418">
        <f t="array" ref="W17">IF(H$1="","",INDEX('Raw data'!$AN$4:$AN$267,MATCH("Finisher"&amp;'Wide data'!$A$1&amp;'Wide data'!$A17,'Raw data'!$AI$4:$AI$267&amp;'Raw data'!$AJ$2&amp;'Raw data'!$AJ$4:$AJ$267,0)))</f>
        <v>2.4289473684210527</v>
      </c>
      <c r="X17" s="418">
        <f t="array" ref="X17">IF(H$1="","",INDEX('Raw data'!$AP$4:$AP$267,MATCH("Starter"&amp;'Wide data'!$A$1&amp;'Wide data'!$A17,'Raw data'!$AI$4:$AI$267&amp;'Raw data'!$AJ$2&amp;'Raw data'!$AJ$4:$AJ$267,0)))</f>
        <v>0.33471282051282047</v>
      </c>
      <c r="Y17" s="418">
        <f t="array" ref="Y17">IF(J$1="","",INDEX('Raw data'!$AP$4:$AP$267,MATCH("Grower"&amp;'Wide data'!$A$1&amp;'Wide data'!$A17,'Raw data'!$AI$4:$AI$267&amp;'Raw data'!$AJ$2&amp;'Raw data'!$AJ$4:$AJ$267,0)))</f>
        <v>1.1405398110661267</v>
      </c>
      <c r="Z17" s="418">
        <f t="array" ref="Z17">IF(K$1="","",INDEX('Raw data'!$AP$4:$AP$267,MATCH("Finisher"&amp;'Wide data'!$A$1&amp;'Wide data'!$A17,'Raw data'!$AI$4:$AI$267&amp;'Raw data'!$AJ$2&amp;'Raw data'!$AJ$4:$AJ$267,0)))</f>
        <v>0.90789473684210553</v>
      </c>
      <c r="AA17" s="418">
        <f t="array" ref="AA17">IF(K$1="","",INDEX('Raw data'!$AR$4:$AR$267,MATCH("Starter"&amp;'Wide data'!$A$1&amp;'Wide data'!$A17,'Raw data'!$AI$4:$AI$267&amp;'Raw data'!$AJ$2&amp;'Raw data'!$AJ$4:$AJ$267,0)))</f>
        <v>0.42948717948717946</v>
      </c>
      <c r="AB17" s="418">
        <f t="array" ref="AB17">IF(M$1="","",INDEX('Raw data'!$AR$4:$AR$267,MATCH("Grower"&amp;'Wide data'!$A$1&amp;'Wide data'!$A17,'Raw data'!$AI$4:$AI$267&amp;'Raw data'!$AJ$2&amp;'Raw data'!$AJ$4:$AJ$267,0)))</f>
        <v>2.2856376518218622</v>
      </c>
      <c r="AC17" s="418">
        <f t="array" ref="AC17">IF(N$1="","",INDEX('Raw data'!$AR$4:$AR$267,MATCH("Finisher"&amp;'Wide data'!$A$1&amp;'Wide data'!$A17,'Raw data'!$AI$4:$AI$267&amp;'Raw data'!$AJ$2&amp;'Raw data'!$AJ$4:$AJ$267,0)))</f>
        <v>1.4460526315789475</v>
      </c>
      <c r="AD17" s="418">
        <f t="array" ref="AD17">IF(N$1="","",INDEX('Raw data'!$AS$4:$AS$267,MATCH("Starter"&amp;'Wide data'!$A$1&amp;'Wide data'!$A17,'Raw data'!$AI$4:$AI$267&amp;'Raw data'!$AJ$2&amp;'Raw data'!$AJ$4:$AJ$267,0)))</f>
        <v>1.1248405076892083</v>
      </c>
      <c r="AE17" s="418">
        <f t="array" ref="AE17">IF(P$1="","",INDEX('Raw data'!$AS$4:$AS$267,MATCH("Grower"&amp;'Wide data'!$A$1&amp;'Wide data'!$A17,'Raw data'!$AI$4:$AI$267&amp;'Raw data'!$AJ$2&amp;'Raw data'!$AJ$4:$AJ$267,0)))</f>
        <v>1.9527387327723036</v>
      </c>
      <c r="AF17" s="418">
        <f t="array" ref="AF17">IF(Q$1="","",INDEX('Raw data'!$AS$4:$AS$267,MATCH("Finisher"&amp;'Wide data'!$A$1&amp;'Wide data'!$A17,'Raw data'!$AI$4:$AI$267&amp;'Raw data'!$AJ$2&amp;'Raw data'!$AJ$4:$AJ$267,0)))</f>
        <v>1.5927536231884056</v>
      </c>
    </row>
    <row r="18" spans="1:32" x14ac:dyDescent="0.25">
      <c r="A18" s="24">
        <f>'Raw data'!L20</f>
        <v>17</v>
      </c>
      <c r="B18" s="24" t="str">
        <f>INDEX('Raw data'!$B$4:$B$69, 'Wide data'!A18)</f>
        <v>T6</v>
      </c>
      <c r="C18" s="24" t="str">
        <f>INDEX('Raw data'!$C$4:$C$69, 'Wide data'!A18)</f>
        <v>R3</v>
      </c>
      <c r="D18" s="24">
        <f t="array" ref="D18">INDEX('Raw data'!$F$4:$F$69,MATCH($A$1&amp;'Wide data'!$A18,'Raw data'!$A$3&amp;'Raw data'!$A$4:$A$69,0))</f>
        <v>4.58E-2</v>
      </c>
      <c r="E18" s="24">
        <f t="array" ref="E18">IF(E$1="","",INDEX('Raw data'!$Q$4:$Q$267,MATCH("14 days"&amp;'Wide data'!$A$1&amp;'Wide data'!$A18,'Raw data'!$K$4:$K$267&amp;'Raw data'!$L$2&amp;'Raw data'!$L$4:$L$267,0)))</f>
        <v>0.34975000000000001</v>
      </c>
      <c r="F18" s="24">
        <f t="array" ref="F18">IF(F$1="","",INDEX('Raw data'!$Q$4:$Q$267,MATCH("23 days"&amp;'Wide data'!$A$1&amp;'Wide data'!$A18,'Raw data'!$K$4:$K$267&amp;'Raw data'!$L$2&amp;'Raw data'!$L$4:$L$267,0)))</f>
        <v>0.91499999999999981</v>
      </c>
      <c r="G18" s="24">
        <f t="array" ref="G18">IF(G$1="","",INDEX('Raw data'!$Q$4:$Q$267,MATCH("32 days"&amp;'Wide data'!$A$1&amp;'Wide data'!$A18,'Raw data'!$K$4:$K$267&amp;'Raw data'!$L$2&amp;'Raw data'!$L$4:$L$267,0)))</f>
        <v>1.4038461538461537</v>
      </c>
      <c r="H18" s="24">
        <f t="array" ref="H18">IF(H$1="","",INDEX('Raw data'!$Q$4:$Q$267,MATCH("39 days"&amp;'Wide data'!$A$1&amp;'Wide data'!$A18,'Raw data'!$K$4:$K$267&amp;'Raw data'!$L$2&amp;'Raw data'!$L$4:$L$267,0)))</f>
        <v>2.2487179487179483</v>
      </c>
      <c r="I18" s="24">
        <f t="array" ref="I18">IF(I$1="","",INDEX('Raw data'!$S$4:$S$267,MATCH("14 days"&amp;'Wide data'!$A$1&amp;'Wide data'!$A18,'Raw data'!$K$4:$K$267&amp;'Raw data'!$L$2&amp;'Raw data'!$L$4:$L$267,0)))</f>
        <v>0.30395</v>
      </c>
      <c r="J18" s="24">
        <f t="array" ref="J18">IF(J$1="","",INDEX('Raw data'!$S$4:$S$267,MATCH("23 days"&amp;'Wide data'!$A$1&amp;'Wide data'!$A18,'Raw data'!$K$4:$K$267&amp;'Raw data'!$L$2&amp;'Raw data'!$L$4:$L$267,0)))</f>
        <v>0.56524999999999981</v>
      </c>
      <c r="K18" s="24">
        <f t="array" ref="K18">IF(K$1="","",INDEX('Raw data'!$S$4:$S$267,MATCH("32 days"&amp;'Wide data'!$A$1&amp;'Wide data'!$A18,'Raw data'!$K$4:$K$267&amp;'Raw data'!$L$2&amp;'Raw data'!$L$4:$L$267,0)))</f>
        <v>0.48884615384615393</v>
      </c>
      <c r="L18" s="24">
        <f t="array" ref="L18">IF(L$1="","",INDEX('Raw data'!$S$4:$S$267,MATCH("39 days"&amp;'Wide data'!$A$1&amp;'Wide data'!$A18,'Raw data'!$K$4:$K$267&amp;'Raw data'!$L$2&amp;'Raw data'!$L$4:$L$267,0)))</f>
        <v>0.84487179487179453</v>
      </c>
      <c r="M18" s="24">
        <f t="array" ref="M18">IF(M$1="","",INDEX('Raw data'!$V$4:$V$267,MATCH("14 days"&amp;'Wide data'!$A$1&amp;'Wide data'!$A18,'Raw data'!$K$4:$K$267&amp;'Raw data'!$L$2&amp;'Raw data'!$L$4:$L$267,0)))</f>
        <v>0.4</v>
      </c>
      <c r="N18" s="24">
        <f t="array" ref="N18">IF(N$1="","",INDEX('Raw data'!$V$4:$V$267,MATCH("23 days"&amp;'Wide data'!$A$1&amp;'Wide data'!$A18,'Raw data'!$K$4:$K$267&amp;'Raw data'!$L$2&amp;'Raw data'!$L$4:$L$267,0)))</f>
        <v>0.78962500000000024</v>
      </c>
      <c r="O18" s="24">
        <f t="array" ref="O18">IF(O$1="","",INDEX('Raw data'!$V$4:$V$267,MATCH("32 days"&amp;'Wide data'!$A$1&amp;'Wide data'!$A18,'Raw data'!$K$4:$K$267&amp;'Raw data'!$L$2&amp;'Raw data'!$L$4:$L$267,0)))</f>
        <v>1.3632051282051281</v>
      </c>
      <c r="P18" s="24">
        <f t="array" ref="P18">IF(P$1="","",INDEX('Raw data'!$V$4:$V$267,MATCH("39 days"&amp;'Wide data'!$A$1&amp;'Wide data'!$A18,'Raw data'!$K$4:$K$267&amp;'Raw data'!$L$2&amp;'Raw data'!$L$4:$L$267,0)))</f>
        <v>1.3974358974358974</v>
      </c>
      <c r="Q18" s="24">
        <f t="array" ref="Q18">IF(Q$1="","",INDEX('Raw data'!$W$4:$W$267,MATCH("14 days"&amp;'Wide data'!$A$1&amp;'Wide data'!$A18,'Raw data'!$K$4:$K$267&amp;'Raw data'!$L$2&amp;'Raw data'!$L$4:$L$267,0)))</f>
        <v>1.143674052894925</v>
      </c>
      <c r="R18" s="24">
        <f t="array" ref="R18">IF(R$1="","",INDEX('Raw data'!$W$4:$W$267,MATCH("23 days"&amp;'Wide data'!$A$1&amp;'Wide data'!$A18,'Raw data'!$K$4:$K$267&amp;'Raw data'!$L$2&amp;'Raw data'!$L$4:$L$267,0)))</f>
        <v>1.3001366120218583</v>
      </c>
      <c r="S18" s="24">
        <f t="array" ref="S18">IF(S$1="","",INDEX('Raw data'!$W$4:$W$267,MATCH("32 days"&amp;'Wide data'!$A$1&amp;'Wide data'!$A18,'Raw data'!$K$4:$K$267&amp;'Raw data'!$L$2&amp;'Raw data'!$L$4:$L$267,0)))</f>
        <v>1.8055555555555556</v>
      </c>
      <c r="T18" s="24">
        <f t="array" ref="T18">IF(T$1="","",INDEX('Raw data'!$W$4:$W$267,MATCH("39 days"&amp;'Wide data'!$A$1&amp;'Wide data'!$A18,'Raw data'!$K$4:$K$267&amp;'Raw data'!$L$2&amp;'Raw data'!$L$4:$L$267,0)))</f>
        <v>1.7492957746478877</v>
      </c>
      <c r="U18" s="418">
        <f t="array" ref="U18">IF(E$1="","",INDEX('Raw data'!$AN$4:$AN$267,MATCH("Starter"&amp;'Wide data'!$A$1&amp;'Wide data'!$A18,'Raw data'!$AI$4:$AI$267&amp;'Raw data'!$AJ$2&amp;'Raw data'!$AJ$4:$AJ$267,0)))</f>
        <v>0.34975000000000001</v>
      </c>
      <c r="V18" s="418">
        <f t="array" ref="V18">IF(G$1="","",INDEX('Raw data'!$AN$4:$AN$267,MATCH("Grower"&amp;'Wide data'!$A$1&amp;'Wide data'!$A18,'Raw data'!$AI$4:$AI$267&amp;'Raw data'!$AJ$2&amp;'Raw data'!$AJ$4:$AJ$267,0)))</f>
        <v>1.4038461538461537</v>
      </c>
      <c r="W18" s="418">
        <f t="array" ref="W18">IF(H$1="","",INDEX('Raw data'!$AN$4:$AN$267,MATCH("Finisher"&amp;'Wide data'!$A$1&amp;'Wide data'!$A18,'Raw data'!$AI$4:$AI$267&amp;'Raw data'!$AJ$2&amp;'Raw data'!$AJ$4:$AJ$267,0)))</f>
        <v>2.2487179487179483</v>
      </c>
      <c r="X18" s="418">
        <f t="array" ref="X18">IF(H$1="","",INDEX('Raw data'!$AP$4:$AP$267,MATCH("Starter"&amp;'Wide data'!$A$1&amp;'Wide data'!$A18,'Raw data'!$AI$4:$AI$267&amp;'Raw data'!$AJ$2&amp;'Raw data'!$AJ$4:$AJ$267,0)))</f>
        <v>0.30395</v>
      </c>
      <c r="Y18" s="418">
        <f t="array" ref="Y18">IF(J$1="","",INDEX('Raw data'!$AP$4:$AP$267,MATCH("Grower"&amp;'Wide data'!$A$1&amp;'Wide data'!$A18,'Raw data'!$AI$4:$AI$267&amp;'Raw data'!$AJ$2&amp;'Raw data'!$AJ$4:$AJ$267,0)))</f>
        <v>1.0540961538461537</v>
      </c>
      <c r="Z18" s="418">
        <f t="array" ref="Z18">IF(K$1="","",INDEX('Raw data'!$AP$4:$AP$267,MATCH("Finisher"&amp;'Wide data'!$A$1&amp;'Wide data'!$A18,'Raw data'!$AI$4:$AI$267&amp;'Raw data'!$AJ$2&amp;'Raw data'!$AJ$4:$AJ$267,0)))</f>
        <v>0.84487179487179453</v>
      </c>
      <c r="AA18" s="418">
        <f t="array" ref="AA18">IF(K$1="","",INDEX('Raw data'!$AR$4:$AR$267,MATCH("Starter"&amp;'Wide data'!$A$1&amp;'Wide data'!$A18,'Raw data'!$AI$4:$AI$267&amp;'Raw data'!$AJ$2&amp;'Raw data'!$AJ$4:$AJ$267,0)))</f>
        <v>0.4</v>
      </c>
      <c r="AB18" s="418">
        <f t="array" ref="AB18">IF(M$1="","",INDEX('Raw data'!$AR$4:$AR$267,MATCH("Grower"&amp;'Wide data'!$A$1&amp;'Wide data'!$A18,'Raw data'!$AI$4:$AI$267&amp;'Raw data'!$AJ$2&amp;'Raw data'!$AJ$4:$AJ$267,0)))</f>
        <v>2.1528301282051281</v>
      </c>
      <c r="AC18" s="418">
        <f t="array" ref="AC18">IF(N$1="","",INDEX('Raw data'!$AR$4:$AR$267,MATCH("Finisher"&amp;'Wide data'!$A$1&amp;'Wide data'!$A18,'Raw data'!$AI$4:$AI$267&amp;'Raw data'!$AJ$2&amp;'Raw data'!$AJ$4:$AJ$267,0)))</f>
        <v>1.3974358974358974</v>
      </c>
      <c r="AD18" s="418">
        <f t="array" ref="AD18">IF(N$1="","",INDEX('Raw data'!$AS$4:$AS$267,MATCH("Starter"&amp;'Wide data'!$A$1&amp;'Wide data'!$A18,'Raw data'!$AI$4:$AI$267&amp;'Raw data'!$AJ$2&amp;'Raw data'!$AJ$4:$AJ$267,0)))</f>
        <v>1.143674052894925</v>
      </c>
      <c r="AE18" s="418">
        <f t="array" ref="AE18">IF(P$1="","",INDEX('Raw data'!$AS$4:$AS$267,MATCH("Grower"&amp;'Wide data'!$A$1&amp;'Wide data'!$A18,'Raw data'!$AI$4:$AI$267&amp;'Raw data'!$AJ$2&amp;'Raw data'!$AJ$4:$AJ$267,0)))</f>
        <v>1.9836161497952021</v>
      </c>
      <c r="AF18" s="418">
        <f t="array" ref="AF18">IF(Q$1="","",INDEX('Raw data'!$AS$4:$AS$267,MATCH("Finisher"&amp;'Wide data'!$A$1&amp;'Wide data'!$A18,'Raw data'!$AI$4:$AI$267&amp;'Raw data'!$AJ$2&amp;'Raw data'!$AJ$4:$AJ$267,0)))</f>
        <v>1.6540212443095605</v>
      </c>
    </row>
    <row r="19" spans="1:32" x14ac:dyDescent="0.25">
      <c r="A19" s="24">
        <f>'Raw data'!L21</f>
        <v>18</v>
      </c>
      <c r="B19" s="24" t="str">
        <f>INDEX('Raw data'!$B$4:$B$69, 'Wide data'!A19)</f>
        <v>T5</v>
      </c>
      <c r="C19" s="24" t="str">
        <f>INDEX('Raw data'!$C$4:$C$69, 'Wide data'!A19)</f>
        <v>R3</v>
      </c>
      <c r="D19" s="24">
        <f t="array" ref="D19">INDEX('Raw data'!$F$4:$F$69,MATCH($A$1&amp;'Wide data'!$A19,'Raw data'!$A$3&amp;'Raw data'!$A$4:$A$69,0))</f>
        <v>4.5574999999999997E-2</v>
      </c>
      <c r="E19" s="24">
        <f t="array" ref="E19">IF(E$1="","",INDEX('Raw data'!$Q$4:$Q$267,MATCH("14 days"&amp;'Wide data'!$A$1&amp;'Wide data'!$A19,'Raw data'!$K$4:$K$267&amp;'Raw data'!$L$2&amp;'Raw data'!$L$4:$L$267,0)))</f>
        <v>0.35599999999999998</v>
      </c>
      <c r="F19" s="24">
        <f t="array" ref="F19">IF(F$1="","",INDEX('Raw data'!$Q$4:$Q$267,MATCH("23 days"&amp;'Wide data'!$A$1&amp;'Wide data'!$A19,'Raw data'!$K$4:$K$267&amp;'Raw data'!$L$2&amp;'Raw data'!$L$4:$L$267,0)))</f>
        <v>0.96250000000000002</v>
      </c>
      <c r="G19" s="24">
        <f t="array" ref="G19">IF(G$1="","",INDEX('Raw data'!$Q$4:$Q$267,MATCH("32 days"&amp;'Wide data'!$A$1&amp;'Wide data'!$A19,'Raw data'!$K$4:$K$267&amp;'Raw data'!$L$2&amp;'Raw data'!$L$4:$L$267,0)))</f>
        <v>1.4962499999999999</v>
      </c>
      <c r="H19" s="24">
        <f t="array" ref="H19">IF(H$1="","",INDEX('Raw data'!$Q$4:$Q$267,MATCH("39 days"&amp;'Wide data'!$A$1&amp;'Wide data'!$A19,'Raw data'!$K$4:$K$267&amp;'Raw data'!$L$2&amp;'Raw data'!$L$4:$L$267,0)))</f>
        <v>2.3333333333333335</v>
      </c>
      <c r="I19" s="24">
        <f t="array" ref="I19">IF(I$1="","",INDEX('Raw data'!$S$4:$S$267,MATCH("14 days"&amp;'Wide data'!$A$1&amp;'Wide data'!$A19,'Raw data'!$K$4:$K$267&amp;'Raw data'!$L$2&amp;'Raw data'!$L$4:$L$267,0)))</f>
        <v>0.31042500000000001</v>
      </c>
      <c r="J19" s="24">
        <f t="array" ref="J19">IF(J$1="","",INDEX('Raw data'!$S$4:$S$267,MATCH("23 days"&amp;'Wide data'!$A$1&amp;'Wide data'!$A19,'Raw data'!$K$4:$K$267&amp;'Raw data'!$L$2&amp;'Raw data'!$L$4:$L$267,0)))</f>
        <v>0.60650000000000004</v>
      </c>
      <c r="K19" s="24">
        <f t="array" ref="K19">IF(K$1="","",INDEX('Raw data'!$S$4:$S$267,MATCH("32 days"&amp;'Wide data'!$A$1&amp;'Wide data'!$A19,'Raw data'!$K$4:$K$267&amp;'Raw data'!$L$2&amp;'Raw data'!$L$4:$L$267,0)))</f>
        <v>0.53374999999999984</v>
      </c>
      <c r="L19" s="24">
        <f t="array" ref="L19">IF(L$1="","",INDEX('Raw data'!$S$4:$S$267,MATCH("39 days"&amp;'Wide data'!$A$1&amp;'Wide data'!$A19,'Raw data'!$K$4:$K$267&amp;'Raw data'!$L$2&amp;'Raw data'!$L$4:$L$267,0)))</f>
        <v>0.83708333333333362</v>
      </c>
      <c r="M19" s="24">
        <f t="array" ref="M19">IF(M$1="","",INDEX('Raw data'!$V$4:$V$267,MATCH("14 days"&amp;'Wide data'!$A$1&amp;'Wide data'!$A19,'Raw data'!$K$4:$K$267&amp;'Raw data'!$L$2&amp;'Raw data'!$L$4:$L$267,0)))</f>
        <v>0.40249999999999997</v>
      </c>
      <c r="N19" s="24">
        <f t="array" ref="N19">IF(N$1="","",INDEX('Raw data'!$V$4:$V$267,MATCH("23 days"&amp;'Wide data'!$A$1&amp;'Wide data'!$A19,'Raw data'!$K$4:$K$267&amp;'Raw data'!$L$2&amp;'Raw data'!$L$4:$L$267,0)))</f>
        <v>0.82587499999999991</v>
      </c>
      <c r="O19" s="24">
        <f t="array" ref="O19">IF(O$1="","",INDEX('Raw data'!$V$4:$V$267,MATCH("32 days"&amp;'Wide data'!$A$1&amp;'Wide data'!$A19,'Raw data'!$K$4:$K$267&amp;'Raw data'!$L$2&amp;'Raw data'!$L$4:$L$267,0)))</f>
        <v>1.4116250000000001</v>
      </c>
      <c r="P19" s="24">
        <f t="array" ref="P19">IF(P$1="","",INDEX('Raw data'!$V$4:$V$267,MATCH("39 days"&amp;'Wide data'!$A$1&amp;'Wide data'!$A19,'Raw data'!$K$4:$K$267&amp;'Raw data'!$L$2&amp;'Raw data'!$L$4:$L$267,0)))</f>
        <v>1.4525641025641025</v>
      </c>
      <c r="Q19" s="24">
        <f t="array" ref="Q19">IF(Q$1="","",INDEX('Raw data'!$W$4:$W$267,MATCH("14 days"&amp;'Wide data'!$A$1&amp;'Wide data'!$A19,'Raw data'!$K$4:$K$267&amp;'Raw data'!$L$2&amp;'Raw data'!$L$4:$L$267,0)))</f>
        <v>1.1306179775280898</v>
      </c>
      <c r="R19" s="24">
        <f t="array" ref="R19">IF(R$1="","",INDEX('Raw data'!$W$4:$W$267,MATCH("23 days"&amp;'Wide data'!$A$1&amp;'Wide data'!$A19,'Raw data'!$K$4:$K$267&amp;'Raw data'!$L$2&amp;'Raw data'!$L$4:$L$267,0)))</f>
        <v>1.2762337662337659</v>
      </c>
      <c r="S19" s="24">
        <f t="array" ref="S19">IF(S$1="","",INDEX('Raw data'!$W$4:$W$267,MATCH("32 days"&amp;'Wide data'!$A$1&amp;'Wide data'!$A19,'Raw data'!$K$4:$K$267&amp;'Raw data'!$L$2&amp;'Raw data'!$L$4:$L$267,0)))</f>
        <v>1.7644110275689224</v>
      </c>
      <c r="T19" s="24">
        <f t="array" ref="T19">IF(T$1="","",INDEX('Raw data'!$W$4:$W$267,MATCH("39 days"&amp;'Wide data'!$A$1&amp;'Wide data'!$A19,'Raw data'!$K$4:$K$267&amp;'Raw data'!$L$2&amp;'Raw data'!$L$4:$L$267,0)))</f>
        <v>1.7325146823278161</v>
      </c>
      <c r="U19" s="418">
        <f t="array" ref="U19">IF(E$1="","",INDEX('Raw data'!$AN$4:$AN$267,MATCH("Starter"&amp;'Wide data'!$A$1&amp;'Wide data'!$A19,'Raw data'!$AI$4:$AI$267&amp;'Raw data'!$AJ$2&amp;'Raw data'!$AJ$4:$AJ$267,0)))</f>
        <v>0.35599999999999998</v>
      </c>
      <c r="V19" s="418">
        <f t="array" ref="V19">IF(G$1="","",INDEX('Raw data'!$AN$4:$AN$267,MATCH("Grower"&amp;'Wide data'!$A$1&amp;'Wide data'!$A19,'Raw data'!$AI$4:$AI$267&amp;'Raw data'!$AJ$2&amp;'Raw data'!$AJ$4:$AJ$267,0)))</f>
        <v>1.4962499999999999</v>
      </c>
      <c r="W19" s="418">
        <f t="array" ref="W19">IF(H$1="","",INDEX('Raw data'!$AN$4:$AN$267,MATCH("Finisher"&amp;'Wide data'!$A$1&amp;'Wide data'!$A19,'Raw data'!$AI$4:$AI$267&amp;'Raw data'!$AJ$2&amp;'Raw data'!$AJ$4:$AJ$267,0)))</f>
        <v>2.3333333333333335</v>
      </c>
      <c r="X19" s="418">
        <f t="array" ref="X19">IF(H$1="","",INDEX('Raw data'!$AP$4:$AP$267,MATCH("Starter"&amp;'Wide data'!$A$1&amp;'Wide data'!$A19,'Raw data'!$AI$4:$AI$267&amp;'Raw data'!$AJ$2&amp;'Raw data'!$AJ$4:$AJ$267,0)))</f>
        <v>0.31042500000000001</v>
      </c>
      <c r="Y19" s="418">
        <f t="array" ref="Y19">IF(J$1="","",INDEX('Raw data'!$AP$4:$AP$267,MATCH("Grower"&amp;'Wide data'!$A$1&amp;'Wide data'!$A19,'Raw data'!$AI$4:$AI$267&amp;'Raw data'!$AJ$2&amp;'Raw data'!$AJ$4:$AJ$267,0)))</f>
        <v>1.14025</v>
      </c>
      <c r="Z19" s="418">
        <f t="array" ref="Z19">IF(K$1="","",INDEX('Raw data'!$AP$4:$AP$267,MATCH("Finisher"&amp;'Wide data'!$A$1&amp;'Wide data'!$A19,'Raw data'!$AI$4:$AI$267&amp;'Raw data'!$AJ$2&amp;'Raw data'!$AJ$4:$AJ$267,0)))</f>
        <v>0.83708333333333362</v>
      </c>
      <c r="AA19" s="418">
        <f t="array" ref="AA19">IF(K$1="","",INDEX('Raw data'!$AR$4:$AR$267,MATCH("Starter"&amp;'Wide data'!$A$1&amp;'Wide data'!$A19,'Raw data'!$AI$4:$AI$267&amp;'Raw data'!$AJ$2&amp;'Raw data'!$AJ$4:$AJ$267,0)))</f>
        <v>0.40249999999999997</v>
      </c>
      <c r="AB19" s="418">
        <f t="array" ref="AB19">IF(M$1="","",INDEX('Raw data'!$AR$4:$AR$267,MATCH("Grower"&amp;'Wide data'!$A$1&amp;'Wide data'!$A19,'Raw data'!$AI$4:$AI$267&amp;'Raw data'!$AJ$2&amp;'Raw data'!$AJ$4:$AJ$267,0)))</f>
        <v>2.2374999999999998</v>
      </c>
      <c r="AC19" s="418">
        <f t="array" ref="AC19">IF(N$1="","",INDEX('Raw data'!$AR$4:$AR$267,MATCH("Finisher"&amp;'Wide data'!$A$1&amp;'Wide data'!$A19,'Raw data'!$AI$4:$AI$267&amp;'Raw data'!$AJ$2&amp;'Raw data'!$AJ$4:$AJ$267,0)))</f>
        <v>1.4525641025641025</v>
      </c>
      <c r="AD19" s="418">
        <f t="array" ref="AD19">IF(N$1="","",INDEX('Raw data'!$AS$4:$AS$267,MATCH("Starter"&amp;'Wide data'!$A$1&amp;'Wide data'!$A19,'Raw data'!$AI$4:$AI$267&amp;'Raw data'!$AJ$2&amp;'Raw data'!$AJ$4:$AJ$267,0)))</f>
        <v>1.1306179775280898</v>
      </c>
      <c r="AE19" s="418">
        <f t="array" ref="AE19">IF(P$1="","",INDEX('Raw data'!$AS$4:$AS$267,MATCH("Grower"&amp;'Wide data'!$A$1&amp;'Wide data'!$A19,'Raw data'!$AI$4:$AI$267&amp;'Raw data'!$AJ$2&amp;'Raw data'!$AJ$4:$AJ$267,0)))</f>
        <v>1.9622889717167289</v>
      </c>
      <c r="AF19" s="418">
        <f t="array" ref="AF19">IF(Q$1="","",INDEX('Raw data'!$AS$4:$AS$267,MATCH("Finisher"&amp;'Wide data'!$A$1&amp;'Wide data'!$A19,'Raw data'!$AI$4:$AI$267&amp;'Raw data'!$AJ$2&amp;'Raw data'!$AJ$4:$AJ$267,0)))</f>
        <v>1.6049863654070895</v>
      </c>
    </row>
    <row r="20" spans="1:32" x14ac:dyDescent="0.25">
      <c r="A20" s="24">
        <f>'Raw data'!L22</f>
        <v>19</v>
      </c>
      <c r="B20" s="24" t="str">
        <f>INDEX('Raw data'!$B$4:$B$69, 'Wide data'!A20)</f>
        <v>T3</v>
      </c>
      <c r="C20" s="24" t="str">
        <f>INDEX('Raw data'!$C$4:$C$69, 'Wide data'!A20)</f>
        <v>R3</v>
      </c>
      <c r="D20" s="24">
        <f t="array" ref="D20">INDEX('Raw data'!$F$4:$F$69,MATCH($A$1&amp;'Wide data'!$A20,'Raw data'!$A$3&amp;'Raw data'!$A$4:$A$69,0))</f>
        <v>4.5675E-2</v>
      </c>
      <c r="E20" s="24">
        <f t="array" ref="E20">IF(E$1="","",INDEX('Raw data'!$Q$4:$Q$267,MATCH("14 days"&amp;'Wide data'!$A$1&amp;'Wide data'!$A20,'Raw data'!$K$4:$K$267&amp;'Raw data'!$L$2&amp;'Raw data'!$L$4:$L$267,0)))</f>
        <v>0.33166666666666667</v>
      </c>
      <c r="F20" s="24">
        <f t="array" ref="F20">IF(F$1="","",INDEX('Raw data'!$Q$4:$Q$267,MATCH("23 days"&amp;'Wide data'!$A$1&amp;'Wide data'!$A20,'Raw data'!$K$4:$K$267&amp;'Raw data'!$L$2&amp;'Raw data'!$L$4:$L$267,0)))</f>
        <v>0.91617647058823537</v>
      </c>
      <c r="G20" s="24">
        <f t="array" ref="G20">IF(G$1="","",INDEX('Raw data'!$Q$4:$Q$267,MATCH("32 days"&amp;'Wide data'!$A$1&amp;'Wide data'!$A20,'Raw data'!$K$4:$K$267&amp;'Raw data'!$L$2&amp;'Raw data'!$L$4:$L$267,0)))</f>
        <v>1.3426470588235293</v>
      </c>
      <c r="H20" s="24">
        <f t="array" ref="H20">IF(H$1="","",INDEX('Raw data'!$Q$4:$Q$267,MATCH("39 days"&amp;'Wide data'!$A$1&amp;'Wide data'!$A20,'Raw data'!$K$4:$K$267&amp;'Raw data'!$L$2&amp;'Raw data'!$L$4:$L$267,0)))</f>
        <v>2.1999999999999997</v>
      </c>
      <c r="I20" s="24">
        <f t="array" ref="I20">IF(I$1="","",INDEX('Raw data'!$S$4:$S$267,MATCH("14 days"&amp;'Wide data'!$A$1&amp;'Wide data'!$A20,'Raw data'!$K$4:$K$267&amp;'Raw data'!$L$2&amp;'Raw data'!$L$4:$L$267,0)))</f>
        <v>0.28599166666666664</v>
      </c>
      <c r="J20" s="24">
        <f t="array" ref="J20">IF(J$1="","",INDEX('Raw data'!$S$4:$S$267,MATCH("23 days"&amp;'Wide data'!$A$1&amp;'Wide data'!$A20,'Raw data'!$K$4:$K$267&amp;'Raw data'!$L$2&amp;'Raw data'!$L$4:$L$267,0)))</f>
        <v>0.5845098039215687</v>
      </c>
      <c r="K20" s="24">
        <f t="array" ref="K20">IF(K$1="","",INDEX('Raw data'!$S$4:$S$267,MATCH("32 days"&amp;'Wide data'!$A$1&amp;'Wide data'!$A20,'Raw data'!$K$4:$K$267&amp;'Raw data'!$L$2&amp;'Raw data'!$L$4:$L$267,0)))</f>
        <v>0.42647058823529393</v>
      </c>
      <c r="L20" s="24">
        <f t="array" ref="L20">IF(L$1="","",INDEX('Raw data'!$S$4:$S$267,MATCH("39 days"&amp;'Wide data'!$A$1&amp;'Wide data'!$A20,'Raw data'!$K$4:$K$267&amp;'Raw data'!$L$2&amp;'Raw data'!$L$4:$L$267,0)))</f>
        <v>0.85735294117647043</v>
      </c>
      <c r="M20" s="24">
        <f t="array" ref="M20">IF(M$1="","",INDEX('Raw data'!$V$4:$V$267,MATCH("14 days"&amp;'Wide data'!$A$1&amp;'Wide data'!$A20,'Raw data'!$K$4:$K$267&amp;'Raw data'!$L$2&amp;'Raw data'!$L$4:$L$267,0)))</f>
        <v>0.40277777777777779</v>
      </c>
      <c r="N20" s="24">
        <f t="array" ref="N20">IF(N$1="","",INDEX('Raw data'!$V$4:$V$267,MATCH("23 days"&amp;'Wide data'!$A$1&amp;'Wide data'!$A20,'Raw data'!$K$4:$K$267&amp;'Raw data'!$L$2&amp;'Raw data'!$L$4:$L$267,0)))</f>
        <v>0.82014705882352912</v>
      </c>
      <c r="O20" s="24">
        <f t="array" ref="O20">IF(O$1="","",INDEX('Raw data'!$V$4:$V$267,MATCH("32 days"&amp;'Wide data'!$A$1&amp;'Wide data'!$A20,'Raw data'!$K$4:$K$267&amp;'Raw data'!$L$2&amp;'Raw data'!$L$4:$L$267,0)))</f>
        <v>1.356323529411765</v>
      </c>
      <c r="P20" s="24">
        <f t="array" ref="P20">IF(P$1="","",INDEX('Raw data'!$V$4:$V$267,MATCH("39 days"&amp;'Wide data'!$A$1&amp;'Wide data'!$A20,'Raw data'!$K$4:$K$267&amp;'Raw data'!$L$2&amp;'Raw data'!$L$4:$L$267,0)))</f>
        <v>1.4058823529411764</v>
      </c>
      <c r="Q20" s="24">
        <f t="array" ref="Q20">IF(Q$1="","",INDEX('Raw data'!$W$4:$W$267,MATCH("14 days"&amp;'Wide data'!$A$1&amp;'Wide data'!$A20,'Raw data'!$K$4:$K$267&amp;'Raw data'!$L$2&amp;'Raw data'!$L$4:$L$267,0)))</f>
        <v>1.1310452418096724</v>
      </c>
      <c r="R20" s="24">
        <f t="array" ref="R20">IF(R$1="","",INDEX('Raw data'!$W$4:$W$267,MATCH("23 days"&amp;'Wide data'!$A$1&amp;'Wide data'!$A20,'Raw data'!$K$4:$K$267&amp;'Raw data'!$L$2&amp;'Raw data'!$L$4:$L$267,0)))</f>
        <v>1.2812877871825874</v>
      </c>
      <c r="S20" s="24">
        <f t="array" ref="S20">IF(S$1="","",INDEX('Raw data'!$W$4:$W$267,MATCH("32 days"&amp;'Wide data'!$A$1&amp;'Wide data'!$A20,'Raw data'!$K$4:$K$267&amp;'Raw data'!$L$2&amp;'Raw data'!$L$4:$L$267,0)))</f>
        <v>1.8600252206809584</v>
      </c>
      <c r="T20" s="24">
        <f t="array" ref="T20">IF(T$1="","",INDEX('Raw data'!$W$4:$W$267,MATCH("39 days"&amp;'Wide data'!$A$1&amp;'Wide data'!$A20,'Raw data'!$K$4:$K$267&amp;'Raw data'!$L$2&amp;'Raw data'!$L$4:$L$267,0)))</f>
        <v>1.7763586602371957</v>
      </c>
      <c r="U20" s="418">
        <f t="array" ref="U20">IF(E$1="","",INDEX('Raw data'!$AN$4:$AN$267,MATCH("Starter"&amp;'Wide data'!$A$1&amp;'Wide data'!$A20,'Raw data'!$AI$4:$AI$267&amp;'Raw data'!$AJ$2&amp;'Raw data'!$AJ$4:$AJ$267,0)))</f>
        <v>0.33166666666666667</v>
      </c>
      <c r="V20" s="418">
        <f t="array" ref="V20">IF(G$1="","",INDEX('Raw data'!$AN$4:$AN$267,MATCH("Grower"&amp;'Wide data'!$A$1&amp;'Wide data'!$A20,'Raw data'!$AI$4:$AI$267&amp;'Raw data'!$AJ$2&amp;'Raw data'!$AJ$4:$AJ$267,0)))</f>
        <v>1.3426470588235293</v>
      </c>
      <c r="W20" s="418">
        <f t="array" ref="W20">IF(H$1="","",INDEX('Raw data'!$AN$4:$AN$267,MATCH("Finisher"&amp;'Wide data'!$A$1&amp;'Wide data'!$A20,'Raw data'!$AI$4:$AI$267&amp;'Raw data'!$AJ$2&amp;'Raw data'!$AJ$4:$AJ$267,0)))</f>
        <v>2.1999999999999997</v>
      </c>
      <c r="X20" s="418">
        <f t="array" ref="X20">IF(H$1="","",INDEX('Raw data'!$AP$4:$AP$267,MATCH("Starter"&amp;'Wide data'!$A$1&amp;'Wide data'!$A20,'Raw data'!$AI$4:$AI$267&amp;'Raw data'!$AJ$2&amp;'Raw data'!$AJ$4:$AJ$267,0)))</f>
        <v>0.28599166666666664</v>
      </c>
      <c r="Y20" s="418">
        <f t="array" ref="Y20">IF(J$1="","",INDEX('Raw data'!$AP$4:$AP$267,MATCH("Grower"&amp;'Wide data'!$A$1&amp;'Wide data'!$A20,'Raw data'!$AI$4:$AI$267&amp;'Raw data'!$AJ$2&amp;'Raw data'!$AJ$4:$AJ$267,0)))</f>
        <v>1.0109803921568625</v>
      </c>
      <c r="Z20" s="418">
        <f t="array" ref="Z20">IF(K$1="","",INDEX('Raw data'!$AP$4:$AP$267,MATCH("Finisher"&amp;'Wide data'!$A$1&amp;'Wide data'!$A20,'Raw data'!$AI$4:$AI$267&amp;'Raw data'!$AJ$2&amp;'Raw data'!$AJ$4:$AJ$267,0)))</f>
        <v>0.85735294117647043</v>
      </c>
      <c r="AA20" s="418">
        <f t="array" ref="AA20">IF(K$1="","",INDEX('Raw data'!$AR$4:$AR$267,MATCH("Starter"&amp;'Wide data'!$A$1&amp;'Wide data'!$A20,'Raw data'!$AI$4:$AI$267&amp;'Raw data'!$AJ$2&amp;'Raw data'!$AJ$4:$AJ$267,0)))</f>
        <v>0.40277777777777779</v>
      </c>
      <c r="AB20" s="418">
        <f t="array" ref="AB20">IF(M$1="","",INDEX('Raw data'!$AR$4:$AR$267,MATCH("Grower"&amp;'Wide data'!$A$1&amp;'Wide data'!$A20,'Raw data'!$AI$4:$AI$267&amp;'Raw data'!$AJ$2&amp;'Raw data'!$AJ$4:$AJ$267,0)))</f>
        <v>2.1764705882352944</v>
      </c>
      <c r="AC20" s="418">
        <f t="array" ref="AC20">IF(N$1="","",INDEX('Raw data'!$AR$4:$AR$267,MATCH("Finisher"&amp;'Wide data'!$A$1&amp;'Wide data'!$A20,'Raw data'!$AI$4:$AI$267&amp;'Raw data'!$AJ$2&amp;'Raw data'!$AJ$4:$AJ$267,0)))</f>
        <v>1.4058823529411764</v>
      </c>
      <c r="AD20" s="418">
        <f t="array" ref="AD20">IF(N$1="","",INDEX('Raw data'!$AS$4:$AS$267,MATCH("Starter"&amp;'Wide data'!$A$1&amp;'Wide data'!$A20,'Raw data'!$AI$4:$AI$267&amp;'Raw data'!$AJ$2&amp;'Raw data'!$AJ$4:$AJ$267,0)))</f>
        <v>1.1310452418096724</v>
      </c>
      <c r="AE20" s="418">
        <f t="array" ref="AE20">IF(P$1="","",INDEX('Raw data'!$AS$4:$AS$267,MATCH("Grower"&amp;'Wide data'!$A$1&amp;'Wide data'!$A20,'Raw data'!$AI$4:$AI$267&amp;'Raw data'!$AJ$2&amp;'Raw data'!$AJ$4:$AJ$267,0)))</f>
        <v>2.0890185376870241</v>
      </c>
      <c r="AF20" s="418">
        <f t="array" ref="AF20">IF(Q$1="","",INDEX('Raw data'!$AS$4:$AS$267,MATCH("Finisher"&amp;'Wide data'!$A$1&amp;'Wide data'!$A20,'Raw data'!$AI$4:$AI$267&amp;'Raw data'!$AJ$2&amp;'Raw data'!$AJ$4:$AJ$267,0)))</f>
        <v>1.639794168096055</v>
      </c>
    </row>
    <row r="21" spans="1:32" x14ac:dyDescent="0.25">
      <c r="A21" s="24">
        <f>'Raw data'!L23</f>
        <v>20</v>
      </c>
      <c r="B21" s="24" t="str">
        <f>INDEX('Raw data'!$B$4:$B$69, 'Wide data'!A21)</f>
        <v>T1</v>
      </c>
      <c r="C21" s="24" t="str">
        <f>INDEX('Raw data'!$C$4:$C$69, 'Wide data'!A21)</f>
        <v>R3</v>
      </c>
      <c r="D21" s="24">
        <f t="array" ref="D21">INDEX('Raw data'!$F$4:$F$69,MATCH($A$1&amp;'Wide data'!$A21,'Raw data'!$A$3&amp;'Raw data'!$A$4:$A$69,0))</f>
        <v>4.5624999999999999E-2</v>
      </c>
      <c r="E21" s="24">
        <f t="array" ref="E21">IF(E$1="","",INDEX('Raw data'!$Q$4:$Q$267,MATCH("14 days"&amp;'Wide data'!$A$1&amp;'Wide data'!$A21,'Raw data'!$K$4:$K$267&amp;'Raw data'!$L$2&amp;'Raw data'!$L$4:$L$267,0)))</f>
        <v>0.35349999999999998</v>
      </c>
      <c r="F21" s="24">
        <f t="array" ref="F21">IF(F$1="","",INDEX('Raw data'!$Q$4:$Q$267,MATCH("23 days"&amp;'Wide data'!$A$1&amp;'Wide data'!$A21,'Raw data'!$K$4:$K$267&amp;'Raw data'!$L$2&amp;'Raw data'!$L$4:$L$267,0)))</f>
        <v>0.94250000000000012</v>
      </c>
      <c r="G21" s="24">
        <f t="array" ref="G21">IF(G$1="","",INDEX('Raw data'!$Q$4:$Q$267,MATCH("32 days"&amp;'Wide data'!$A$1&amp;'Wide data'!$A21,'Raw data'!$K$4:$K$267&amp;'Raw data'!$L$2&amp;'Raw data'!$L$4:$L$267,0)))</f>
        <v>1.4628205128205127</v>
      </c>
      <c r="H21" s="24">
        <f t="array" ref="H21">IF(H$1="","",INDEX('Raw data'!$Q$4:$Q$267,MATCH("39 days"&amp;'Wide data'!$A$1&amp;'Wide data'!$A21,'Raw data'!$K$4:$K$267&amp;'Raw data'!$L$2&amp;'Raw data'!$L$4:$L$267,0)))</f>
        <v>2.2855263157894736</v>
      </c>
      <c r="I21" s="24">
        <f t="array" ref="I21">IF(I$1="","",INDEX('Raw data'!$S$4:$S$267,MATCH("14 days"&amp;'Wide data'!$A$1&amp;'Wide data'!$A21,'Raw data'!$K$4:$K$267&amp;'Raw data'!$L$2&amp;'Raw data'!$L$4:$L$267,0)))</f>
        <v>0.30787500000000001</v>
      </c>
      <c r="J21" s="24">
        <f t="array" ref="J21">IF(J$1="","",INDEX('Raw data'!$S$4:$S$267,MATCH("23 days"&amp;'Wide data'!$A$1&amp;'Wide data'!$A21,'Raw data'!$K$4:$K$267&amp;'Raw data'!$L$2&amp;'Raw data'!$L$4:$L$267,0)))</f>
        <v>0.58900000000000019</v>
      </c>
      <c r="K21" s="24">
        <f t="array" ref="K21">IF(K$1="","",INDEX('Raw data'!$S$4:$S$267,MATCH("32 days"&amp;'Wide data'!$A$1&amp;'Wide data'!$A21,'Raw data'!$K$4:$K$267&amp;'Raw data'!$L$2&amp;'Raw data'!$L$4:$L$267,0)))</f>
        <v>0.52032051282051262</v>
      </c>
      <c r="L21" s="24">
        <f t="array" ref="L21">IF(L$1="","",INDEX('Raw data'!$S$4:$S$267,MATCH("39 days"&amp;'Wide data'!$A$1&amp;'Wide data'!$A21,'Raw data'!$K$4:$K$267&amp;'Raw data'!$L$2&amp;'Raw data'!$L$4:$L$267,0)))</f>
        <v>0.8227058029689609</v>
      </c>
      <c r="M21" s="24">
        <f t="array" ref="M21">IF(M$1="","",INDEX('Raw data'!$V$4:$V$267,MATCH("14 days"&amp;'Wide data'!$A$1&amp;'Wide data'!$A21,'Raw data'!$K$4:$K$267&amp;'Raw data'!$L$2&amp;'Raw data'!$L$4:$L$267,0)))</f>
        <v>0.40500000000000008</v>
      </c>
      <c r="N21" s="24">
        <f t="array" ref="N21">IF(N$1="","",INDEX('Raw data'!$V$4:$V$267,MATCH("23 days"&amp;'Wide data'!$A$1&amp;'Wide data'!$A21,'Raw data'!$K$4:$K$267&amp;'Raw data'!$L$2&amp;'Raw data'!$L$4:$L$267,0)))</f>
        <v>0.82462499999999994</v>
      </c>
      <c r="O21" s="24">
        <f t="array" ref="O21">IF(O$1="","",INDEX('Raw data'!$V$4:$V$267,MATCH("32 days"&amp;'Wide data'!$A$1&amp;'Wide data'!$A21,'Raw data'!$K$4:$K$267&amp;'Raw data'!$L$2&amp;'Raw data'!$L$4:$L$267,0)))</f>
        <v>1.4106410256410256</v>
      </c>
      <c r="P21" s="24">
        <f t="array" ref="P21">IF(P$1="","",INDEX('Raw data'!$V$4:$V$267,MATCH("39 days"&amp;'Wide data'!$A$1&amp;'Wide data'!$A21,'Raw data'!$K$4:$K$267&amp;'Raw data'!$L$2&amp;'Raw data'!$L$4:$L$267,0)))</f>
        <v>1.4460526315789475</v>
      </c>
      <c r="Q21" s="24">
        <f t="array" ref="Q21">IF(Q$1="","",INDEX('Raw data'!$W$4:$W$267,MATCH("14 days"&amp;'Wide data'!$A$1&amp;'Wide data'!$A21,'Raw data'!$K$4:$K$267&amp;'Raw data'!$L$2&amp;'Raw data'!$L$4:$L$267,0)))</f>
        <v>1.1456859971711459</v>
      </c>
      <c r="R21" s="24">
        <f t="array" ref="R21">IF(R$1="","",INDEX('Raw data'!$W$4:$W$267,MATCH("23 days"&amp;'Wide data'!$A$1&amp;'Wide data'!$A21,'Raw data'!$K$4:$K$267&amp;'Raw data'!$L$2&amp;'Raw data'!$L$4:$L$267,0)))</f>
        <v>1.3046419098143236</v>
      </c>
      <c r="S21" s="24">
        <f t="array" ref="S21">IF(S$1="","",INDEX('Raw data'!$W$4:$W$267,MATCH("32 days"&amp;'Wide data'!$A$1&amp;'Wide data'!$A21,'Raw data'!$K$4:$K$267&amp;'Raw data'!$L$2&amp;'Raw data'!$L$4:$L$267,0)))</f>
        <v>1.7950043066322137</v>
      </c>
      <c r="T21" s="24">
        <f t="array" ref="T21">IF(T$1="","",INDEX('Raw data'!$W$4:$W$267,MATCH("39 days"&amp;'Wide data'!$A$1&amp;'Wide data'!$A21,'Raw data'!$K$4:$K$267&amp;'Raw data'!$L$2&amp;'Raw data'!$L$4:$L$267,0)))</f>
        <v>1.755576146667549</v>
      </c>
      <c r="U21" s="418">
        <f t="array" ref="U21">IF(E$1="","",INDEX('Raw data'!$AN$4:$AN$267,MATCH("Starter"&amp;'Wide data'!$A$1&amp;'Wide data'!$A21,'Raw data'!$AI$4:$AI$267&amp;'Raw data'!$AJ$2&amp;'Raw data'!$AJ$4:$AJ$267,0)))</f>
        <v>0.35349999999999998</v>
      </c>
      <c r="V21" s="418">
        <f t="array" ref="V21">IF(G$1="","",INDEX('Raw data'!$AN$4:$AN$267,MATCH("Grower"&amp;'Wide data'!$A$1&amp;'Wide data'!$A21,'Raw data'!$AI$4:$AI$267&amp;'Raw data'!$AJ$2&amp;'Raw data'!$AJ$4:$AJ$267,0)))</f>
        <v>1.4628205128205127</v>
      </c>
      <c r="W21" s="418">
        <f t="array" ref="W21">IF(H$1="","",INDEX('Raw data'!$AN$4:$AN$267,MATCH("Finisher"&amp;'Wide data'!$A$1&amp;'Wide data'!$A21,'Raw data'!$AI$4:$AI$267&amp;'Raw data'!$AJ$2&amp;'Raw data'!$AJ$4:$AJ$267,0)))</f>
        <v>2.2855263157894736</v>
      </c>
      <c r="X21" s="418">
        <f t="array" ref="X21">IF(H$1="","",INDEX('Raw data'!$AP$4:$AP$267,MATCH("Starter"&amp;'Wide data'!$A$1&amp;'Wide data'!$A21,'Raw data'!$AI$4:$AI$267&amp;'Raw data'!$AJ$2&amp;'Raw data'!$AJ$4:$AJ$267,0)))</f>
        <v>0.30787500000000001</v>
      </c>
      <c r="Y21" s="418">
        <f t="array" ref="Y21">IF(J$1="","",INDEX('Raw data'!$AP$4:$AP$267,MATCH("Grower"&amp;'Wide data'!$A$1&amp;'Wide data'!$A21,'Raw data'!$AI$4:$AI$267&amp;'Raw data'!$AJ$2&amp;'Raw data'!$AJ$4:$AJ$267,0)))</f>
        <v>1.1093205128205128</v>
      </c>
      <c r="Z21" s="418">
        <f t="array" ref="Z21">IF(K$1="","",INDEX('Raw data'!$AP$4:$AP$267,MATCH("Finisher"&amp;'Wide data'!$A$1&amp;'Wide data'!$A21,'Raw data'!$AI$4:$AI$267&amp;'Raw data'!$AJ$2&amp;'Raw data'!$AJ$4:$AJ$267,0)))</f>
        <v>0.8227058029689609</v>
      </c>
      <c r="AA21" s="418">
        <f t="array" ref="AA21">IF(K$1="","",INDEX('Raw data'!$AR$4:$AR$267,MATCH("Starter"&amp;'Wide data'!$A$1&amp;'Wide data'!$A21,'Raw data'!$AI$4:$AI$267&amp;'Raw data'!$AJ$2&amp;'Raw data'!$AJ$4:$AJ$267,0)))</f>
        <v>0.40500000000000008</v>
      </c>
      <c r="AB21" s="418">
        <f t="array" ref="AB21">IF(M$1="","",INDEX('Raw data'!$AR$4:$AR$267,MATCH("Grower"&amp;'Wide data'!$A$1&amp;'Wide data'!$A21,'Raw data'!$AI$4:$AI$267&amp;'Raw data'!$AJ$2&amp;'Raw data'!$AJ$4:$AJ$267,0)))</f>
        <v>2.2352660256410255</v>
      </c>
      <c r="AC21" s="418">
        <f t="array" ref="AC21">IF(N$1="","",INDEX('Raw data'!$AR$4:$AR$267,MATCH("Finisher"&amp;'Wide data'!$A$1&amp;'Wide data'!$A21,'Raw data'!$AI$4:$AI$267&amp;'Raw data'!$AJ$2&amp;'Raw data'!$AJ$4:$AJ$267,0)))</f>
        <v>1.4460526315789475</v>
      </c>
      <c r="AD21" s="418">
        <f t="array" ref="AD21">IF(N$1="","",INDEX('Raw data'!$AS$4:$AS$267,MATCH("Starter"&amp;'Wide data'!$A$1&amp;'Wide data'!$A21,'Raw data'!$AI$4:$AI$267&amp;'Raw data'!$AJ$2&amp;'Raw data'!$AJ$4:$AJ$267,0)))</f>
        <v>1.1456859971711459</v>
      </c>
      <c r="AE21" s="418">
        <f t="array" ref="AE21">IF(P$1="","",INDEX('Raw data'!$AS$4:$AS$267,MATCH("Grower"&amp;'Wide data'!$A$1&amp;'Wide data'!$A21,'Raw data'!$AI$4:$AI$267&amp;'Raw data'!$AJ$2&amp;'Raw data'!$AJ$4:$AJ$267,0)))</f>
        <v>1.9619865113427342</v>
      </c>
      <c r="AF21" s="418">
        <f t="array" ref="AF21">IF(Q$1="","",INDEX('Raw data'!$AS$4:$AS$267,MATCH("Finisher"&amp;'Wide data'!$A$1&amp;'Wide data'!$A21,'Raw data'!$AI$4:$AI$267&amp;'Raw data'!$AJ$2&amp;'Raw data'!$AJ$4:$AJ$267,0)))</f>
        <v>1.613006414241694</v>
      </c>
    </row>
    <row r="22" spans="1:32" x14ac:dyDescent="0.25">
      <c r="A22" s="24">
        <f>'Raw data'!L24</f>
        <v>21</v>
      </c>
      <c r="B22" s="24" t="str">
        <f>INDEX('Raw data'!$B$4:$B$69, 'Wide data'!A22)</f>
        <v>T2</v>
      </c>
      <c r="C22" s="24" t="str">
        <f>INDEX('Raw data'!$C$4:$C$69, 'Wide data'!A22)</f>
        <v>R11</v>
      </c>
      <c r="D22" s="24">
        <f t="array" ref="D22">INDEX('Raw data'!$F$4:$F$69,MATCH($A$1&amp;'Wide data'!$A22,'Raw data'!$A$3&amp;'Raw data'!$A$4:$A$69,0))</f>
        <v>4.5774999999999996E-2</v>
      </c>
      <c r="E22" s="24">
        <f t="array" ref="E22">IF(E$1="","",INDEX('Raw data'!$Q$4:$Q$267,MATCH("14 days"&amp;'Wide data'!$A$1&amp;'Wide data'!$A22,'Raw data'!$K$4:$K$267&amp;'Raw data'!$L$2&amp;'Raw data'!$L$4:$L$267,0)))</f>
        <v>0.34027027027027029</v>
      </c>
      <c r="F22" s="24">
        <f t="array" ref="F22">IF(F$1="","",INDEX('Raw data'!$Q$4:$Q$267,MATCH("23 days"&amp;'Wide data'!$A$1&amp;'Wide data'!$A22,'Raw data'!$K$4:$K$267&amp;'Raw data'!$L$2&amp;'Raw data'!$L$4:$L$267,0)))</f>
        <v>0.92162162162162142</v>
      </c>
      <c r="G22" s="24">
        <f t="array" ref="G22">IF(G$1="","",INDEX('Raw data'!$Q$4:$Q$267,MATCH("32 days"&amp;'Wide data'!$A$1&amp;'Wide data'!$A22,'Raw data'!$K$4:$K$267&amp;'Raw data'!$L$2&amp;'Raw data'!$L$4:$L$267,0)))</f>
        <v>1.37</v>
      </c>
      <c r="H22" s="24">
        <f t="array" ref="H22">IF(H$1="","",INDEX('Raw data'!$Q$4:$Q$267,MATCH("39 days"&amp;'Wide data'!$A$1&amp;'Wide data'!$A22,'Raw data'!$K$4:$K$267&amp;'Raw data'!$L$2&amp;'Raw data'!$L$4:$L$267,0)))</f>
        <v>2.1514705882352945</v>
      </c>
      <c r="I22" s="24">
        <f t="array" ref="I22">IF(I$1="","",INDEX('Raw data'!$S$4:$S$267,MATCH("14 days"&amp;'Wide data'!$A$1&amp;'Wide data'!$A22,'Raw data'!$K$4:$K$267&amp;'Raw data'!$L$2&amp;'Raw data'!$L$4:$L$267,0)))</f>
        <v>0.29449527027027028</v>
      </c>
      <c r="J22" s="24">
        <f t="array" ref="J22">IF(J$1="","",INDEX('Raw data'!$S$4:$S$267,MATCH("23 days"&amp;'Wide data'!$A$1&amp;'Wide data'!$A22,'Raw data'!$K$4:$K$267&amp;'Raw data'!$L$2&amp;'Raw data'!$L$4:$L$267,0)))</f>
        <v>0.58135135135135108</v>
      </c>
      <c r="K22" s="24">
        <f t="array" ref="K22">IF(K$1="","",INDEX('Raw data'!$S$4:$S$267,MATCH("32 days"&amp;'Wide data'!$A$1&amp;'Wide data'!$A22,'Raw data'!$K$4:$K$267&amp;'Raw data'!$L$2&amp;'Raw data'!$L$4:$L$267,0)))</f>
        <v>0.44837837837837868</v>
      </c>
      <c r="L22" s="24">
        <f t="array" ref="L22">IF(L$1="","",INDEX('Raw data'!$S$4:$S$267,MATCH("39 days"&amp;'Wide data'!$A$1&amp;'Wide data'!$A22,'Raw data'!$K$4:$K$267&amp;'Raw data'!$L$2&amp;'Raw data'!$L$4:$L$267,0)))</f>
        <v>0.78147058823529436</v>
      </c>
      <c r="M22" s="24">
        <f t="array" ref="M22">IF(M$1="","",INDEX('Raw data'!$V$4:$V$267,MATCH("14 days"&amp;'Wide data'!$A$1&amp;'Wide data'!$A22,'Raw data'!$K$4:$K$267&amp;'Raw data'!$L$2&amp;'Raw data'!$L$4:$L$267,0)))</f>
        <v>0.41081081081081078</v>
      </c>
      <c r="N22" s="24">
        <f t="array" ref="N22">IF(N$1="","",INDEX('Raw data'!$V$4:$V$267,MATCH("23 days"&amp;'Wide data'!$A$1&amp;'Wide data'!$A22,'Raw data'!$K$4:$K$267&amp;'Raw data'!$L$2&amp;'Raw data'!$L$4:$L$267,0)))</f>
        <v>0.74283783783783741</v>
      </c>
      <c r="O22" s="24">
        <f t="array" ref="O22">IF(O$1="","",INDEX('Raw data'!$V$4:$V$267,MATCH("32 days"&amp;'Wide data'!$A$1&amp;'Wide data'!$A22,'Raw data'!$K$4:$K$267&amp;'Raw data'!$L$2&amp;'Raw data'!$L$4:$L$267,0)))</f>
        <v>1.4004285714285716</v>
      </c>
      <c r="P22" s="24">
        <f t="array" ref="P22">IF(P$1="","",INDEX('Raw data'!$V$4:$V$267,MATCH("39 days"&amp;'Wide data'!$A$1&amp;'Wide data'!$A22,'Raw data'!$K$4:$K$267&amp;'Raw data'!$L$2&amp;'Raw data'!$L$4:$L$267,0)))</f>
        <v>1.3544117647058822</v>
      </c>
      <c r="Q22" s="24">
        <f t="array" ref="Q22">IF(Q$1="","",INDEX('Raw data'!$W$4:$W$267,MATCH("14 days"&amp;'Wide data'!$A$1&amp;'Wide data'!$A22,'Raw data'!$K$4:$K$267&amp;'Raw data'!$L$2&amp;'Raw data'!$L$4:$L$267,0)))</f>
        <v>1.1705814401232191</v>
      </c>
      <c r="R22" s="24">
        <f t="array" ref="R22">IF(R$1="","",INDEX('Raw data'!$W$4:$W$267,MATCH("23 days"&amp;'Wide data'!$A$1&amp;'Wide data'!$A22,'Raw data'!$K$4:$K$267&amp;'Raw data'!$L$2&amp;'Raw data'!$L$4:$L$267,0)))</f>
        <v>1.2374257138715754</v>
      </c>
      <c r="S22" s="24">
        <f t="array" ref="S22">IF(S$1="","",INDEX('Raw data'!$W$4:$W$267,MATCH("32 days"&amp;'Wide data'!$A$1&amp;'Wide data'!$A22,'Raw data'!$K$4:$K$267&amp;'Raw data'!$L$2&amp;'Raw data'!$L$4:$L$267,0)))</f>
        <v>1.8352846992895027</v>
      </c>
      <c r="T22" s="24">
        <f t="array" ref="T22">IF(T$1="","",INDEX('Raw data'!$W$4:$W$267,MATCH("39 days"&amp;'Wide data'!$A$1&amp;'Wide data'!$A22,'Raw data'!$K$4:$K$267&amp;'Raw data'!$L$2&amp;'Raw data'!$L$4:$L$267,0)))</f>
        <v>1.7802677832919764</v>
      </c>
      <c r="U22" s="418">
        <f t="array" ref="U22">IF(E$1="","",INDEX('Raw data'!$AN$4:$AN$267,MATCH("Starter"&amp;'Wide data'!$A$1&amp;'Wide data'!$A22,'Raw data'!$AI$4:$AI$267&amp;'Raw data'!$AJ$2&amp;'Raw data'!$AJ$4:$AJ$267,0)))</f>
        <v>0.34027027027027029</v>
      </c>
      <c r="V22" s="418">
        <f t="array" ref="V22">IF(G$1="","",INDEX('Raw data'!$AN$4:$AN$267,MATCH("Grower"&amp;'Wide data'!$A$1&amp;'Wide data'!$A22,'Raw data'!$AI$4:$AI$267&amp;'Raw data'!$AJ$2&amp;'Raw data'!$AJ$4:$AJ$267,0)))</f>
        <v>1.37</v>
      </c>
      <c r="W22" s="418">
        <f t="array" ref="W22">IF(H$1="","",INDEX('Raw data'!$AN$4:$AN$267,MATCH("Finisher"&amp;'Wide data'!$A$1&amp;'Wide data'!$A22,'Raw data'!$AI$4:$AI$267&amp;'Raw data'!$AJ$2&amp;'Raw data'!$AJ$4:$AJ$267,0)))</f>
        <v>2.1514705882352945</v>
      </c>
      <c r="X22" s="418">
        <f t="array" ref="X22">IF(H$1="","",INDEX('Raw data'!$AP$4:$AP$267,MATCH("Starter"&amp;'Wide data'!$A$1&amp;'Wide data'!$A22,'Raw data'!$AI$4:$AI$267&amp;'Raw data'!$AJ$2&amp;'Raw data'!$AJ$4:$AJ$267,0)))</f>
        <v>0.29449527027027028</v>
      </c>
      <c r="Y22" s="418">
        <f t="array" ref="Y22">IF(J$1="","",INDEX('Raw data'!$AP$4:$AP$267,MATCH("Grower"&amp;'Wide data'!$A$1&amp;'Wide data'!$A22,'Raw data'!$AI$4:$AI$267&amp;'Raw data'!$AJ$2&amp;'Raw data'!$AJ$4:$AJ$267,0)))</f>
        <v>1.0297297297297296</v>
      </c>
      <c r="Z22" s="418">
        <f t="array" ref="Z22">IF(K$1="","",INDEX('Raw data'!$AP$4:$AP$267,MATCH("Finisher"&amp;'Wide data'!$A$1&amp;'Wide data'!$A22,'Raw data'!$AI$4:$AI$267&amp;'Raw data'!$AJ$2&amp;'Raw data'!$AJ$4:$AJ$267,0)))</f>
        <v>0.78147058823529436</v>
      </c>
      <c r="AA22" s="418">
        <f t="array" ref="AA22">IF(K$1="","",INDEX('Raw data'!$AR$4:$AR$267,MATCH("Starter"&amp;'Wide data'!$A$1&amp;'Wide data'!$A22,'Raw data'!$AI$4:$AI$267&amp;'Raw data'!$AJ$2&amp;'Raw data'!$AJ$4:$AJ$267,0)))</f>
        <v>0.41081081081081078</v>
      </c>
      <c r="AB22" s="418">
        <f t="array" ref="AB22">IF(M$1="","",INDEX('Raw data'!$AR$4:$AR$267,MATCH("Grower"&amp;'Wide data'!$A$1&amp;'Wide data'!$A22,'Raw data'!$AI$4:$AI$267&amp;'Raw data'!$AJ$2&amp;'Raw data'!$AJ$4:$AJ$267,0)))</f>
        <v>2.1432664092664089</v>
      </c>
      <c r="AC22" s="418">
        <f t="array" ref="AC22">IF(N$1="","",INDEX('Raw data'!$AR$4:$AR$267,MATCH("Finisher"&amp;'Wide data'!$A$1&amp;'Wide data'!$A22,'Raw data'!$AI$4:$AI$267&amp;'Raw data'!$AJ$2&amp;'Raw data'!$AJ$4:$AJ$267,0)))</f>
        <v>1.3544117647058822</v>
      </c>
      <c r="AD22" s="418">
        <f t="array" ref="AD22">IF(N$1="","",INDEX('Raw data'!$AS$4:$AS$267,MATCH("Starter"&amp;'Wide data'!$A$1&amp;'Wide data'!$A22,'Raw data'!$AI$4:$AI$267&amp;'Raw data'!$AJ$2&amp;'Raw data'!$AJ$4:$AJ$267,0)))</f>
        <v>1.1705814401232191</v>
      </c>
      <c r="AE22" s="418">
        <f t="array" ref="AE22">IF(P$1="","",INDEX('Raw data'!$AS$4:$AS$267,MATCH("Grower"&amp;'Wide data'!$A$1&amp;'Wide data'!$A22,'Raw data'!$AI$4:$AI$267&amp;'Raw data'!$AJ$2&amp;'Raw data'!$AJ$4:$AJ$267,0)))</f>
        <v>1.9704690697965834</v>
      </c>
      <c r="AF22" s="418">
        <f t="array" ref="AF22">IF(Q$1="","",INDEX('Raw data'!$AS$4:$AS$267,MATCH("Finisher"&amp;'Wide data'!$A$1&amp;'Wide data'!$A22,'Raw data'!$AI$4:$AI$267&amp;'Raw data'!$AJ$2&amp;'Raw data'!$AJ$4:$AJ$267,0)))</f>
        <v>1.6000138980577461</v>
      </c>
    </row>
    <row r="23" spans="1:32" x14ac:dyDescent="0.25">
      <c r="A23" s="24">
        <f>'Raw data'!L25</f>
        <v>22</v>
      </c>
      <c r="B23" s="24" t="str">
        <f>INDEX('Raw data'!$B$4:$B$69, 'Wide data'!A23)</f>
        <v>T5</v>
      </c>
      <c r="C23" s="24" t="str">
        <f>INDEX('Raw data'!$C$4:$C$69, 'Wide data'!A23)</f>
        <v>R11</v>
      </c>
      <c r="D23" s="24">
        <f t="array" ref="D23">INDEX('Raw data'!$F$4:$F$69,MATCH($A$1&amp;'Wide data'!$A23,'Raw data'!$A$3&amp;'Raw data'!$A$4:$A$69,0))</f>
        <v>4.5725000000000002E-2</v>
      </c>
      <c r="E23" s="24">
        <f t="array" ref="E23">IF(E$1="","",INDEX('Raw data'!$Q$4:$Q$267,MATCH("14 days"&amp;'Wide data'!$A$1&amp;'Wide data'!$A23,'Raw data'!$K$4:$K$267&amp;'Raw data'!$L$2&amp;'Raw data'!$L$4:$L$267,0)))</f>
        <v>0.33849999999999997</v>
      </c>
      <c r="F23" s="24">
        <f t="array" ref="F23">IF(F$1="","",INDEX('Raw data'!$Q$4:$Q$267,MATCH("23 days"&amp;'Wide data'!$A$1&amp;'Wide data'!$A23,'Raw data'!$K$4:$K$267&amp;'Raw data'!$L$2&amp;'Raw data'!$L$4:$L$267,0)))</f>
        <v>0.89375000000000004</v>
      </c>
      <c r="G23" s="24">
        <f t="array" ref="G23">IF(G$1="","",INDEX('Raw data'!$Q$4:$Q$267,MATCH("32 days"&amp;'Wide data'!$A$1&amp;'Wide data'!$A23,'Raw data'!$K$4:$K$267&amp;'Raw data'!$L$2&amp;'Raw data'!$L$4:$L$267,0)))</f>
        <v>1.31025641025641</v>
      </c>
      <c r="H23" s="24">
        <f t="array" ref="H23">IF(H$1="","",INDEX('Raw data'!$Q$4:$Q$267,MATCH("39 days"&amp;'Wide data'!$A$1&amp;'Wide data'!$A23,'Raw data'!$K$4:$K$267&amp;'Raw data'!$L$2&amp;'Raw data'!$L$4:$L$267,0)))</f>
        <v>2.1407894736842104</v>
      </c>
      <c r="I23" s="24">
        <f t="array" ref="I23">IF(I$1="","",INDEX('Raw data'!$S$4:$S$267,MATCH("14 days"&amp;'Wide data'!$A$1&amp;'Wide data'!$A23,'Raw data'!$K$4:$K$267&amp;'Raw data'!$L$2&amp;'Raw data'!$L$4:$L$267,0)))</f>
        <v>0.29277499999999995</v>
      </c>
      <c r="J23" s="24">
        <f t="array" ref="J23">IF(J$1="","",INDEX('Raw data'!$S$4:$S$267,MATCH("23 days"&amp;'Wide data'!$A$1&amp;'Wide data'!$A23,'Raw data'!$K$4:$K$267&amp;'Raw data'!$L$2&amp;'Raw data'!$L$4:$L$267,0)))</f>
        <v>0.55525000000000002</v>
      </c>
      <c r="K23" s="24">
        <f t="array" ref="K23">IF(K$1="","",INDEX('Raw data'!$S$4:$S$267,MATCH("32 days"&amp;'Wide data'!$A$1&amp;'Wide data'!$A23,'Raw data'!$K$4:$K$267&amp;'Raw data'!$L$2&amp;'Raw data'!$L$4:$L$267,0)))</f>
        <v>0.41650641025641</v>
      </c>
      <c r="L23" s="24">
        <f t="array" ref="L23">IF(L$1="","",INDEX('Raw data'!$S$4:$S$267,MATCH("39 days"&amp;'Wide data'!$A$1&amp;'Wide data'!$A23,'Raw data'!$K$4:$K$267&amp;'Raw data'!$L$2&amp;'Raw data'!$L$4:$L$267,0)))</f>
        <v>0.83053306342780031</v>
      </c>
      <c r="M23" s="24">
        <f t="array" ref="M23">IF(M$1="","",INDEX('Raw data'!$V$4:$V$267,MATCH("14 days"&amp;'Wide data'!$A$1&amp;'Wide data'!$A23,'Raw data'!$K$4:$K$267&amp;'Raw data'!$L$2&amp;'Raw data'!$L$4:$L$267,0)))</f>
        <v>0.39</v>
      </c>
      <c r="N23" s="24">
        <f t="array" ref="N23">IF(N$1="","",INDEX('Raw data'!$V$4:$V$267,MATCH("23 days"&amp;'Wide data'!$A$1&amp;'Wide data'!$A23,'Raw data'!$K$4:$K$267&amp;'Raw data'!$L$2&amp;'Raw data'!$L$4:$L$267,0)))</f>
        <v>0.73212499999999991</v>
      </c>
      <c r="O23" s="24">
        <f t="array" ref="O23">IF(O$1="","",INDEX('Raw data'!$V$4:$V$267,MATCH("32 days"&amp;'Wide data'!$A$1&amp;'Wide data'!$A23,'Raw data'!$K$4:$K$267&amp;'Raw data'!$L$2&amp;'Raw data'!$L$4:$L$267,0)))</f>
        <v>1.3055128205128206</v>
      </c>
      <c r="P23" s="24">
        <f t="array" ref="P23">IF(P$1="","",INDEX('Raw data'!$V$4:$V$267,MATCH("39 days"&amp;'Wide data'!$A$1&amp;'Wide data'!$A23,'Raw data'!$K$4:$K$267&amp;'Raw data'!$L$2&amp;'Raw data'!$L$4:$L$267,0)))</f>
        <v>1.3671052631578946</v>
      </c>
      <c r="Q23" s="24">
        <f t="array" ref="Q23">IF(Q$1="","",INDEX('Raw data'!$W$4:$W$267,MATCH("14 days"&amp;'Wide data'!$A$1&amp;'Wide data'!$A23,'Raw data'!$K$4:$K$267&amp;'Raw data'!$L$2&amp;'Raw data'!$L$4:$L$267,0)))</f>
        <v>1.152141802067947</v>
      </c>
      <c r="R23" s="24">
        <f t="array" ref="R23">IF(R$1="","",INDEX('Raw data'!$W$4:$W$267,MATCH("23 days"&amp;'Wide data'!$A$1&amp;'Wide data'!$A23,'Raw data'!$K$4:$K$267&amp;'Raw data'!$L$2&amp;'Raw data'!$L$4:$L$267,0)))</f>
        <v>1.2555244755244754</v>
      </c>
      <c r="S23" s="24">
        <f t="array" ref="S23">IF(S$1="","",INDEX('Raw data'!$W$4:$W$267,MATCH("32 days"&amp;'Wide data'!$A$1&amp;'Wide data'!$A23,'Raw data'!$K$4:$K$267&amp;'Raw data'!$L$2&amp;'Raw data'!$L$4:$L$267,0)))</f>
        <v>1.8487070629100737</v>
      </c>
      <c r="T23" s="24">
        <f t="array" ref="T23">IF(T$1="","",INDEX('Raw data'!$W$4:$W$267,MATCH("39 days"&amp;'Wide data'!$A$1&amp;'Wide data'!$A23,'Raw data'!$K$4:$K$267&amp;'Raw data'!$L$2&amp;'Raw data'!$L$4:$L$267,0)))</f>
        <v>1.7535010681224783</v>
      </c>
      <c r="U23" s="418">
        <f t="array" ref="U23">IF(E$1="","",INDEX('Raw data'!$AN$4:$AN$267,MATCH("Starter"&amp;'Wide data'!$A$1&amp;'Wide data'!$A23,'Raw data'!$AI$4:$AI$267&amp;'Raw data'!$AJ$2&amp;'Raw data'!$AJ$4:$AJ$267,0)))</f>
        <v>0.33849999999999997</v>
      </c>
      <c r="V23" s="418">
        <f t="array" ref="V23">IF(G$1="","",INDEX('Raw data'!$AN$4:$AN$267,MATCH("Grower"&amp;'Wide data'!$A$1&amp;'Wide data'!$A23,'Raw data'!$AI$4:$AI$267&amp;'Raw data'!$AJ$2&amp;'Raw data'!$AJ$4:$AJ$267,0)))</f>
        <v>1.31025641025641</v>
      </c>
      <c r="W23" s="418">
        <f t="array" ref="W23">IF(H$1="","",INDEX('Raw data'!$AN$4:$AN$267,MATCH("Finisher"&amp;'Wide data'!$A$1&amp;'Wide data'!$A23,'Raw data'!$AI$4:$AI$267&amp;'Raw data'!$AJ$2&amp;'Raw data'!$AJ$4:$AJ$267,0)))</f>
        <v>2.1407894736842104</v>
      </c>
      <c r="X23" s="418">
        <f t="array" ref="X23">IF(H$1="","",INDEX('Raw data'!$AP$4:$AP$267,MATCH("Starter"&amp;'Wide data'!$A$1&amp;'Wide data'!$A23,'Raw data'!$AI$4:$AI$267&amp;'Raw data'!$AJ$2&amp;'Raw data'!$AJ$4:$AJ$267,0)))</f>
        <v>0.29277499999999995</v>
      </c>
      <c r="Y23" s="418">
        <f t="array" ref="Y23">IF(J$1="","",INDEX('Raw data'!$AP$4:$AP$267,MATCH("Grower"&amp;'Wide data'!$A$1&amp;'Wide data'!$A23,'Raw data'!$AI$4:$AI$267&amp;'Raw data'!$AJ$2&amp;'Raw data'!$AJ$4:$AJ$267,0)))</f>
        <v>0.97175641025641002</v>
      </c>
      <c r="Z23" s="418">
        <f t="array" ref="Z23">IF(K$1="","",INDEX('Raw data'!$AP$4:$AP$267,MATCH("Finisher"&amp;'Wide data'!$A$1&amp;'Wide data'!$A23,'Raw data'!$AI$4:$AI$267&amp;'Raw data'!$AJ$2&amp;'Raw data'!$AJ$4:$AJ$267,0)))</f>
        <v>0.83053306342780031</v>
      </c>
      <c r="AA23" s="418">
        <f t="array" ref="AA23">IF(K$1="","",INDEX('Raw data'!$AR$4:$AR$267,MATCH("Starter"&amp;'Wide data'!$A$1&amp;'Wide data'!$A23,'Raw data'!$AI$4:$AI$267&amp;'Raw data'!$AJ$2&amp;'Raw data'!$AJ$4:$AJ$267,0)))</f>
        <v>0.39</v>
      </c>
      <c r="AB23" s="418">
        <f t="array" ref="AB23">IF(M$1="","",INDEX('Raw data'!$AR$4:$AR$267,MATCH("Grower"&amp;'Wide data'!$A$1&amp;'Wide data'!$A23,'Raw data'!$AI$4:$AI$267&amp;'Raw data'!$AJ$2&amp;'Raw data'!$AJ$4:$AJ$267,0)))</f>
        <v>2.0376378205128205</v>
      </c>
      <c r="AC23" s="418">
        <f t="array" ref="AC23">IF(N$1="","",INDEX('Raw data'!$AR$4:$AR$267,MATCH("Finisher"&amp;'Wide data'!$A$1&amp;'Wide data'!$A23,'Raw data'!$AI$4:$AI$267&amp;'Raw data'!$AJ$2&amp;'Raw data'!$AJ$4:$AJ$267,0)))</f>
        <v>1.3671052631578946</v>
      </c>
      <c r="AD23" s="418">
        <f t="array" ref="AD23">IF(N$1="","",INDEX('Raw data'!$AS$4:$AS$267,MATCH("Starter"&amp;'Wide data'!$A$1&amp;'Wide data'!$A23,'Raw data'!$AI$4:$AI$267&amp;'Raw data'!$AJ$2&amp;'Raw data'!$AJ$4:$AJ$267,0)))</f>
        <v>1.152141802067947</v>
      </c>
      <c r="AE23" s="418">
        <f t="array" ref="AE23">IF(P$1="","",INDEX('Raw data'!$AS$4:$AS$267,MATCH("Grower"&amp;'Wide data'!$A$1&amp;'Wide data'!$A23,'Raw data'!$AI$4:$AI$267&amp;'Raw data'!$AJ$2&amp;'Raw data'!$AJ$4:$AJ$267,0)))</f>
        <v>2.0472893200165934</v>
      </c>
      <c r="AF23" s="418">
        <f t="array" ref="AF23">IF(Q$1="","",INDEX('Raw data'!$AS$4:$AS$267,MATCH("Finisher"&amp;'Wide data'!$A$1&amp;'Wide data'!$A23,'Raw data'!$AI$4:$AI$267&amp;'Raw data'!$AJ$2&amp;'Raw data'!$AJ$4:$AJ$267,0)))</f>
        <v>1.5392475650707305</v>
      </c>
    </row>
    <row r="24" spans="1:32" x14ac:dyDescent="0.25">
      <c r="A24" s="24">
        <f>'Raw data'!L26</f>
        <v>23</v>
      </c>
      <c r="B24" s="24" t="str">
        <f>INDEX('Raw data'!$B$4:$B$69, 'Wide data'!A24)</f>
        <v>T5</v>
      </c>
      <c r="C24" s="24" t="str">
        <f>INDEX('Raw data'!$C$4:$C$69, 'Wide data'!A24)</f>
        <v>R10</v>
      </c>
      <c r="D24" s="24">
        <f t="array" ref="D24">INDEX('Raw data'!$F$4:$F$69,MATCH($A$1&amp;'Wide data'!$A24,'Raw data'!$A$3&amp;'Raw data'!$A$4:$A$69,0))</f>
        <v>4.5675E-2</v>
      </c>
      <c r="E24" s="24">
        <f t="array" ref="E24">IF(E$1="","",INDEX('Raw data'!$Q$4:$Q$267,MATCH("14 days"&amp;'Wide data'!$A$1&amp;'Wide data'!$A24,'Raw data'!$K$4:$K$267&amp;'Raw data'!$L$2&amp;'Raw data'!$L$4:$L$267,0)))</f>
        <v>0.3561538461538461</v>
      </c>
      <c r="F24" s="24">
        <f t="array" ref="F24">IF(F$1="","",INDEX('Raw data'!$Q$4:$Q$267,MATCH("23 days"&amp;'Wide data'!$A$1&amp;'Wide data'!$A24,'Raw data'!$K$4:$K$267&amp;'Raw data'!$L$2&amp;'Raw data'!$L$4:$L$267,0)))</f>
        <v>0.94102564102564112</v>
      </c>
      <c r="G24" s="24">
        <f t="array" ref="G24">IF(G$1="","",INDEX('Raw data'!$Q$4:$Q$267,MATCH("32 days"&amp;'Wide data'!$A$1&amp;'Wide data'!$A24,'Raw data'!$K$4:$K$267&amp;'Raw data'!$L$2&amp;'Raw data'!$L$4:$L$267,0)))</f>
        <v>1.4551282051282048</v>
      </c>
      <c r="H24" s="24">
        <f t="array" ref="H24">IF(H$1="","",INDEX('Raw data'!$Q$4:$Q$267,MATCH("39 days"&amp;'Wide data'!$A$1&amp;'Wide data'!$A24,'Raw data'!$K$4:$K$267&amp;'Raw data'!$L$2&amp;'Raw data'!$L$4:$L$267,0)))</f>
        <v>2.2705128205128209</v>
      </c>
      <c r="I24" s="24">
        <f t="array" ref="I24">IF(I$1="","",INDEX('Raw data'!$S$4:$S$267,MATCH("14 days"&amp;'Wide data'!$A$1&amp;'Wide data'!$A24,'Raw data'!$K$4:$K$267&amp;'Raw data'!$L$2&amp;'Raw data'!$L$4:$L$267,0)))</f>
        <v>0.31047884615384608</v>
      </c>
      <c r="J24" s="24">
        <f t="array" ref="J24">IF(J$1="","",INDEX('Raw data'!$S$4:$S$267,MATCH("23 days"&amp;'Wide data'!$A$1&amp;'Wide data'!$A24,'Raw data'!$K$4:$K$267&amp;'Raw data'!$L$2&amp;'Raw data'!$L$4:$L$267,0)))</f>
        <v>0.58487179487179497</v>
      </c>
      <c r="K24" s="24">
        <f t="array" ref="K24">IF(K$1="","",INDEX('Raw data'!$S$4:$S$267,MATCH("32 days"&amp;'Wide data'!$A$1&amp;'Wide data'!$A24,'Raw data'!$K$4:$K$267&amp;'Raw data'!$L$2&amp;'Raw data'!$L$4:$L$267,0)))</f>
        <v>0.51410256410256372</v>
      </c>
      <c r="L24" s="24">
        <f t="array" ref="L24">IF(L$1="","",INDEX('Raw data'!$S$4:$S$267,MATCH("39 days"&amp;'Wide data'!$A$1&amp;'Wide data'!$A24,'Raw data'!$K$4:$K$267&amp;'Raw data'!$L$2&amp;'Raw data'!$L$4:$L$267,0)))</f>
        <v>0.81538461538461604</v>
      </c>
      <c r="M24" s="24">
        <f t="array" ref="M24">IF(M$1="","",INDEX('Raw data'!$V$4:$V$267,MATCH("14 days"&amp;'Wide data'!$A$1&amp;'Wide data'!$A24,'Raw data'!$K$4:$K$267&amp;'Raw data'!$L$2&amp;'Raw data'!$L$4:$L$267,0)))</f>
        <v>0.41025641025641024</v>
      </c>
      <c r="N24" s="24">
        <f t="array" ref="N24">IF(N$1="","",INDEX('Raw data'!$V$4:$V$267,MATCH("23 days"&amp;'Wide data'!$A$1&amp;'Wide data'!$A24,'Raw data'!$K$4:$K$267&amp;'Raw data'!$L$2&amp;'Raw data'!$L$4:$L$267,0)))</f>
        <v>0.81115384615384589</v>
      </c>
      <c r="O24" s="24">
        <f t="array" ref="O24">IF(O$1="","",INDEX('Raw data'!$V$4:$V$267,MATCH("32 days"&amp;'Wide data'!$A$1&amp;'Wide data'!$A24,'Raw data'!$K$4:$K$267&amp;'Raw data'!$L$2&amp;'Raw data'!$L$4:$L$267,0)))</f>
        <v>1.4003846153846156</v>
      </c>
      <c r="P24" s="24">
        <f t="array" ref="P24">IF(P$1="","",INDEX('Raw data'!$V$4:$V$267,MATCH("39 days"&amp;'Wide data'!$A$1&amp;'Wide data'!$A24,'Raw data'!$K$4:$K$267&amp;'Raw data'!$L$2&amp;'Raw data'!$L$4:$L$267,0)))</f>
        <v>1.358974358974359</v>
      </c>
      <c r="Q24" s="24">
        <f t="array" ref="Q24">IF(Q$1="","",INDEX('Raw data'!$W$4:$W$267,MATCH("14 days"&amp;'Wide data'!$A$1&amp;'Wide data'!$A24,'Raw data'!$K$4:$K$267&amp;'Raw data'!$L$2&amp;'Raw data'!$L$4:$L$267,0)))</f>
        <v>1.1355571327182401</v>
      </c>
      <c r="R24" s="24">
        <f t="array" ref="R24">IF(R$1="","",INDEX('Raw data'!$W$4:$W$267,MATCH("23 days"&amp;'Wide data'!$A$1&amp;'Wide data'!$A24,'Raw data'!$K$4:$K$267&amp;'Raw data'!$L$2&amp;'Raw data'!$L$4:$L$267,0)))</f>
        <v>1.2909214092140917</v>
      </c>
      <c r="S24" s="24">
        <f t="array" ref="S24">IF(S$1="","",INDEX('Raw data'!$W$4:$W$267,MATCH("32 days"&amp;'Wide data'!$A$1&amp;'Wide data'!$A24,'Raw data'!$K$4:$K$267&amp;'Raw data'!$L$2&amp;'Raw data'!$L$4:$L$267,0)))</f>
        <v>1.7954345917471468</v>
      </c>
      <c r="T24" s="24">
        <f t="array" ref="T24">IF(T$1="","",INDEX('Raw data'!$W$4:$W$267,MATCH("39 days"&amp;'Wide data'!$A$1&amp;'Wide data'!$A24,'Raw data'!$K$4:$K$267&amp;'Raw data'!$L$2&amp;'Raw data'!$L$4:$L$267,0)))</f>
        <v>1.749295774647887</v>
      </c>
      <c r="U24" s="418">
        <f t="array" ref="U24">IF(E$1="","",INDEX('Raw data'!$AN$4:$AN$267,MATCH("Starter"&amp;'Wide data'!$A$1&amp;'Wide data'!$A24,'Raw data'!$AI$4:$AI$267&amp;'Raw data'!$AJ$2&amp;'Raw data'!$AJ$4:$AJ$267,0)))</f>
        <v>0.3561538461538461</v>
      </c>
      <c r="V24" s="418">
        <f t="array" ref="V24">IF(G$1="","",INDEX('Raw data'!$AN$4:$AN$267,MATCH("Grower"&amp;'Wide data'!$A$1&amp;'Wide data'!$A24,'Raw data'!$AI$4:$AI$267&amp;'Raw data'!$AJ$2&amp;'Raw data'!$AJ$4:$AJ$267,0)))</f>
        <v>1.4551282051282048</v>
      </c>
      <c r="W24" s="418">
        <f t="array" ref="W24">IF(H$1="","",INDEX('Raw data'!$AN$4:$AN$267,MATCH("Finisher"&amp;'Wide data'!$A$1&amp;'Wide data'!$A24,'Raw data'!$AI$4:$AI$267&amp;'Raw data'!$AJ$2&amp;'Raw data'!$AJ$4:$AJ$267,0)))</f>
        <v>2.2705128205128209</v>
      </c>
      <c r="X24" s="418">
        <f t="array" ref="X24">IF(H$1="","",INDEX('Raw data'!$AP$4:$AP$267,MATCH("Starter"&amp;'Wide data'!$A$1&amp;'Wide data'!$A24,'Raw data'!$AI$4:$AI$267&amp;'Raw data'!$AJ$2&amp;'Raw data'!$AJ$4:$AJ$267,0)))</f>
        <v>0.31047884615384608</v>
      </c>
      <c r="Y24" s="418">
        <f t="array" ref="Y24">IF(J$1="","",INDEX('Raw data'!$AP$4:$AP$267,MATCH("Grower"&amp;'Wide data'!$A$1&amp;'Wide data'!$A24,'Raw data'!$AI$4:$AI$267&amp;'Raw data'!$AJ$2&amp;'Raw data'!$AJ$4:$AJ$267,0)))</f>
        <v>1.0989743589743588</v>
      </c>
      <c r="Z24" s="418">
        <f t="array" ref="Z24">IF(K$1="","",INDEX('Raw data'!$AP$4:$AP$267,MATCH("Finisher"&amp;'Wide data'!$A$1&amp;'Wide data'!$A24,'Raw data'!$AI$4:$AI$267&amp;'Raw data'!$AJ$2&amp;'Raw data'!$AJ$4:$AJ$267,0)))</f>
        <v>0.81538461538461604</v>
      </c>
      <c r="AA24" s="418">
        <f t="array" ref="AA24">IF(K$1="","",INDEX('Raw data'!$AR$4:$AR$267,MATCH("Starter"&amp;'Wide data'!$A$1&amp;'Wide data'!$A24,'Raw data'!$AI$4:$AI$267&amp;'Raw data'!$AJ$2&amp;'Raw data'!$AJ$4:$AJ$267,0)))</f>
        <v>0.41025641025641024</v>
      </c>
      <c r="AB24" s="418">
        <f t="array" ref="AB24">IF(M$1="","",INDEX('Raw data'!$AR$4:$AR$267,MATCH("Grower"&amp;'Wide data'!$A$1&amp;'Wide data'!$A24,'Raw data'!$AI$4:$AI$267&amp;'Raw data'!$AJ$2&amp;'Raw data'!$AJ$4:$AJ$267,0)))</f>
        <v>2.2115384615384617</v>
      </c>
      <c r="AC24" s="418">
        <f t="array" ref="AC24">IF(N$1="","",INDEX('Raw data'!$AR$4:$AR$267,MATCH("Finisher"&amp;'Wide data'!$A$1&amp;'Wide data'!$A24,'Raw data'!$AI$4:$AI$267&amp;'Raw data'!$AJ$2&amp;'Raw data'!$AJ$4:$AJ$267,0)))</f>
        <v>1.358974358974359</v>
      </c>
      <c r="AD24" s="418">
        <f t="array" ref="AD24">IF(N$1="","",INDEX('Raw data'!$AS$4:$AS$267,MATCH("Starter"&amp;'Wide data'!$A$1&amp;'Wide data'!$A24,'Raw data'!$AI$4:$AI$267&amp;'Raw data'!$AJ$2&amp;'Raw data'!$AJ$4:$AJ$267,0)))</f>
        <v>1.1355571327182401</v>
      </c>
      <c r="AE24" s="418">
        <f t="array" ref="AE24">IF(P$1="","",INDEX('Raw data'!$AS$4:$AS$267,MATCH("Grower"&amp;'Wide data'!$A$1&amp;'Wide data'!$A24,'Raw data'!$AI$4:$AI$267&amp;'Raw data'!$AJ$2&amp;'Raw data'!$AJ$4:$AJ$267,0)))</f>
        <v>2.0123658422771822</v>
      </c>
      <c r="AF24" s="418">
        <f t="array" ref="AF24">IF(Q$1="","",INDEX('Raw data'!$AS$4:$AS$267,MATCH("Finisher"&amp;'Wide data'!$A$1&amp;'Wide data'!$A24,'Raw data'!$AI$4:$AI$267&amp;'Raw data'!$AJ$2&amp;'Raw data'!$AJ$4:$AJ$267,0)))</f>
        <v>1.6666666666666654</v>
      </c>
    </row>
    <row r="25" spans="1:32" x14ac:dyDescent="0.25">
      <c r="A25" s="24">
        <f>'Raw data'!L27</f>
        <v>24</v>
      </c>
      <c r="B25" s="24" t="str">
        <f>INDEX('Raw data'!$B$4:$B$69, 'Wide data'!A25)</f>
        <v>T4</v>
      </c>
      <c r="C25" s="24" t="str">
        <f>INDEX('Raw data'!$C$4:$C$69, 'Wide data'!A25)</f>
        <v>R10</v>
      </c>
      <c r="D25" s="24">
        <f t="array" ref="D25">INDEX('Raw data'!$F$4:$F$69,MATCH($A$1&amp;'Wide data'!$A25,'Raw data'!$A$3&amp;'Raw data'!$A$4:$A$69,0))</f>
        <v>4.5950000000000005E-2</v>
      </c>
      <c r="E25" s="24">
        <f t="array" ref="E25">IF(E$1="","",INDEX('Raw data'!$Q$4:$Q$267,MATCH("14 days"&amp;'Wide data'!$A$1&amp;'Wide data'!$A25,'Raw data'!$K$4:$K$267&amp;'Raw data'!$L$2&amp;'Raw data'!$L$4:$L$267,0)))</f>
        <v>0.35725000000000001</v>
      </c>
      <c r="F25" s="24">
        <f t="array" ref="F25">IF(F$1="","",INDEX('Raw data'!$Q$4:$Q$267,MATCH("23 days"&amp;'Wide data'!$A$1&amp;'Wide data'!$A25,'Raw data'!$K$4:$K$267&amp;'Raw data'!$L$2&amp;'Raw data'!$L$4:$L$267,0)))</f>
        <v>0.97124999999999984</v>
      </c>
      <c r="G25" s="24">
        <f t="array" ref="G25">IF(G$1="","",INDEX('Raw data'!$Q$4:$Q$267,MATCH("32 days"&amp;'Wide data'!$A$1&amp;'Wide data'!$A25,'Raw data'!$K$4:$K$267&amp;'Raw data'!$L$2&amp;'Raw data'!$L$4:$L$267,0)))</f>
        <v>1.4794871794871793</v>
      </c>
      <c r="H25" s="24">
        <f t="array" ref="H25">IF(H$1="","",INDEX('Raw data'!$Q$4:$Q$267,MATCH("39 days"&amp;'Wide data'!$A$1&amp;'Wide data'!$A25,'Raw data'!$K$4:$K$267&amp;'Raw data'!$L$2&amp;'Raw data'!$L$4:$L$267,0)))</f>
        <v>2.3064102564102562</v>
      </c>
      <c r="I25" s="24">
        <f t="array" ref="I25">IF(I$1="","",INDEX('Raw data'!$S$4:$S$267,MATCH("14 days"&amp;'Wide data'!$A$1&amp;'Wide data'!$A25,'Raw data'!$K$4:$K$267&amp;'Raw data'!$L$2&amp;'Raw data'!$L$4:$L$267,0)))</f>
        <v>0.31130000000000002</v>
      </c>
      <c r="J25" s="24">
        <f t="array" ref="J25">IF(J$1="","",INDEX('Raw data'!$S$4:$S$267,MATCH("23 days"&amp;'Wide data'!$A$1&amp;'Wide data'!$A25,'Raw data'!$K$4:$K$267&amp;'Raw data'!$L$2&amp;'Raw data'!$L$4:$L$267,0)))</f>
        <v>0.61399999999999988</v>
      </c>
      <c r="K25" s="24">
        <f t="array" ref="K25">IF(K$1="","",INDEX('Raw data'!$S$4:$S$267,MATCH("32 days"&amp;'Wide data'!$A$1&amp;'Wide data'!$A25,'Raw data'!$K$4:$K$267&amp;'Raw data'!$L$2&amp;'Raw data'!$L$4:$L$267,0)))</f>
        <v>0.5082371794871795</v>
      </c>
      <c r="L25" s="24">
        <f t="array" ref="L25">IF(L$1="","",INDEX('Raw data'!$S$4:$S$267,MATCH("39 days"&amp;'Wide data'!$A$1&amp;'Wide data'!$A25,'Raw data'!$K$4:$K$267&amp;'Raw data'!$L$2&amp;'Raw data'!$L$4:$L$267,0)))</f>
        <v>0.82692307692307687</v>
      </c>
      <c r="M25" s="24">
        <f t="array" ref="M25">IF(M$1="","",INDEX('Raw data'!$V$4:$V$267,MATCH("14 days"&amp;'Wide data'!$A$1&amp;'Wide data'!$A25,'Raw data'!$K$4:$K$267&amp;'Raw data'!$L$2&amp;'Raw data'!$L$4:$L$267,0)))</f>
        <v>0.41374999999999995</v>
      </c>
      <c r="N25" s="24">
        <f t="array" ref="N25">IF(N$1="","",INDEX('Raw data'!$V$4:$V$267,MATCH("23 days"&amp;'Wide data'!$A$1&amp;'Wide data'!$A25,'Raw data'!$K$4:$K$267&amp;'Raw data'!$L$2&amp;'Raw data'!$L$4:$L$267,0)))</f>
        <v>0.84212500000000001</v>
      </c>
      <c r="O25" s="24">
        <f t="array" ref="O25">IF(O$1="","",INDEX('Raw data'!$V$4:$V$267,MATCH("32 days"&amp;'Wide data'!$A$1&amp;'Wide data'!$A25,'Raw data'!$K$4:$K$267&amp;'Raw data'!$L$2&amp;'Raw data'!$L$4:$L$267,0)))</f>
        <v>1.3978205128205128</v>
      </c>
      <c r="P25" s="24">
        <f t="array" ref="P25">IF(P$1="","",INDEX('Raw data'!$V$4:$V$267,MATCH("39 days"&amp;'Wide data'!$A$1&amp;'Wide data'!$A25,'Raw data'!$K$4:$K$267&amp;'Raw data'!$L$2&amp;'Raw data'!$L$4:$L$267,0)))</f>
        <v>1.4076923076923076</v>
      </c>
      <c r="Q25" s="24">
        <f t="array" ref="Q25">IF(Q$1="","",INDEX('Raw data'!$W$4:$W$267,MATCH("14 days"&amp;'Wide data'!$A$1&amp;'Wide data'!$A25,'Raw data'!$K$4:$K$267&amp;'Raw data'!$L$2&amp;'Raw data'!$L$4:$L$267,0)))</f>
        <v>1.1581525542337296</v>
      </c>
      <c r="R25" s="24">
        <f t="array" ref="R25">IF(R$1="","",INDEX('Raw data'!$W$4:$W$267,MATCH("23 days"&amp;'Wide data'!$A$1&amp;'Wide data'!$A25,'Raw data'!$K$4:$K$267&amp;'Raw data'!$L$2&amp;'Raw data'!$L$4:$L$267,0)))</f>
        <v>1.2930501930501932</v>
      </c>
      <c r="S25" s="24">
        <f t="array" ref="S25">IF(S$1="","",INDEX('Raw data'!$W$4:$W$267,MATCH("32 days"&amp;'Wide data'!$A$1&amp;'Wide data'!$A25,'Raw data'!$K$4:$K$267&amp;'Raw data'!$L$2&amp;'Raw data'!$L$4:$L$267,0)))</f>
        <v>1.7829787234042556</v>
      </c>
      <c r="T25" s="24">
        <f t="array" ref="T25">IF(T$1="","",INDEX('Raw data'!$W$4:$W$267,MATCH("39 days"&amp;'Wide data'!$A$1&amp;'Wide data'!$A25,'Raw data'!$K$4:$K$267&amp;'Raw data'!$L$2&amp;'Raw data'!$L$4:$L$267,0)))</f>
        <v>1.7543956043956044</v>
      </c>
      <c r="U25" s="418">
        <f t="array" ref="U25">IF(E$1="","",INDEX('Raw data'!$AN$4:$AN$267,MATCH("Starter"&amp;'Wide data'!$A$1&amp;'Wide data'!$A25,'Raw data'!$AI$4:$AI$267&amp;'Raw data'!$AJ$2&amp;'Raw data'!$AJ$4:$AJ$267,0)))</f>
        <v>0.35725000000000001</v>
      </c>
      <c r="V25" s="418">
        <f t="array" ref="V25">IF(G$1="","",INDEX('Raw data'!$AN$4:$AN$267,MATCH("Grower"&amp;'Wide data'!$A$1&amp;'Wide data'!$A25,'Raw data'!$AI$4:$AI$267&amp;'Raw data'!$AJ$2&amp;'Raw data'!$AJ$4:$AJ$267,0)))</f>
        <v>1.4794871794871793</v>
      </c>
      <c r="W25" s="418">
        <f t="array" ref="W25">IF(H$1="","",INDEX('Raw data'!$AN$4:$AN$267,MATCH("Finisher"&amp;'Wide data'!$A$1&amp;'Wide data'!$A25,'Raw data'!$AI$4:$AI$267&amp;'Raw data'!$AJ$2&amp;'Raw data'!$AJ$4:$AJ$267,0)))</f>
        <v>2.3064102564102562</v>
      </c>
      <c r="X25" s="418">
        <f t="array" ref="X25">IF(H$1="","",INDEX('Raw data'!$AP$4:$AP$267,MATCH("Starter"&amp;'Wide data'!$A$1&amp;'Wide data'!$A25,'Raw data'!$AI$4:$AI$267&amp;'Raw data'!$AJ$2&amp;'Raw data'!$AJ$4:$AJ$267,0)))</f>
        <v>0.31130000000000002</v>
      </c>
      <c r="Y25" s="418">
        <f t="array" ref="Y25">IF(J$1="","",INDEX('Raw data'!$AP$4:$AP$267,MATCH("Grower"&amp;'Wide data'!$A$1&amp;'Wide data'!$A25,'Raw data'!$AI$4:$AI$267&amp;'Raw data'!$AJ$2&amp;'Raw data'!$AJ$4:$AJ$267,0)))</f>
        <v>1.1222371794871795</v>
      </c>
      <c r="Z25" s="418">
        <f t="array" ref="Z25">IF(K$1="","",INDEX('Raw data'!$AP$4:$AP$267,MATCH("Finisher"&amp;'Wide data'!$A$1&amp;'Wide data'!$A25,'Raw data'!$AI$4:$AI$267&amp;'Raw data'!$AJ$2&amp;'Raw data'!$AJ$4:$AJ$267,0)))</f>
        <v>0.82692307692307687</v>
      </c>
      <c r="AA25" s="418">
        <f t="array" ref="AA25">IF(K$1="","",INDEX('Raw data'!$AR$4:$AR$267,MATCH("Starter"&amp;'Wide data'!$A$1&amp;'Wide data'!$A25,'Raw data'!$AI$4:$AI$267&amp;'Raw data'!$AJ$2&amp;'Raw data'!$AJ$4:$AJ$267,0)))</f>
        <v>0.41374999999999995</v>
      </c>
      <c r="AB25" s="418">
        <f t="array" ref="AB25">IF(M$1="","",INDEX('Raw data'!$AR$4:$AR$267,MATCH("Grower"&amp;'Wide data'!$A$1&amp;'Wide data'!$A25,'Raw data'!$AI$4:$AI$267&amp;'Raw data'!$AJ$2&amp;'Raw data'!$AJ$4:$AJ$267,0)))</f>
        <v>2.2399455128205128</v>
      </c>
      <c r="AC25" s="418">
        <f t="array" ref="AC25">IF(N$1="","",INDEX('Raw data'!$AR$4:$AR$267,MATCH("Finisher"&amp;'Wide data'!$A$1&amp;'Wide data'!$A25,'Raw data'!$AI$4:$AI$267&amp;'Raw data'!$AJ$2&amp;'Raw data'!$AJ$4:$AJ$267,0)))</f>
        <v>1.4076923076923076</v>
      </c>
      <c r="AD25" s="418">
        <f t="array" ref="AD25">IF(N$1="","",INDEX('Raw data'!$AS$4:$AS$267,MATCH("Starter"&amp;'Wide data'!$A$1&amp;'Wide data'!$A25,'Raw data'!$AI$4:$AI$267&amp;'Raw data'!$AJ$2&amp;'Raw data'!$AJ$4:$AJ$267,0)))</f>
        <v>1.1581525542337296</v>
      </c>
      <c r="AE25" s="418">
        <f t="array" ref="AE25">IF(P$1="","",INDEX('Raw data'!$AS$4:$AS$267,MATCH("Grower"&amp;'Wide data'!$A$1&amp;'Wide data'!$A25,'Raw data'!$AI$4:$AI$267&amp;'Raw data'!$AJ$2&amp;'Raw data'!$AJ$4:$AJ$267,0)))</f>
        <v>1.9413949649195217</v>
      </c>
      <c r="AF25" s="418">
        <f t="array" ref="AF25">IF(Q$1="","",INDEX('Raw data'!$AS$4:$AS$267,MATCH("Finisher"&amp;'Wide data'!$A$1&amp;'Wide data'!$A25,'Raw data'!$AI$4:$AI$267&amp;'Raw data'!$AJ$2&amp;'Raw data'!$AJ$4:$AJ$267,0)))</f>
        <v>1.7023255813953488</v>
      </c>
    </row>
    <row r="26" spans="1:32" x14ac:dyDescent="0.25">
      <c r="A26" s="24">
        <f>'Raw data'!L28</f>
        <v>25</v>
      </c>
      <c r="B26" s="24" t="str">
        <f>INDEX('Raw data'!$B$4:$B$69, 'Wide data'!A26)</f>
        <v>T2</v>
      </c>
      <c r="C26" s="24" t="str">
        <f>INDEX('Raw data'!$C$4:$C$69, 'Wide data'!A26)</f>
        <v>R4</v>
      </c>
      <c r="D26" s="24">
        <f t="array" ref="D26">INDEX('Raw data'!$F$4:$F$69,MATCH($A$1&amp;'Wide data'!$A26,'Raw data'!$A$3&amp;'Raw data'!$A$4:$A$69,0))</f>
        <v>4.5624999999999999E-2</v>
      </c>
      <c r="E26" s="24">
        <f t="array" ref="E26">IF(E$1="","",INDEX('Raw data'!$Q$4:$Q$267,MATCH("14 days"&amp;'Wide data'!$A$1&amp;'Wide data'!$A26,'Raw data'!$K$4:$K$267&amp;'Raw data'!$L$2&amp;'Raw data'!$L$4:$L$267,0)))</f>
        <v>0.35224999999999995</v>
      </c>
      <c r="F26" s="24">
        <f t="array" ref="F26">IF(F$1="","",INDEX('Raw data'!$Q$4:$Q$267,MATCH("23 days"&amp;'Wide data'!$A$1&amp;'Wide data'!$A26,'Raw data'!$K$4:$K$267&amp;'Raw data'!$L$2&amp;'Raw data'!$L$4:$L$267,0)))</f>
        <v>0.95625000000000004</v>
      </c>
      <c r="G26" s="24">
        <f t="array" ref="G26">IF(G$1="","",INDEX('Raw data'!$Q$4:$Q$267,MATCH("32 days"&amp;'Wide data'!$A$1&amp;'Wide data'!$A26,'Raw data'!$K$4:$K$267&amp;'Raw data'!$L$2&amp;'Raw data'!$L$4:$L$267,0)))</f>
        <v>1.4602564102564102</v>
      </c>
      <c r="H26" s="24">
        <f t="array" ref="H26">IF(H$1="","",INDEX('Raw data'!$Q$4:$Q$267,MATCH("39 days"&amp;'Wide data'!$A$1&amp;'Wide data'!$A26,'Raw data'!$K$4:$K$267&amp;'Raw data'!$L$2&amp;'Raw data'!$L$4:$L$267,0)))</f>
        <v>2.3153846153846152</v>
      </c>
      <c r="I26" s="24">
        <f t="array" ref="I26">IF(I$1="","",INDEX('Raw data'!$S$4:$S$267,MATCH("14 days"&amp;'Wide data'!$A$1&amp;'Wide data'!$A26,'Raw data'!$K$4:$K$267&amp;'Raw data'!$L$2&amp;'Raw data'!$L$4:$L$267,0)))</f>
        <v>0.30662499999999993</v>
      </c>
      <c r="J26" s="24">
        <f t="array" ref="J26">IF(J$1="","",INDEX('Raw data'!$S$4:$S$267,MATCH("23 days"&amp;'Wide data'!$A$1&amp;'Wide data'!$A26,'Raw data'!$K$4:$K$267&amp;'Raw data'!$L$2&amp;'Raw data'!$L$4:$L$267,0)))</f>
        <v>0.60400000000000009</v>
      </c>
      <c r="K26" s="24">
        <f t="array" ref="K26">IF(K$1="","",INDEX('Raw data'!$S$4:$S$267,MATCH("32 days"&amp;'Wide data'!$A$1&amp;'Wide data'!$A26,'Raw data'!$K$4:$K$267&amp;'Raw data'!$L$2&amp;'Raw data'!$L$4:$L$267,0)))</f>
        <v>0.50400641025641013</v>
      </c>
      <c r="L26" s="24">
        <f t="array" ref="L26">IF(L$1="","",INDEX('Raw data'!$S$4:$S$267,MATCH("39 days"&amp;'Wide data'!$A$1&amp;'Wide data'!$A26,'Raw data'!$K$4:$K$267&amp;'Raw data'!$L$2&amp;'Raw data'!$L$4:$L$267,0)))</f>
        <v>0.85512820512820498</v>
      </c>
      <c r="M26" s="24">
        <f t="array" ref="M26">IF(M$1="","",INDEX('Raw data'!$V$4:$V$267,MATCH("14 days"&amp;'Wide data'!$A$1&amp;'Wide data'!$A26,'Raw data'!$K$4:$K$267&amp;'Raw data'!$L$2&amp;'Raw data'!$L$4:$L$267,0)))</f>
        <v>0.39749999999999996</v>
      </c>
      <c r="N26" s="24">
        <f t="array" ref="N26">IF(N$1="","",INDEX('Raw data'!$V$4:$V$267,MATCH("23 days"&amp;'Wide data'!$A$1&amp;'Wide data'!$A26,'Raw data'!$K$4:$K$267&amp;'Raw data'!$L$2&amp;'Raw data'!$L$4:$L$267,0)))</f>
        <v>0.80462500000000003</v>
      </c>
      <c r="O26" s="24">
        <f t="array" ref="O26">IF(O$1="","",INDEX('Raw data'!$V$4:$V$267,MATCH("32 days"&amp;'Wide data'!$A$1&amp;'Wide data'!$A26,'Raw data'!$K$4:$K$267&amp;'Raw data'!$L$2&amp;'Raw data'!$L$4:$L$267,0)))</f>
        <v>1.3657692307692308</v>
      </c>
      <c r="P26" s="24">
        <f t="array" ref="P26">IF(P$1="","",INDEX('Raw data'!$V$4:$V$267,MATCH("39 days"&amp;'Wide data'!$A$1&amp;'Wide data'!$A26,'Raw data'!$K$4:$K$267&amp;'Raw data'!$L$2&amp;'Raw data'!$L$4:$L$267,0)))</f>
        <v>1.4089743589743591</v>
      </c>
      <c r="Q26" s="24">
        <f t="array" ref="Q26">IF(Q$1="","",INDEX('Raw data'!$W$4:$W$267,MATCH("14 days"&amp;'Wide data'!$A$1&amp;'Wide data'!$A26,'Raw data'!$K$4:$K$267&amp;'Raw data'!$L$2&amp;'Raw data'!$L$4:$L$267,0)))</f>
        <v>1.128459900638751</v>
      </c>
      <c r="R26" s="24">
        <f t="array" ref="R26">IF(R$1="","",INDEX('Raw data'!$W$4:$W$267,MATCH("23 days"&amp;'Wide data'!$A$1&amp;'Wide data'!$A26,'Raw data'!$K$4:$K$267&amp;'Raw data'!$L$2&amp;'Raw data'!$L$4:$L$267,0)))</f>
        <v>1.2571241830065361</v>
      </c>
      <c r="S26" s="24">
        <f t="array" ref="S26">IF(S$1="","",INDEX('Raw data'!$W$4:$W$267,MATCH("32 days"&amp;'Wide data'!$A$1&amp;'Wide data'!$A26,'Raw data'!$K$4:$K$267&amp;'Raw data'!$L$2&amp;'Raw data'!$L$4:$L$267,0)))</f>
        <v>1.7489214840379639</v>
      </c>
      <c r="T26" s="24">
        <f t="array" ref="T26">IF(T$1="","",INDEX('Raw data'!$W$4:$W$267,MATCH("39 days"&amp;'Wide data'!$A$1&amp;'Wide data'!$A26,'Raw data'!$K$4:$K$267&amp;'Raw data'!$L$2&amp;'Raw data'!$L$4:$L$267,0)))</f>
        <v>1.7119386637458929</v>
      </c>
      <c r="U26" s="418">
        <f t="array" ref="U26">IF(E$1="","",INDEX('Raw data'!$AN$4:$AN$267,MATCH("Starter"&amp;'Wide data'!$A$1&amp;'Wide data'!$A26,'Raw data'!$AI$4:$AI$267&amp;'Raw data'!$AJ$2&amp;'Raw data'!$AJ$4:$AJ$267,0)))</f>
        <v>0.35224999999999995</v>
      </c>
      <c r="V26" s="418">
        <f t="array" ref="V26">IF(G$1="","",INDEX('Raw data'!$AN$4:$AN$267,MATCH("Grower"&amp;'Wide data'!$A$1&amp;'Wide data'!$A26,'Raw data'!$AI$4:$AI$267&amp;'Raw data'!$AJ$2&amp;'Raw data'!$AJ$4:$AJ$267,0)))</f>
        <v>1.4602564102564102</v>
      </c>
      <c r="W26" s="418">
        <f t="array" ref="W26">IF(H$1="","",INDEX('Raw data'!$AN$4:$AN$267,MATCH("Finisher"&amp;'Wide data'!$A$1&amp;'Wide data'!$A26,'Raw data'!$AI$4:$AI$267&amp;'Raw data'!$AJ$2&amp;'Raw data'!$AJ$4:$AJ$267,0)))</f>
        <v>2.3153846153846152</v>
      </c>
      <c r="X26" s="418">
        <f t="array" ref="X26">IF(H$1="","",INDEX('Raw data'!$AP$4:$AP$267,MATCH("Starter"&amp;'Wide data'!$A$1&amp;'Wide data'!$A26,'Raw data'!$AI$4:$AI$267&amp;'Raw data'!$AJ$2&amp;'Raw data'!$AJ$4:$AJ$267,0)))</f>
        <v>0.30662499999999993</v>
      </c>
      <c r="Y26" s="418">
        <f t="array" ref="Y26">IF(J$1="","",INDEX('Raw data'!$AP$4:$AP$267,MATCH("Grower"&amp;'Wide data'!$A$1&amp;'Wide data'!$A26,'Raw data'!$AI$4:$AI$267&amp;'Raw data'!$AJ$2&amp;'Raw data'!$AJ$4:$AJ$267,0)))</f>
        <v>1.1080064102564102</v>
      </c>
      <c r="Z26" s="418">
        <f t="array" ref="Z26">IF(K$1="","",INDEX('Raw data'!$AP$4:$AP$267,MATCH("Finisher"&amp;'Wide data'!$A$1&amp;'Wide data'!$A26,'Raw data'!$AI$4:$AI$267&amp;'Raw data'!$AJ$2&amp;'Raw data'!$AJ$4:$AJ$267,0)))</f>
        <v>0.85512820512820498</v>
      </c>
      <c r="AA26" s="418">
        <f t="array" ref="AA26">IF(K$1="","",INDEX('Raw data'!$AR$4:$AR$267,MATCH("Starter"&amp;'Wide data'!$A$1&amp;'Wide data'!$A26,'Raw data'!$AI$4:$AI$267&amp;'Raw data'!$AJ$2&amp;'Raw data'!$AJ$4:$AJ$267,0)))</f>
        <v>0.39749999999999996</v>
      </c>
      <c r="AB26" s="418">
        <f t="array" ref="AB26">IF(M$1="","",INDEX('Raw data'!$AR$4:$AR$267,MATCH("Grower"&amp;'Wide data'!$A$1&amp;'Wide data'!$A26,'Raw data'!$AI$4:$AI$267&amp;'Raw data'!$AJ$2&amp;'Raw data'!$AJ$4:$AJ$267,0)))</f>
        <v>2.1703942307692308</v>
      </c>
      <c r="AC26" s="418">
        <f t="array" ref="AC26">IF(N$1="","",INDEX('Raw data'!$AR$4:$AR$267,MATCH("Finisher"&amp;'Wide data'!$A$1&amp;'Wide data'!$A26,'Raw data'!$AI$4:$AI$267&amp;'Raw data'!$AJ$2&amp;'Raw data'!$AJ$4:$AJ$267,0)))</f>
        <v>1.4089743589743591</v>
      </c>
      <c r="AD26" s="418">
        <f t="array" ref="AD26">IF(N$1="","",INDEX('Raw data'!$AS$4:$AS$267,MATCH("Starter"&amp;'Wide data'!$A$1&amp;'Wide data'!$A26,'Raw data'!$AI$4:$AI$267&amp;'Raw data'!$AJ$2&amp;'Raw data'!$AJ$4:$AJ$267,0)))</f>
        <v>1.128459900638751</v>
      </c>
      <c r="AE26" s="418">
        <f t="array" ref="AE26">IF(P$1="","",INDEX('Raw data'!$AS$4:$AS$267,MATCH("Grower"&amp;'Wide data'!$A$1&amp;'Wide data'!$A26,'Raw data'!$AI$4:$AI$267&amp;'Raw data'!$AJ$2&amp;'Raw data'!$AJ$4:$AJ$267,0)))</f>
        <v>1.9066744763339192</v>
      </c>
      <c r="AF26" s="418">
        <f t="array" ref="AF26">IF(Q$1="","",INDEX('Raw data'!$AS$4:$AS$267,MATCH("Finisher"&amp;'Wide data'!$A$1&amp;'Wide data'!$A26,'Raw data'!$AI$4:$AI$267&amp;'Raw data'!$AJ$2&amp;'Raw data'!$AJ$4:$AJ$267,0)))</f>
        <v>1.6476761619190408</v>
      </c>
    </row>
    <row r="27" spans="1:32" x14ac:dyDescent="0.25">
      <c r="A27" s="24">
        <f>'Raw data'!L29</f>
        <v>26</v>
      </c>
      <c r="B27" s="24" t="str">
        <f>INDEX('Raw data'!$B$4:$B$69, 'Wide data'!A27)</f>
        <v>T3</v>
      </c>
      <c r="C27" s="24" t="str">
        <f>INDEX('Raw data'!$C$4:$C$69, 'Wide data'!A27)</f>
        <v>R4</v>
      </c>
      <c r="D27" s="24">
        <f t="array" ref="D27">INDEX('Raw data'!$F$4:$F$69,MATCH($A$1&amp;'Wide data'!$A27,'Raw data'!$A$3&amp;'Raw data'!$A$4:$A$69,0))</f>
        <v>4.5499999999999999E-2</v>
      </c>
      <c r="E27" s="24">
        <f t="array" ref="E27">IF(E$1="","",INDEX('Raw data'!$Q$4:$Q$267,MATCH("14 days"&amp;'Wide data'!$A$1&amp;'Wide data'!$A27,'Raw data'!$K$4:$K$267&amp;'Raw data'!$L$2&amp;'Raw data'!$L$4:$L$267,0)))</f>
        <v>0.33692307692307688</v>
      </c>
      <c r="F27" s="24">
        <f t="array" ref="F27">IF(F$1="","",INDEX('Raw data'!$Q$4:$Q$267,MATCH("23 days"&amp;'Wide data'!$A$1&amp;'Wide data'!$A27,'Raw data'!$K$4:$K$267&amp;'Raw data'!$L$2&amp;'Raw data'!$L$4:$L$267,0)))</f>
        <v>0.9076923076923078</v>
      </c>
      <c r="G27" s="24">
        <f t="array" ref="G27">IF(G$1="","",INDEX('Raw data'!$Q$4:$Q$267,MATCH("32 days"&amp;'Wide data'!$A$1&amp;'Wide data'!$A27,'Raw data'!$K$4:$K$267&amp;'Raw data'!$L$2&amp;'Raw data'!$L$4:$L$267,0)))</f>
        <v>1.3884615384615384</v>
      </c>
      <c r="H27" s="24">
        <f t="array" ref="H27">IF(H$1="","",INDEX('Raw data'!$Q$4:$Q$267,MATCH("39 days"&amp;'Wide data'!$A$1&amp;'Wide data'!$A27,'Raw data'!$K$4:$K$267&amp;'Raw data'!$L$2&amp;'Raw data'!$L$4:$L$267,0)))</f>
        <v>2.2089743589743591</v>
      </c>
      <c r="I27" s="24">
        <f t="array" ref="I27">IF(I$1="","",INDEX('Raw data'!$S$4:$S$267,MATCH("14 days"&amp;'Wide data'!$A$1&amp;'Wide data'!$A27,'Raw data'!$K$4:$K$267&amp;'Raw data'!$L$2&amp;'Raw data'!$L$4:$L$267,0)))</f>
        <v>0.2914230769230769</v>
      </c>
      <c r="J27" s="24">
        <f t="array" ref="J27">IF(J$1="","",INDEX('Raw data'!$S$4:$S$267,MATCH("23 days"&amp;'Wide data'!$A$1&amp;'Wide data'!$A27,'Raw data'!$K$4:$K$267&amp;'Raw data'!$L$2&amp;'Raw data'!$L$4:$L$267,0)))</f>
        <v>0.57076923076923092</v>
      </c>
      <c r="K27" s="24">
        <f t="array" ref="K27">IF(K$1="","",INDEX('Raw data'!$S$4:$S$267,MATCH("32 days"&amp;'Wide data'!$A$1&amp;'Wide data'!$A27,'Raw data'!$K$4:$K$267&amp;'Raw data'!$L$2&amp;'Raw data'!$L$4:$L$267,0)))</f>
        <v>0.48076923076923062</v>
      </c>
      <c r="L27" s="24">
        <f t="array" ref="L27">IF(L$1="","",INDEX('Raw data'!$S$4:$S$267,MATCH("39 days"&amp;'Wide data'!$A$1&amp;'Wide data'!$A27,'Raw data'!$K$4:$K$267&amp;'Raw data'!$L$2&amp;'Raw data'!$L$4:$L$267,0)))</f>
        <v>0.82051282051282071</v>
      </c>
      <c r="M27" s="24">
        <f t="array" ref="M27">IF(M$1="","",INDEX('Raw data'!$V$4:$V$267,MATCH("14 days"&amp;'Wide data'!$A$1&amp;'Wide data'!$A27,'Raw data'!$K$4:$K$267&amp;'Raw data'!$L$2&amp;'Raw data'!$L$4:$L$267,0)))</f>
        <v>0.41153846153846158</v>
      </c>
      <c r="N27" s="24">
        <f t="array" ref="N27">IF(N$1="","",INDEX('Raw data'!$V$4:$V$267,MATCH("23 days"&amp;'Wide data'!$A$1&amp;'Wide data'!$A27,'Raw data'!$K$4:$K$267&amp;'Raw data'!$L$2&amp;'Raw data'!$L$4:$L$267,0)))</f>
        <v>0.77910256410256384</v>
      </c>
      <c r="O27" s="24">
        <f t="array" ref="O27">IF(O$1="","",INDEX('Raw data'!$V$4:$V$267,MATCH("32 days"&amp;'Wide data'!$A$1&amp;'Wide data'!$A27,'Raw data'!$K$4:$K$267&amp;'Raw data'!$L$2&amp;'Raw data'!$L$4:$L$267,0)))</f>
        <v>1.3311538461538464</v>
      </c>
      <c r="P27" s="24">
        <f t="array" ref="P27">IF(P$1="","",INDEX('Raw data'!$V$4:$V$267,MATCH("39 days"&amp;'Wide data'!$A$1&amp;'Wide data'!$A27,'Raw data'!$K$4:$K$267&amp;'Raw data'!$L$2&amp;'Raw data'!$L$4:$L$267,0)))</f>
        <v>1.3730769230769231</v>
      </c>
      <c r="Q27" s="24">
        <f t="array" ref="Q27">IF(Q$1="","",INDEX('Raw data'!$W$4:$W$267,MATCH("14 days"&amp;'Wide data'!$A$1&amp;'Wide data'!$A27,'Raw data'!$K$4:$K$267&amp;'Raw data'!$L$2&amp;'Raw data'!$L$4:$L$267,0)))</f>
        <v>1.1986557132188203</v>
      </c>
      <c r="R27" s="24">
        <f t="array" ref="R27">IF(R$1="","",INDEX('Raw data'!$W$4:$W$267,MATCH("23 days"&amp;'Wide data'!$A$1&amp;'Wide data'!$A27,'Raw data'!$K$4:$K$267&amp;'Raw data'!$L$2&amp;'Raw data'!$L$4:$L$267,0)))</f>
        <v>1.3025245441795226</v>
      </c>
      <c r="S27" s="24">
        <f t="array" ref="S27">IF(S$1="","",INDEX('Raw data'!$W$4:$W$267,MATCH("32 days"&amp;'Wide data'!$A$1&amp;'Wide data'!$A27,'Raw data'!$K$4:$K$267&amp;'Raw data'!$L$2&amp;'Raw data'!$L$4:$L$267,0)))</f>
        <v>1.8079044117647058</v>
      </c>
      <c r="T27" s="24">
        <f t="array" ref="T27">IF(T$1="","",INDEX('Raw data'!$W$4:$W$267,MATCH("39 days"&amp;'Wide data'!$A$1&amp;'Wide data'!$A27,'Raw data'!$K$4:$K$267&amp;'Raw data'!$L$2&amp;'Raw data'!$L$4:$L$267,0)))</f>
        <v>1.7581018518518519</v>
      </c>
      <c r="U27" s="418">
        <f t="array" ref="U27">IF(E$1="","",INDEX('Raw data'!$AN$4:$AN$267,MATCH("Starter"&amp;'Wide data'!$A$1&amp;'Wide data'!$A27,'Raw data'!$AI$4:$AI$267&amp;'Raw data'!$AJ$2&amp;'Raw data'!$AJ$4:$AJ$267,0)))</f>
        <v>0.33692307692307688</v>
      </c>
      <c r="V27" s="418">
        <f t="array" ref="V27">IF(G$1="","",INDEX('Raw data'!$AN$4:$AN$267,MATCH("Grower"&amp;'Wide data'!$A$1&amp;'Wide data'!$A27,'Raw data'!$AI$4:$AI$267&amp;'Raw data'!$AJ$2&amp;'Raw data'!$AJ$4:$AJ$267,0)))</f>
        <v>1.3884615384615384</v>
      </c>
      <c r="W27" s="418">
        <f t="array" ref="W27">IF(H$1="","",INDEX('Raw data'!$AN$4:$AN$267,MATCH("Finisher"&amp;'Wide data'!$A$1&amp;'Wide data'!$A27,'Raw data'!$AI$4:$AI$267&amp;'Raw data'!$AJ$2&amp;'Raw data'!$AJ$4:$AJ$267,0)))</f>
        <v>2.2089743589743591</v>
      </c>
      <c r="X27" s="418">
        <f t="array" ref="X27">IF(H$1="","",INDEX('Raw data'!$AP$4:$AP$267,MATCH("Starter"&amp;'Wide data'!$A$1&amp;'Wide data'!$A27,'Raw data'!$AI$4:$AI$267&amp;'Raw data'!$AJ$2&amp;'Raw data'!$AJ$4:$AJ$267,0)))</f>
        <v>0.2914230769230769</v>
      </c>
      <c r="Y27" s="418">
        <f t="array" ref="Y27">IF(J$1="","",INDEX('Raw data'!$AP$4:$AP$267,MATCH("Grower"&amp;'Wide data'!$A$1&amp;'Wide data'!$A27,'Raw data'!$AI$4:$AI$267&amp;'Raw data'!$AJ$2&amp;'Raw data'!$AJ$4:$AJ$267,0)))</f>
        <v>1.0515384615384615</v>
      </c>
      <c r="Z27" s="418">
        <f t="array" ref="Z27">IF(K$1="","",INDEX('Raw data'!$AP$4:$AP$267,MATCH("Finisher"&amp;'Wide data'!$A$1&amp;'Wide data'!$A27,'Raw data'!$AI$4:$AI$267&amp;'Raw data'!$AJ$2&amp;'Raw data'!$AJ$4:$AJ$267,0)))</f>
        <v>0.82051282051282071</v>
      </c>
      <c r="AA27" s="418">
        <f t="array" ref="AA27">IF(K$1="","",INDEX('Raw data'!$AR$4:$AR$267,MATCH("Starter"&amp;'Wide data'!$A$1&amp;'Wide data'!$A27,'Raw data'!$AI$4:$AI$267&amp;'Raw data'!$AJ$2&amp;'Raw data'!$AJ$4:$AJ$267,0)))</f>
        <v>0.41153846153846158</v>
      </c>
      <c r="AB27" s="418">
        <f t="array" ref="AB27">IF(M$1="","",INDEX('Raw data'!$AR$4:$AR$267,MATCH("Grower"&amp;'Wide data'!$A$1&amp;'Wide data'!$A27,'Raw data'!$AI$4:$AI$267&amp;'Raw data'!$AJ$2&amp;'Raw data'!$AJ$4:$AJ$267,0)))</f>
        <v>2.1102564102564103</v>
      </c>
      <c r="AC27" s="418">
        <f t="array" ref="AC27">IF(N$1="","",INDEX('Raw data'!$AR$4:$AR$267,MATCH("Finisher"&amp;'Wide data'!$A$1&amp;'Wide data'!$A27,'Raw data'!$AI$4:$AI$267&amp;'Raw data'!$AJ$2&amp;'Raw data'!$AJ$4:$AJ$267,0)))</f>
        <v>1.3730769230769231</v>
      </c>
      <c r="AD27" s="418">
        <f t="array" ref="AD27">IF(N$1="","",INDEX('Raw data'!$AS$4:$AS$267,MATCH("Starter"&amp;'Wide data'!$A$1&amp;'Wide data'!$A27,'Raw data'!$AI$4:$AI$267&amp;'Raw data'!$AJ$2&amp;'Raw data'!$AJ$4:$AJ$267,0)))</f>
        <v>1.1986557132188203</v>
      </c>
      <c r="AE27" s="418">
        <f t="array" ref="AE27">IF(P$1="","",INDEX('Raw data'!$AS$4:$AS$267,MATCH("Grower"&amp;'Wide data'!$A$1&amp;'Wide data'!$A27,'Raw data'!$AI$4:$AI$267&amp;'Raw data'!$AJ$2&amp;'Raw data'!$AJ$4:$AJ$267,0)))</f>
        <v>2.0068276030236527</v>
      </c>
      <c r="AF27" s="418">
        <f t="array" ref="AF27">IF(Q$1="","",INDEX('Raw data'!$AS$4:$AS$267,MATCH("Finisher"&amp;'Wide data'!$A$1&amp;'Wide data'!$A27,'Raw data'!$AI$4:$AI$267&amp;'Raw data'!$AJ$2&amp;'Raw data'!$AJ$4:$AJ$267,0)))</f>
        <v>1.6734374999999995</v>
      </c>
    </row>
    <row r="28" spans="1:32" x14ac:dyDescent="0.25">
      <c r="A28" s="24">
        <f>'Raw data'!L30</f>
        <v>27</v>
      </c>
      <c r="B28" s="24" t="str">
        <f>INDEX('Raw data'!$B$4:$B$69, 'Wide data'!A28)</f>
        <v>T1</v>
      </c>
      <c r="C28" s="24" t="str">
        <f>INDEX('Raw data'!$C$4:$C$69, 'Wide data'!A28)</f>
        <v>R4</v>
      </c>
      <c r="D28" s="24">
        <f t="array" ref="D28">INDEX('Raw data'!$F$4:$F$69,MATCH($A$1&amp;'Wide data'!$A28,'Raw data'!$A$3&amp;'Raw data'!$A$4:$A$69,0))</f>
        <v>4.5850000000000002E-2</v>
      </c>
      <c r="E28" s="24">
        <f t="array" ref="E28">IF(E$1="","",INDEX('Raw data'!$Q$4:$Q$267,MATCH("14 days"&amp;'Wide data'!$A$1&amp;'Wide data'!$A28,'Raw data'!$K$4:$K$267&amp;'Raw data'!$L$2&amp;'Raw data'!$L$4:$L$267,0)))</f>
        <v>0.35475000000000001</v>
      </c>
      <c r="F28" s="24">
        <f t="array" ref="F28">IF(F$1="","",INDEX('Raw data'!$Q$4:$Q$267,MATCH("23 days"&amp;'Wide data'!$A$1&amp;'Wide data'!$A28,'Raw data'!$K$4:$K$267&amp;'Raw data'!$L$2&amp;'Raw data'!$L$4:$L$267,0)))</f>
        <v>0.98000000000000009</v>
      </c>
      <c r="G28" s="24">
        <f t="array" ref="G28">IF(G$1="","",INDEX('Raw data'!$Q$4:$Q$267,MATCH("32 days"&amp;'Wide data'!$A$1&amp;'Wide data'!$A28,'Raw data'!$K$4:$K$267&amp;'Raw data'!$L$2&amp;'Raw data'!$L$4:$L$267,0)))</f>
        <v>1.4999999999999998</v>
      </c>
      <c r="H28" s="24">
        <f t="array" ref="H28">IF(H$1="","",INDEX('Raw data'!$Q$4:$Q$267,MATCH("39 days"&amp;'Wide data'!$A$1&amp;'Wide data'!$A28,'Raw data'!$K$4:$K$267&amp;'Raw data'!$L$2&amp;'Raw data'!$L$4:$L$267,0)))</f>
        <v>2.3512820512820509</v>
      </c>
      <c r="I28" s="24">
        <f t="array" ref="I28">IF(I$1="","",INDEX('Raw data'!$S$4:$S$267,MATCH("14 days"&amp;'Wide data'!$A$1&amp;'Wide data'!$A28,'Raw data'!$K$4:$K$267&amp;'Raw data'!$L$2&amp;'Raw data'!$L$4:$L$267,0)))</f>
        <v>0.30890000000000001</v>
      </c>
      <c r="J28" s="24">
        <f t="array" ref="J28">IF(J$1="","",INDEX('Raw data'!$S$4:$S$267,MATCH("23 days"&amp;'Wide data'!$A$1&amp;'Wide data'!$A28,'Raw data'!$K$4:$K$267&amp;'Raw data'!$L$2&amp;'Raw data'!$L$4:$L$267,0)))</f>
        <v>0.62525000000000008</v>
      </c>
      <c r="K28" s="24">
        <f t="array" ref="K28">IF(K$1="","",INDEX('Raw data'!$S$4:$S$267,MATCH("32 days"&amp;'Wide data'!$A$1&amp;'Wide data'!$A28,'Raw data'!$K$4:$K$267&amp;'Raw data'!$L$2&amp;'Raw data'!$L$4:$L$267,0)))</f>
        <v>0.51999999999999968</v>
      </c>
      <c r="L28" s="24">
        <f t="array" ref="L28">IF(L$1="","",INDEX('Raw data'!$S$4:$S$267,MATCH("39 days"&amp;'Wide data'!$A$1&amp;'Wide data'!$A28,'Raw data'!$K$4:$K$267&amp;'Raw data'!$L$2&amp;'Raw data'!$L$4:$L$267,0)))</f>
        <v>0.85128205128205114</v>
      </c>
      <c r="M28" s="24">
        <f t="array" ref="M28">IF(M$1="","",INDEX('Raw data'!$V$4:$V$267,MATCH("14 days"&amp;'Wide data'!$A$1&amp;'Wide data'!$A28,'Raw data'!$K$4:$K$267&amp;'Raw data'!$L$2&amp;'Raw data'!$L$4:$L$267,0)))</f>
        <v>0.39875000000000005</v>
      </c>
      <c r="N28" s="24">
        <f t="array" ref="N28">IF(N$1="","",INDEX('Raw data'!$V$4:$V$267,MATCH("23 days"&amp;'Wide data'!$A$1&amp;'Wide data'!$A28,'Raw data'!$K$4:$K$267&amp;'Raw data'!$L$2&amp;'Raw data'!$L$4:$L$267,0)))</f>
        <v>0.83837499999999987</v>
      </c>
      <c r="O28" s="24">
        <f t="array" ref="O28">IF(O$1="","",INDEX('Raw data'!$V$4:$V$267,MATCH("32 days"&amp;'Wide data'!$A$1&amp;'Wide data'!$A28,'Raw data'!$K$4:$K$267&amp;'Raw data'!$L$2&amp;'Raw data'!$L$4:$L$267,0)))</f>
        <v>1.4093589743589745</v>
      </c>
      <c r="P28" s="24">
        <f t="array" ref="P28">IF(P$1="","",INDEX('Raw data'!$V$4:$V$267,MATCH("39 days"&amp;'Wide data'!$A$1&amp;'Wide data'!$A28,'Raw data'!$K$4:$K$267&amp;'Raw data'!$L$2&amp;'Raw data'!$L$4:$L$267,0)))</f>
        <v>1.4282051282051282</v>
      </c>
      <c r="Q28" s="24">
        <f t="array" ref="Q28">IF(Q$1="","",INDEX('Raw data'!$W$4:$W$267,MATCH("14 days"&amp;'Wide data'!$A$1&amp;'Wide data'!$A28,'Raw data'!$K$4:$K$267&amp;'Raw data'!$L$2&amp;'Raw data'!$L$4:$L$267,0)))</f>
        <v>1.1240310077519382</v>
      </c>
      <c r="R28" s="24">
        <f t="array" ref="R28">IF(R$1="","",INDEX('Raw data'!$W$4:$W$267,MATCH("23 days"&amp;'Wide data'!$A$1&amp;'Wide data'!$A28,'Raw data'!$K$4:$K$267&amp;'Raw data'!$L$2&amp;'Raw data'!$L$4:$L$267,0)))</f>
        <v>1.2623724489795918</v>
      </c>
      <c r="S28" s="24">
        <f t="array" ref="S28">IF(S$1="","",INDEX('Raw data'!$W$4:$W$267,MATCH("32 days"&amp;'Wide data'!$A$1&amp;'Wide data'!$A28,'Raw data'!$K$4:$K$267&amp;'Raw data'!$L$2&amp;'Raw data'!$L$4:$L$267,0)))</f>
        <v>1.7525167785234901</v>
      </c>
      <c r="T28" s="24">
        <f t="array" ref="T28">IF(T$1="","",INDEX('Raw data'!$W$4:$W$267,MATCH("39 days"&amp;'Wide data'!$A$1&amp;'Wide data'!$A28,'Raw data'!$K$4:$K$267&amp;'Raw data'!$L$2&amp;'Raw data'!$L$4:$L$267,0)))</f>
        <v>1.7257543103448276</v>
      </c>
      <c r="U28" s="418">
        <f t="array" ref="U28">IF(E$1="","",INDEX('Raw data'!$AN$4:$AN$267,MATCH("Starter"&amp;'Wide data'!$A$1&amp;'Wide data'!$A28,'Raw data'!$AI$4:$AI$267&amp;'Raw data'!$AJ$2&amp;'Raw data'!$AJ$4:$AJ$267,0)))</f>
        <v>0.35475000000000001</v>
      </c>
      <c r="V28" s="418">
        <f t="array" ref="V28">IF(G$1="","",INDEX('Raw data'!$AN$4:$AN$267,MATCH("Grower"&amp;'Wide data'!$A$1&amp;'Wide data'!$A28,'Raw data'!$AI$4:$AI$267&amp;'Raw data'!$AJ$2&amp;'Raw data'!$AJ$4:$AJ$267,0)))</f>
        <v>1.4999999999999998</v>
      </c>
      <c r="W28" s="418">
        <f t="array" ref="W28">IF(H$1="","",INDEX('Raw data'!$AN$4:$AN$267,MATCH("Finisher"&amp;'Wide data'!$A$1&amp;'Wide data'!$A28,'Raw data'!$AI$4:$AI$267&amp;'Raw data'!$AJ$2&amp;'Raw data'!$AJ$4:$AJ$267,0)))</f>
        <v>2.3512820512820509</v>
      </c>
      <c r="X28" s="418">
        <f t="array" ref="X28">IF(H$1="","",INDEX('Raw data'!$AP$4:$AP$267,MATCH("Starter"&amp;'Wide data'!$A$1&amp;'Wide data'!$A28,'Raw data'!$AI$4:$AI$267&amp;'Raw data'!$AJ$2&amp;'Raw data'!$AJ$4:$AJ$267,0)))</f>
        <v>0.30890000000000001</v>
      </c>
      <c r="Y28" s="418">
        <f t="array" ref="Y28">IF(J$1="","",INDEX('Raw data'!$AP$4:$AP$267,MATCH("Grower"&amp;'Wide data'!$A$1&amp;'Wide data'!$A28,'Raw data'!$AI$4:$AI$267&amp;'Raw data'!$AJ$2&amp;'Raw data'!$AJ$4:$AJ$267,0)))</f>
        <v>1.1452499999999999</v>
      </c>
      <c r="Z28" s="418">
        <f t="array" ref="Z28">IF(K$1="","",INDEX('Raw data'!$AP$4:$AP$267,MATCH("Finisher"&amp;'Wide data'!$A$1&amp;'Wide data'!$A28,'Raw data'!$AI$4:$AI$267&amp;'Raw data'!$AJ$2&amp;'Raw data'!$AJ$4:$AJ$267,0)))</f>
        <v>0.85128205128205114</v>
      </c>
      <c r="AA28" s="418">
        <f t="array" ref="AA28">IF(K$1="","",INDEX('Raw data'!$AR$4:$AR$267,MATCH("Starter"&amp;'Wide data'!$A$1&amp;'Wide data'!$A28,'Raw data'!$AI$4:$AI$267&amp;'Raw data'!$AJ$2&amp;'Raw data'!$AJ$4:$AJ$267,0)))</f>
        <v>0.39875000000000005</v>
      </c>
      <c r="AB28" s="418">
        <f t="array" ref="AB28">IF(M$1="","",INDEX('Raw data'!$AR$4:$AR$267,MATCH("Grower"&amp;'Wide data'!$A$1&amp;'Wide data'!$A28,'Raw data'!$AI$4:$AI$267&amp;'Raw data'!$AJ$2&amp;'Raw data'!$AJ$4:$AJ$267,0)))</f>
        <v>2.2477339743589742</v>
      </c>
      <c r="AC28" s="418">
        <f t="array" ref="AC28">IF(N$1="","",INDEX('Raw data'!$AR$4:$AR$267,MATCH("Finisher"&amp;'Wide data'!$A$1&amp;'Wide data'!$A28,'Raw data'!$AI$4:$AI$267&amp;'Raw data'!$AJ$2&amp;'Raw data'!$AJ$4:$AJ$267,0)))</f>
        <v>1.4282051282051282</v>
      </c>
      <c r="AD28" s="418">
        <f t="array" ref="AD28">IF(N$1="","",INDEX('Raw data'!$AS$4:$AS$267,MATCH("Starter"&amp;'Wide data'!$A$1&amp;'Wide data'!$A28,'Raw data'!$AI$4:$AI$267&amp;'Raw data'!$AJ$2&amp;'Raw data'!$AJ$4:$AJ$267,0)))</f>
        <v>1.1240310077519382</v>
      </c>
      <c r="AE28" s="418">
        <f t="array" ref="AE28">IF(P$1="","",INDEX('Raw data'!$AS$4:$AS$267,MATCH("Grower"&amp;'Wide data'!$A$1&amp;'Wide data'!$A28,'Raw data'!$AI$4:$AI$267&amp;'Raw data'!$AJ$2&amp;'Raw data'!$AJ$4:$AJ$267,0)))</f>
        <v>1.9077387367967238</v>
      </c>
      <c r="AF28" s="418">
        <f t="array" ref="AF28">IF(Q$1="","",INDEX('Raw data'!$AS$4:$AS$267,MATCH("Finisher"&amp;'Wide data'!$A$1&amp;'Wide data'!$A28,'Raw data'!$AI$4:$AI$267&amp;'Raw data'!$AJ$2&amp;'Raw data'!$AJ$4:$AJ$267,0)))</f>
        <v>1.6777108433734942</v>
      </c>
    </row>
    <row r="29" spans="1:32" x14ac:dyDescent="0.25">
      <c r="A29" s="24">
        <f>'Raw data'!L31</f>
        <v>28</v>
      </c>
      <c r="B29" s="24" t="str">
        <f>INDEX('Raw data'!$B$4:$B$69, 'Wide data'!A29)</f>
        <v>T5</v>
      </c>
      <c r="C29" s="24" t="str">
        <f>INDEX('Raw data'!$C$4:$C$69, 'Wide data'!A29)</f>
        <v>R4</v>
      </c>
      <c r="D29" s="24">
        <f t="array" ref="D29">INDEX('Raw data'!$F$4:$F$69,MATCH($A$1&amp;'Wide data'!$A29,'Raw data'!$A$3&amp;'Raw data'!$A$4:$A$69,0))</f>
        <v>4.5749999999999999E-2</v>
      </c>
      <c r="E29" s="24">
        <f t="array" ref="E29">IF(E$1="","",INDEX('Raw data'!$Q$4:$Q$267,MATCH("14 days"&amp;'Wide data'!$A$1&amp;'Wide data'!$A29,'Raw data'!$K$4:$K$267&amp;'Raw data'!$L$2&amp;'Raw data'!$L$4:$L$267,0)))</f>
        <v>0.35349999999999998</v>
      </c>
      <c r="F29" s="24">
        <f t="array" ref="F29">IF(F$1="","",INDEX('Raw data'!$Q$4:$Q$267,MATCH("23 days"&amp;'Wide data'!$A$1&amp;'Wide data'!$A29,'Raw data'!$K$4:$K$267&amp;'Raw data'!$L$2&amp;'Raw data'!$L$4:$L$267,0)))</f>
        <v>0.9837499999999999</v>
      </c>
      <c r="G29" s="24">
        <f t="array" ref="G29">IF(G$1="","",INDEX('Raw data'!$Q$4:$Q$267,MATCH("32 days"&amp;'Wide data'!$A$1&amp;'Wide data'!$A29,'Raw data'!$K$4:$K$267&amp;'Raw data'!$L$2&amp;'Raw data'!$L$4:$L$267,0)))</f>
        <v>1.48875</v>
      </c>
      <c r="H29" s="24">
        <f t="array" ref="H29">IF(H$1="","",INDEX('Raw data'!$Q$4:$Q$267,MATCH("39 days"&amp;'Wide data'!$A$1&amp;'Wide data'!$A29,'Raw data'!$K$4:$K$267&amp;'Raw data'!$L$2&amp;'Raw data'!$L$4:$L$267,0)))</f>
        <v>2.2013157894736843</v>
      </c>
      <c r="I29" s="24">
        <f t="array" ref="I29">IF(I$1="","",INDEX('Raw data'!$S$4:$S$267,MATCH("14 days"&amp;'Wide data'!$A$1&amp;'Wide data'!$A29,'Raw data'!$K$4:$K$267&amp;'Raw data'!$L$2&amp;'Raw data'!$L$4:$L$267,0)))</f>
        <v>0.30774999999999997</v>
      </c>
      <c r="J29" s="24">
        <f t="array" ref="J29">IF(J$1="","",INDEX('Raw data'!$S$4:$S$267,MATCH("23 days"&amp;'Wide data'!$A$1&amp;'Wide data'!$A29,'Raw data'!$K$4:$K$267&amp;'Raw data'!$L$2&amp;'Raw data'!$L$4:$L$267,0)))</f>
        <v>0.63024999999999998</v>
      </c>
      <c r="K29" s="24">
        <f t="array" ref="K29">IF(K$1="","",INDEX('Raw data'!$S$4:$S$267,MATCH("32 days"&amp;'Wide data'!$A$1&amp;'Wide data'!$A29,'Raw data'!$K$4:$K$267&amp;'Raw data'!$L$2&amp;'Raw data'!$L$4:$L$267,0)))</f>
        <v>0.50500000000000012</v>
      </c>
      <c r="L29" s="24">
        <f t="array" ref="L29">IF(L$1="","",INDEX('Raw data'!$S$4:$S$267,MATCH("39 days"&amp;'Wide data'!$A$1&amp;'Wide data'!$A29,'Raw data'!$K$4:$K$267&amp;'Raw data'!$L$2&amp;'Raw data'!$L$4:$L$267,0)))</f>
        <v>0.71256578947368432</v>
      </c>
      <c r="M29" s="24">
        <f t="array" ref="M29">IF(M$1="","",INDEX('Raw data'!$V$4:$V$267,MATCH("14 days"&amp;'Wide data'!$A$1&amp;'Wide data'!$A29,'Raw data'!$K$4:$K$267&amp;'Raw data'!$L$2&amp;'Raw data'!$L$4:$L$267,0)))</f>
        <v>0.39374999999999999</v>
      </c>
      <c r="N29" s="24">
        <f t="array" ref="N29">IF(N$1="","",INDEX('Raw data'!$V$4:$V$267,MATCH("23 days"&amp;'Wide data'!$A$1&amp;'Wide data'!$A29,'Raw data'!$K$4:$K$267&amp;'Raw data'!$L$2&amp;'Raw data'!$L$4:$L$267,0)))</f>
        <v>0.84337499999999999</v>
      </c>
      <c r="O29" s="24">
        <f t="array" ref="O29">IF(O$1="","",INDEX('Raw data'!$V$4:$V$267,MATCH("32 days"&amp;'Wide data'!$A$1&amp;'Wide data'!$A29,'Raw data'!$K$4:$K$267&amp;'Raw data'!$L$2&amp;'Raw data'!$L$4:$L$267,0)))</f>
        <v>1.387875</v>
      </c>
      <c r="P29" s="24">
        <f t="array" ref="P29">IF(P$1="","",INDEX('Raw data'!$V$4:$V$267,MATCH("39 days"&amp;'Wide data'!$A$1&amp;'Wide data'!$A29,'Raw data'!$K$4:$K$267&amp;'Raw data'!$L$2&amp;'Raw data'!$L$4:$L$267,0)))</f>
        <v>1.3526315789473684</v>
      </c>
      <c r="Q29" s="24">
        <f t="array" ref="Q29">IF(Q$1="","",INDEX('Raw data'!$W$4:$W$267,MATCH("14 days"&amp;'Wide data'!$A$1&amp;'Wide data'!$A29,'Raw data'!$K$4:$K$267&amp;'Raw data'!$L$2&amp;'Raw data'!$L$4:$L$267,0)))</f>
        <v>1.113861386138614</v>
      </c>
      <c r="R29" s="24">
        <f t="array" ref="R29">IF(R$1="","",INDEX('Raw data'!$W$4:$W$267,MATCH("23 days"&amp;'Wide data'!$A$1&amp;'Wide data'!$A29,'Raw data'!$K$4:$K$267&amp;'Raw data'!$L$2&amp;'Raw data'!$L$4:$L$267,0)))</f>
        <v>1.2575603557814488</v>
      </c>
      <c r="S29" s="24">
        <f t="array" ref="S29">IF(S$1="","",INDEX('Raw data'!$W$4:$W$267,MATCH("32 days"&amp;'Wide data'!$A$1&amp;'Wide data'!$A29,'Raw data'!$K$4:$K$267&amp;'Raw data'!$L$2&amp;'Raw data'!$L$4:$L$267,0)))</f>
        <v>1.7632241813602016</v>
      </c>
      <c r="T29" s="24">
        <f t="array" ref="T29">IF(T$1="","",INDEX('Raw data'!$W$4:$W$267,MATCH("39 days"&amp;'Wide data'!$A$1&amp;'Wide data'!$A29,'Raw data'!$K$4:$K$267&amp;'Raw data'!$L$2&amp;'Raw data'!$L$4:$L$267,0)))</f>
        <v>1.7623528086089353</v>
      </c>
      <c r="U29" s="418">
        <f t="array" ref="U29">IF(E$1="","",INDEX('Raw data'!$AN$4:$AN$267,MATCH("Starter"&amp;'Wide data'!$A$1&amp;'Wide data'!$A29,'Raw data'!$AI$4:$AI$267&amp;'Raw data'!$AJ$2&amp;'Raw data'!$AJ$4:$AJ$267,0)))</f>
        <v>0.35349999999999998</v>
      </c>
      <c r="V29" s="418">
        <f t="array" ref="V29">IF(G$1="","",INDEX('Raw data'!$AN$4:$AN$267,MATCH("Grower"&amp;'Wide data'!$A$1&amp;'Wide data'!$A29,'Raw data'!$AI$4:$AI$267&amp;'Raw data'!$AJ$2&amp;'Raw data'!$AJ$4:$AJ$267,0)))</f>
        <v>1.48875</v>
      </c>
      <c r="W29" s="418">
        <f t="array" ref="W29">IF(H$1="","",INDEX('Raw data'!$AN$4:$AN$267,MATCH("Finisher"&amp;'Wide data'!$A$1&amp;'Wide data'!$A29,'Raw data'!$AI$4:$AI$267&amp;'Raw data'!$AJ$2&amp;'Raw data'!$AJ$4:$AJ$267,0)))</f>
        <v>2.2013157894736843</v>
      </c>
      <c r="X29" s="418">
        <f t="array" ref="X29">IF(H$1="","",INDEX('Raw data'!$AP$4:$AP$267,MATCH("Starter"&amp;'Wide data'!$A$1&amp;'Wide data'!$A29,'Raw data'!$AI$4:$AI$267&amp;'Raw data'!$AJ$2&amp;'Raw data'!$AJ$4:$AJ$267,0)))</f>
        <v>0.30774999999999997</v>
      </c>
      <c r="Y29" s="418">
        <f t="array" ref="Y29">IF(J$1="","",INDEX('Raw data'!$AP$4:$AP$267,MATCH("Grower"&amp;'Wide data'!$A$1&amp;'Wide data'!$A29,'Raw data'!$AI$4:$AI$267&amp;'Raw data'!$AJ$2&amp;'Raw data'!$AJ$4:$AJ$267,0)))</f>
        <v>1.1352500000000001</v>
      </c>
      <c r="Z29" s="418">
        <f t="array" ref="Z29">IF(K$1="","",INDEX('Raw data'!$AP$4:$AP$267,MATCH("Finisher"&amp;'Wide data'!$A$1&amp;'Wide data'!$A29,'Raw data'!$AI$4:$AI$267&amp;'Raw data'!$AJ$2&amp;'Raw data'!$AJ$4:$AJ$267,0)))</f>
        <v>0.71256578947368432</v>
      </c>
      <c r="AA29" s="418">
        <f t="array" ref="AA29">IF(K$1="","",INDEX('Raw data'!$AR$4:$AR$267,MATCH("Starter"&amp;'Wide data'!$A$1&amp;'Wide data'!$A29,'Raw data'!$AI$4:$AI$267&amp;'Raw data'!$AJ$2&amp;'Raw data'!$AJ$4:$AJ$267,0)))</f>
        <v>0.39374999999999999</v>
      </c>
      <c r="AB29" s="418">
        <f t="array" ref="AB29">IF(M$1="","",INDEX('Raw data'!$AR$4:$AR$267,MATCH("Grower"&amp;'Wide data'!$A$1&amp;'Wide data'!$A29,'Raw data'!$AI$4:$AI$267&amp;'Raw data'!$AJ$2&amp;'Raw data'!$AJ$4:$AJ$267,0)))</f>
        <v>2.2312500000000002</v>
      </c>
      <c r="AC29" s="418">
        <f t="array" ref="AC29">IF(N$1="","",INDEX('Raw data'!$AR$4:$AR$267,MATCH("Finisher"&amp;'Wide data'!$A$1&amp;'Wide data'!$A29,'Raw data'!$AI$4:$AI$267&amp;'Raw data'!$AJ$2&amp;'Raw data'!$AJ$4:$AJ$267,0)))</f>
        <v>1.3526315789473684</v>
      </c>
      <c r="AD29" s="418">
        <f t="array" ref="AD29">IF(N$1="","",INDEX('Raw data'!$AS$4:$AS$267,MATCH("Starter"&amp;'Wide data'!$A$1&amp;'Wide data'!$A29,'Raw data'!$AI$4:$AI$267&amp;'Raw data'!$AJ$2&amp;'Raw data'!$AJ$4:$AJ$267,0)))</f>
        <v>1.113861386138614</v>
      </c>
      <c r="AE29" s="418">
        <f t="array" ref="AE29">IF(P$1="","",INDEX('Raw data'!$AS$4:$AS$267,MATCH("Grower"&amp;'Wide data'!$A$1&amp;'Wide data'!$A29,'Raw data'!$AI$4:$AI$267&amp;'Raw data'!$AJ$2&amp;'Raw data'!$AJ$4:$AJ$267,0)))</f>
        <v>1.9654261175952432</v>
      </c>
      <c r="AF29" s="418">
        <f t="array" ref="AF29">IF(Q$1="","",INDEX('Raw data'!$AS$4:$AS$267,MATCH("Finisher"&amp;'Wide data'!$A$1&amp;'Wide data'!$A29,'Raw data'!$AI$4:$AI$267&amp;'Raw data'!$AJ$2&amp;'Raw data'!$AJ$4:$AJ$267,0)))</f>
        <v>1.5976377340896726</v>
      </c>
    </row>
    <row r="30" spans="1:32" x14ac:dyDescent="0.25">
      <c r="A30" s="24">
        <f>'Raw data'!L32</f>
        <v>29</v>
      </c>
      <c r="B30" s="24" t="str">
        <f>INDEX('Raw data'!$B$4:$B$69, 'Wide data'!A30)</f>
        <v>T6</v>
      </c>
      <c r="C30" s="24" t="str">
        <f>INDEX('Raw data'!$C$4:$C$69, 'Wide data'!A30)</f>
        <v>R4</v>
      </c>
      <c r="D30" s="24">
        <f t="array" ref="D30">INDEX('Raw data'!$F$4:$F$69,MATCH($A$1&amp;'Wide data'!$A30,'Raw data'!$A$3&amp;'Raw data'!$A$4:$A$69,0))</f>
        <v>4.5749999999999999E-2</v>
      </c>
      <c r="E30" s="24">
        <f t="array" ref="E30">IF(E$1="","",INDEX('Raw data'!$Q$4:$Q$267,MATCH("14 days"&amp;'Wide data'!$A$1&amp;'Wide data'!$A30,'Raw data'!$K$4:$K$267&amp;'Raw data'!$L$2&amp;'Raw data'!$L$4:$L$267,0)))</f>
        <v>0.34724999999999995</v>
      </c>
      <c r="F30" s="24">
        <f t="array" ref="F30">IF(F$1="","",INDEX('Raw data'!$Q$4:$Q$267,MATCH("23 days"&amp;'Wide data'!$A$1&amp;'Wide data'!$A30,'Raw data'!$K$4:$K$267&amp;'Raw data'!$L$2&amp;'Raw data'!$L$4:$L$267,0)))</f>
        <v>0.96625000000000016</v>
      </c>
      <c r="G30" s="24">
        <f t="array" ref="G30">IF(G$1="","",INDEX('Raw data'!$Q$4:$Q$267,MATCH("32 days"&amp;'Wide data'!$A$1&amp;'Wide data'!$A30,'Raw data'!$K$4:$K$267&amp;'Raw data'!$L$2&amp;'Raw data'!$L$4:$L$267,0)))</f>
        <v>1.4434210526315787</v>
      </c>
      <c r="H30" s="24">
        <f t="array" ref="H30">IF(H$1="","",INDEX('Raw data'!$Q$4:$Q$267,MATCH("39 days"&amp;'Wide data'!$A$1&amp;'Wide data'!$A30,'Raw data'!$K$4:$K$267&amp;'Raw data'!$L$2&amp;'Raw data'!$L$4:$L$267,0)))</f>
        <v>2.2108108108108113</v>
      </c>
      <c r="I30" s="24">
        <f t="array" ref="I30">IF(I$1="","",INDEX('Raw data'!$S$4:$S$267,MATCH("14 days"&amp;'Wide data'!$A$1&amp;'Wide data'!$A30,'Raw data'!$K$4:$K$267&amp;'Raw data'!$L$2&amp;'Raw data'!$L$4:$L$267,0)))</f>
        <v>0.30149999999999993</v>
      </c>
      <c r="J30" s="24">
        <f t="array" ref="J30">IF(J$1="","",INDEX('Raw data'!$S$4:$S$267,MATCH("23 days"&amp;'Wide data'!$A$1&amp;'Wide data'!$A30,'Raw data'!$K$4:$K$267&amp;'Raw data'!$L$2&amp;'Raw data'!$L$4:$L$267,0)))</f>
        <v>0.61900000000000022</v>
      </c>
      <c r="K30" s="24">
        <f t="array" ref="K30">IF(K$1="","",INDEX('Raw data'!$S$4:$S$267,MATCH("32 days"&amp;'Wide data'!$A$1&amp;'Wide data'!$A30,'Raw data'!$K$4:$K$267&amp;'Raw data'!$L$2&amp;'Raw data'!$L$4:$L$267,0)))</f>
        <v>0.47717105263157855</v>
      </c>
      <c r="L30" s="24">
        <f t="array" ref="L30">IF(L$1="","",INDEX('Raw data'!$S$4:$S$267,MATCH("39 days"&amp;'Wide data'!$A$1&amp;'Wide data'!$A30,'Raw data'!$K$4:$K$267&amp;'Raw data'!$L$2&amp;'Raw data'!$L$4:$L$267,0)))</f>
        <v>0.76738975817923261</v>
      </c>
      <c r="M30" s="24">
        <f t="array" ref="M30">IF(M$1="","",INDEX('Raw data'!$V$4:$V$267,MATCH("14 days"&amp;'Wide data'!$A$1&amp;'Wide data'!$A30,'Raw data'!$K$4:$K$267&amp;'Raw data'!$L$2&amp;'Raw data'!$L$4:$L$267,0)))</f>
        <v>0.38750000000000001</v>
      </c>
      <c r="N30" s="24">
        <f t="array" ref="N30">IF(N$1="","",INDEX('Raw data'!$V$4:$V$267,MATCH("23 days"&amp;'Wide data'!$A$1&amp;'Wide data'!$A30,'Raw data'!$K$4:$K$267&amp;'Raw data'!$L$2&amp;'Raw data'!$L$4:$L$267,0)))</f>
        <v>0.84087499999999993</v>
      </c>
      <c r="O30" s="24">
        <f t="array" ref="O30">IF(O$1="","",INDEX('Raw data'!$V$4:$V$267,MATCH("32 days"&amp;'Wide data'!$A$1&amp;'Wide data'!$A30,'Raw data'!$K$4:$K$267&amp;'Raw data'!$L$2&amp;'Raw data'!$L$4:$L$267,0)))</f>
        <v>1.4188157894736844</v>
      </c>
      <c r="P30" s="24">
        <f t="array" ref="P30">IF(P$1="","",INDEX('Raw data'!$V$4:$V$267,MATCH("39 days"&amp;'Wide data'!$A$1&amp;'Wide data'!$A30,'Raw data'!$K$4:$K$267&amp;'Raw data'!$L$2&amp;'Raw data'!$L$4:$L$267,0)))</f>
        <v>1.3648648648648649</v>
      </c>
      <c r="Q30" s="24">
        <f t="array" ref="Q30">IF(Q$1="","",INDEX('Raw data'!$W$4:$W$267,MATCH("14 days"&amp;'Wide data'!$A$1&amp;'Wide data'!$A30,'Raw data'!$K$4:$K$267&amp;'Raw data'!$L$2&amp;'Raw data'!$L$4:$L$267,0)))</f>
        <v>1.1159107271418287</v>
      </c>
      <c r="R30" s="24">
        <f t="array" ref="R30">IF(R$1="","",INDEX('Raw data'!$W$4:$W$267,MATCH("23 days"&amp;'Wide data'!$A$1&amp;'Wide data'!$A30,'Raw data'!$K$4:$K$267&amp;'Raw data'!$L$2&amp;'Raw data'!$L$4:$L$267,0)))</f>
        <v>1.2712807244501938</v>
      </c>
      <c r="S30" s="24">
        <f t="array" ref="S30">IF(S$1="","",INDEX('Raw data'!$W$4:$W$267,MATCH("32 days"&amp;'Wide data'!$A$1&amp;'Wide data'!$A30,'Raw data'!$K$4:$K$267&amp;'Raw data'!$L$2&amp;'Raw data'!$L$4:$L$267,0)))</f>
        <v>1.8197068691506273</v>
      </c>
      <c r="T30" s="24">
        <f t="array" ref="T30">IF(T$1="","",INDEX('Raw data'!$W$4:$W$267,MATCH("39 days"&amp;'Wide data'!$A$1&amp;'Wide data'!$A30,'Raw data'!$K$4:$K$267&amp;'Raw data'!$L$2&amp;'Raw data'!$L$4:$L$267,0)))</f>
        <v>1.7776105579995369</v>
      </c>
      <c r="U30" s="418">
        <f t="array" ref="U30">IF(E$1="","",INDEX('Raw data'!$AN$4:$AN$267,MATCH("Starter"&amp;'Wide data'!$A$1&amp;'Wide data'!$A30,'Raw data'!$AI$4:$AI$267&amp;'Raw data'!$AJ$2&amp;'Raw data'!$AJ$4:$AJ$267,0)))</f>
        <v>0.34724999999999995</v>
      </c>
      <c r="V30" s="418">
        <f t="array" ref="V30">IF(G$1="","",INDEX('Raw data'!$AN$4:$AN$267,MATCH("Grower"&amp;'Wide data'!$A$1&amp;'Wide data'!$A30,'Raw data'!$AI$4:$AI$267&amp;'Raw data'!$AJ$2&amp;'Raw data'!$AJ$4:$AJ$267,0)))</f>
        <v>1.4434210526315787</v>
      </c>
      <c r="W30" s="418">
        <f t="array" ref="W30">IF(H$1="","",INDEX('Raw data'!$AN$4:$AN$267,MATCH("Finisher"&amp;'Wide data'!$A$1&amp;'Wide data'!$A30,'Raw data'!$AI$4:$AI$267&amp;'Raw data'!$AJ$2&amp;'Raw data'!$AJ$4:$AJ$267,0)))</f>
        <v>2.2108108108108113</v>
      </c>
      <c r="X30" s="418">
        <f t="array" ref="X30">IF(H$1="","",INDEX('Raw data'!$AP$4:$AP$267,MATCH("Starter"&amp;'Wide data'!$A$1&amp;'Wide data'!$A30,'Raw data'!$AI$4:$AI$267&amp;'Raw data'!$AJ$2&amp;'Raw data'!$AJ$4:$AJ$267,0)))</f>
        <v>0.30149999999999993</v>
      </c>
      <c r="Y30" s="418">
        <f t="array" ref="Y30">IF(J$1="","",INDEX('Raw data'!$AP$4:$AP$267,MATCH("Grower"&amp;'Wide data'!$A$1&amp;'Wide data'!$A30,'Raw data'!$AI$4:$AI$267&amp;'Raw data'!$AJ$2&amp;'Raw data'!$AJ$4:$AJ$267,0)))</f>
        <v>1.0961710526315787</v>
      </c>
      <c r="Z30" s="418">
        <f t="array" ref="Z30">IF(K$1="","",INDEX('Raw data'!$AP$4:$AP$267,MATCH("Finisher"&amp;'Wide data'!$A$1&amp;'Wide data'!$A30,'Raw data'!$AI$4:$AI$267&amp;'Raw data'!$AJ$2&amp;'Raw data'!$AJ$4:$AJ$267,0)))</f>
        <v>0.76738975817923261</v>
      </c>
      <c r="AA30" s="418">
        <f t="array" ref="AA30">IF(K$1="","",INDEX('Raw data'!$AR$4:$AR$267,MATCH("Starter"&amp;'Wide data'!$A$1&amp;'Wide data'!$A30,'Raw data'!$AI$4:$AI$267&amp;'Raw data'!$AJ$2&amp;'Raw data'!$AJ$4:$AJ$267,0)))</f>
        <v>0.38750000000000001</v>
      </c>
      <c r="AB30" s="418">
        <f t="array" ref="AB30">IF(M$1="","",INDEX('Raw data'!$AR$4:$AR$267,MATCH("Grower"&amp;'Wide data'!$A$1&amp;'Wide data'!$A30,'Raw data'!$AI$4:$AI$267&amp;'Raw data'!$AJ$2&amp;'Raw data'!$AJ$4:$AJ$267,0)))</f>
        <v>2.2596907894736842</v>
      </c>
      <c r="AC30" s="418">
        <f t="array" ref="AC30">IF(N$1="","",INDEX('Raw data'!$AR$4:$AR$267,MATCH("Finisher"&amp;'Wide data'!$A$1&amp;'Wide data'!$A30,'Raw data'!$AI$4:$AI$267&amp;'Raw data'!$AJ$2&amp;'Raw data'!$AJ$4:$AJ$267,0)))</f>
        <v>1.3648648648648649</v>
      </c>
      <c r="AD30" s="418">
        <f t="array" ref="AD30">IF(N$1="","",INDEX('Raw data'!$AS$4:$AS$267,MATCH("Starter"&amp;'Wide data'!$A$1&amp;'Wide data'!$A30,'Raw data'!$AI$4:$AI$267&amp;'Raw data'!$AJ$2&amp;'Raw data'!$AJ$4:$AJ$267,0)))</f>
        <v>1.1159107271418287</v>
      </c>
      <c r="AE30" s="418">
        <f t="array" ref="AE30">IF(P$1="","",INDEX('Raw data'!$AS$4:$AS$267,MATCH("Grower"&amp;'Wide data'!$A$1&amp;'Wide data'!$A30,'Raw data'!$AI$4:$AI$267&amp;'Raw data'!$AJ$2&amp;'Raw data'!$AJ$4:$AJ$267,0)))</f>
        <v>1.9598186803962172</v>
      </c>
      <c r="AF30" s="418">
        <f t="array" ref="AF30">IF(Q$1="","",INDEX('Raw data'!$AS$4:$AS$267,MATCH("Finisher"&amp;'Wide data'!$A$1&amp;'Wide data'!$A30,'Raw data'!$AI$4:$AI$267&amp;'Raw data'!$AJ$2&amp;'Raw data'!$AJ$4:$AJ$267,0)))</f>
        <v>1.6189311173914862</v>
      </c>
    </row>
    <row r="31" spans="1:32" x14ac:dyDescent="0.25">
      <c r="A31" s="24">
        <f>'Raw data'!L33</f>
        <v>30</v>
      </c>
      <c r="B31" s="24" t="str">
        <f>INDEX('Raw data'!$B$4:$B$69, 'Wide data'!A31)</f>
        <v>T4</v>
      </c>
      <c r="C31" s="24" t="str">
        <f>INDEX('Raw data'!$C$4:$C$69, 'Wide data'!A31)</f>
        <v>R4</v>
      </c>
      <c r="D31" s="24">
        <f t="array" ref="D31">INDEX('Raw data'!$F$4:$F$69,MATCH($A$1&amp;'Wide data'!$A31,'Raw data'!$A$3&amp;'Raw data'!$A$4:$A$69,0))</f>
        <v>4.555E-2</v>
      </c>
      <c r="E31" s="24">
        <f t="array" ref="E31">IF(E$1="","",INDEX('Raw data'!$Q$4:$Q$267,MATCH("14 days"&amp;'Wide data'!$A$1&amp;'Wide data'!$A31,'Raw data'!$K$4:$K$267&amp;'Raw data'!$L$2&amp;'Raw data'!$L$4:$L$267,0)))</f>
        <v>0.35743589743589743</v>
      </c>
      <c r="F31" s="24">
        <f t="array" ref="F31">IF(F$1="","",INDEX('Raw data'!$Q$4:$Q$267,MATCH("23 days"&amp;'Wide data'!$A$1&amp;'Wide data'!$A31,'Raw data'!$K$4:$K$267&amp;'Raw data'!$L$2&amp;'Raw data'!$L$4:$L$267,0)))</f>
        <v>0.96710526315789469</v>
      </c>
      <c r="G31" s="24">
        <f t="array" ref="G31">IF(G$1="","",INDEX('Raw data'!$Q$4:$Q$267,MATCH("32 days"&amp;'Wide data'!$A$1&amp;'Wide data'!$A31,'Raw data'!$K$4:$K$267&amp;'Raw data'!$L$2&amp;'Raw data'!$L$4:$L$267,0)))</f>
        <v>1.4662162162162162</v>
      </c>
      <c r="H31" s="24">
        <f t="array" ref="H31">IF(H$1="","",INDEX('Raw data'!$Q$4:$Q$267,MATCH("39 days"&amp;'Wide data'!$A$1&amp;'Wide data'!$A31,'Raw data'!$K$4:$K$267&amp;'Raw data'!$L$2&amp;'Raw data'!$L$4:$L$267,0)))</f>
        <v>2.310810810810811</v>
      </c>
      <c r="I31" s="24">
        <f t="array" ref="I31">IF(I$1="","",INDEX('Raw data'!$S$4:$S$267,MATCH("14 days"&amp;'Wide data'!$A$1&amp;'Wide data'!$A31,'Raw data'!$K$4:$K$267&amp;'Raw data'!$L$2&amp;'Raw data'!$L$4:$L$267,0)))</f>
        <v>0.31188589743589745</v>
      </c>
      <c r="J31" s="24">
        <f t="array" ref="J31">IF(J$1="","",INDEX('Raw data'!$S$4:$S$267,MATCH("23 days"&amp;'Wide data'!$A$1&amp;'Wide data'!$A31,'Raw data'!$K$4:$K$267&amp;'Raw data'!$L$2&amp;'Raw data'!$L$4:$L$267,0)))</f>
        <v>0.60966936572199726</v>
      </c>
      <c r="K31" s="24">
        <f t="array" ref="K31">IF(K$1="","",INDEX('Raw data'!$S$4:$S$267,MATCH("32 days"&amp;'Wide data'!$A$1&amp;'Wide data'!$A31,'Raw data'!$K$4:$K$267&amp;'Raw data'!$L$2&amp;'Raw data'!$L$4:$L$267,0)))</f>
        <v>0.49911095305832154</v>
      </c>
      <c r="L31" s="24">
        <f t="array" ref="L31">IF(L$1="","",INDEX('Raw data'!$S$4:$S$267,MATCH("39 days"&amp;'Wide data'!$A$1&amp;'Wide data'!$A31,'Raw data'!$K$4:$K$267&amp;'Raw data'!$L$2&amp;'Raw data'!$L$4:$L$267,0)))</f>
        <v>0.84459459459459474</v>
      </c>
      <c r="M31" s="24">
        <f t="array" ref="M31">IF(M$1="","",INDEX('Raw data'!$V$4:$V$267,MATCH("14 days"&amp;'Wide data'!$A$1&amp;'Wide data'!$A31,'Raw data'!$K$4:$K$267&amp;'Raw data'!$L$2&amp;'Raw data'!$L$4:$L$267,0)))</f>
        <v>0.42051282051282057</v>
      </c>
      <c r="N31" s="24">
        <f t="array" ref="N31">IF(N$1="","",INDEX('Raw data'!$V$4:$V$267,MATCH("23 days"&amp;'Wide data'!$A$1&amp;'Wide data'!$A31,'Raw data'!$K$4:$K$267&amp;'Raw data'!$L$2&amp;'Raw data'!$L$4:$L$267,0)))</f>
        <v>0.84697368421052632</v>
      </c>
      <c r="O31" s="24">
        <f t="array" ref="O31">IF(O$1="","",INDEX('Raw data'!$V$4:$V$267,MATCH("32 days"&amp;'Wide data'!$A$1&amp;'Wide data'!$A31,'Raw data'!$K$4:$K$267&amp;'Raw data'!$L$2&amp;'Raw data'!$L$4:$L$267,0)))</f>
        <v>1.4233783783783782</v>
      </c>
      <c r="P31" s="24">
        <f t="array" ref="P31">IF(P$1="","",INDEX('Raw data'!$V$4:$V$267,MATCH("39 days"&amp;'Wide data'!$A$1&amp;'Wide data'!$A31,'Raw data'!$K$4:$K$267&amp;'Raw data'!$L$2&amp;'Raw data'!$L$4:$L$267,0)))</f>
        <v>1.4324324324324325</v>
      </c>
      <c r="Q31" s="24">
        <f t="array" ref="Q31">IF(Q$1="","",INDEX('Raw data'!$W$4:$W$267,MATCH("14 days"&amp;'Wide data'!$A$1&amp;'Wide data'!$A31,'Raw data'!$K$4:$K$267&amp;'Raw data'!$L$2&amp;'Raw data'!$L$4:$L$267,0)))</f>
        <v>1.1557434813248768</v>
      </c>
      <c r="R31" s="24">
        <f t="array" ref="R31">IF(R$1="","",INDEX('Raw data'!$W$4:$W$267,MATCH("23 days"&amp;'Wide data'!$A$1&amp;'Wide data'!$A31,'Raw data'!$K$4:$K$267&amp;'Raw data'!$L$2&amp;'Raw data'!$L$4:$L$267,0)))</f>
        <v>1.2994116073816531</v>
      </c>
      <c r="S31" s="24">
        <f t="array" ref="S31">IF(S$1="","",INDEX('Raw data'!$W$4:$W$267,MATCH("32 days"&amp;'Wide data'!$A$1&amp;'Wide data'!$A31,'Raw data'!$K$4:$K$267&amp;'Raw data'!$L$2&amp;'Raw data'!$L$4:$L$267,0)))</f>
        <v>1.8132163323782233</v>
      </c>
      <c r="T31" s="24">
        <f t="array" ref="T31">IF(T$1="","",INDEX('Raw data'!$W$4:$W$267,MATCH("39 days"&amp;'Wide data'!$A$1&amp;'Wide data'!$A31,'Raw data'!$K$4:$K$267&amp;'Raw data'!$L$2&amp;'Raw data'!$L$4:$L$267,0)))</f>
        <v>1.7711562751176944</v>
      </c>
      <c r="U31" s="418">
        <f t="array" ref="U31">IF(E$1="","",INDEX('Raw data'!$AN$4:$AN$267,MATCH("Starter"&amp;'Wide data'!$A$1&amp;'Wide data'!$A31,'Raw data'!$AI$4:$AI$267&amp;'Raw data'!$AJ$2&amp;'Raw data'!$AJ$4:$AJ$267,0)))</f>
        <v>0.35743589743589743</v>
      </c>
      <c r="V31" s="418">
        <f t="array" ref="V31">IF(G$1="","",INDEX('Raw data'!$AN$4:$AN$267,MATCH("Grower"&amp;'Wide data'!$A$1&amp;'Wide data'!$A31,'Raw data'!$AI$4:$AI$267&amp;'Raw data'!$AJ$2&amp;'Raw data'!$AJ$4:$AJ$267,0)))</f>
        <v>1.4662162162162162</v>
      </c>
      <c r="W31" s="418">
        <f t="array" ref="W31">IF(H$1="","",INDEX('Raw data'!$AN$4:$AN$267,MATCH("Finisher"&amp;'Wide data'!$A$1&amp;'Wide data'!$A31,'Raw data'!$AI$4:$AI$267&amp;'Raw data'!$AJ$2&amp;'Raw data'!$AJ$4:$AJ$267,0)))</f>
        <v>2.310810810810811</v>
      </c>
      <c r="X31" s="418">
        <f t="array" ref="X31">IF(H$1="","",INDEX('Raw data'!$AP$4:$AP$267,MATCH("Starter"&amp;'Wide data'!$A$1&amp;'Wide data'!$A31,'Raw data'!$AI$4:$AI$267&amp;'Raw data'!$AJ$2&amp;'Raw data'!$AJ$4:$AJ$267,0)))</f>
        <v>0.31188589743589745</v>
      </c>
      <c r="Y31" s="418">
        <f t="array" ref="Y31">IF(J$1="","",INDEX('Raw data'!$AP$4:$AP$267,MATCH("Grower"&amp;'Wide data'!$A$1&amp;'Wide data'!$A31,'Raw data'!$AI$4:$AI$267&amp;'Raw data'!$AJ$2&amp;'Raw data'!$AJ$4:$AJ$267,0)))</f>
        <v>1.1087803187803189</v>
      </c>
      <c r="Z31" s="418">
        <f t="array" ref="Z31">IF(K$1="","",INDEX('Raw data'!$AP$4:$AP$267,MATCH("Finisher"&amp;'Wide data'!$A$1&amp;'Wide data'!$A31,'Raw data'!$AI$4:$AI$267&amp;'Raw data'!$AJ$2&amp;'Raw data'!$AJ$4:$AJ$267,0)))</f>
        <v>0.84459459459459474</v>
      </c>
      <c r="AA31" s="418">
        <f t="array" ref="AA31">IF(K$1="","",INDEX('Raw data'!$AR$4:$AR$267,MATCH("Starter"&amp;'Wide data'!$A$1&amp;'Wide data'!$A31,'Raw data'!$AI$4:$AI$267&amp;'Raw data'!$AJ$2&amp;'Raw data'!$AJ$4:$AJ$267,0)))</f>
        <v>0.42051282051282057</v>
      </c>
      <c r="AB31" s="418">
        <f t="array" ref="AB31">IF(M$1="","",INDEX('Raw data'!$AR$4:$AR$267,MATCH("Grower"&amp;'Wide data'!$A$1&amp;'Wide data'!$A31,'Raw data'!$AI$4:$AI$267&amp;'Raw data'!$AJ$2&amp;'Raw data'!$AJ$4:$AJ$267,0)))</f>
        <v>2.2703520625889047</v>
      </c>
      <c r="AC31" s="418">
        <f t="array" ref="AC31">IF(N$1="","",INDEX('Raw data'!$AR$4:$AR$267,MATCH("Finisher"&amp;'Wide data'!$A$1&amp;'Wide data'!$A31,'Raw data'!$AI$4:$AI$267&amp;'Raw data'!$AJ$2&amp;'Raw data'!$AJ$4:$AJ$267,0)))</f>
        <v>1.4324324324324325</v>
      </c>
      <c r="AD31" s="418">
        <f t="array" ref="AD31">IF(N$1="","",INDEX('Raw data'!$AS$4:$AS$267,MATCH("Starter"&amp;'Wide data'!$A$1&amp;'Wide data'!$A31,'Raw data'!$AI$4:$AI$267&amp;'Raw data'!$AJ$2&amp;'Raw data'!$AJ$4:$AJ$267,0)))</f>
        <v>1.1557434813248768</v>
      </c>
      <c r="AE31" s="418">
        <f t="array" ref="AE31">IF(P$1="","",INDEX('Raw data'!$AS$4:$AS$267,MATCH("Grower"&amp;'Wide data'!$A$1&amp;'Wide data'!$A31,'Raw data'!$AI$4:$AI$267&amp;'Raw data'!$AJ$2&amp;'Raw data'!$AJ$4:$AJ$267,0)))</f>
        <v>1.9744248038139514</v>
      </c>
      <c r="AF31" s="418">
        <f t="array" ref="AF31">IF(Q$1="","",INDEX('Raw data'!$AS$4:$AS$267,MATCH("Finisher"&amp;'Wide data'!$A$1&amp;'Wide data'!$A31,'Raw data'!$AI$4:$AI$267&amp;'Raw data'!$AJ$2&amp;'Raw data'!$AJ$4:$AJ$267,0)))</f>
        <v>1.6959999999999995</v>
      </c>
    </row>
    <row r="32" spans="1:32" x14ac:dyDescent="0.25">
      <c r="A32" s="24">
        <f>'Raw data'!L34</f>
        <v>31</v>
      </c>
      <c r="B32" s="24" t="str">
        <f>INDEX('Raw data'!$B$4:$B$69, 'Wide data'!A32)</f>
        <v>T1</v>
      </c>
      <c r="C32" s="24" t="str">
        <f>INDEX('Raw data'!$C$4:$C$69, 'Wide data'!A32)</f>
        <v>R5</v>
      </c>
      <c r="D32" s="24">
        <f t="array" ref="D32">INDEX('Raw data'!$F$4:$F$69,MATCH($A$1&amp;'Wide data'!$A32,'Raw data'!$A$3&amp;'Raw data'!$A$4:$A$69,0))</f>
        <v>4.5524999999999996E-2</v>
      </c>
      <c r="E32" s="24">
        <f t="array" ref="E32">IF(E$1="","",INDEX('Raw data'!$Q$4:$Q$267,MATCH("14 days"&amp;'Wide data'!$A$1&amp;'Wide data'!$A32,'Raw data'!$K$4:$K$267&amp;'Raw data'!$L$2&amp;'Raw data'!$L$4:$L$267,0)))</f>
        <v>0.32794871794871794</v>
      </c>
      <c r="F32" s="24">
        <f t="array" ref="F32">IF(F$1="","",INDEX('Raw data'!$Q$4:$Q$267,MATCH("23 days"&amp;'Wide data'!$A$1&amp;'Wide data'!$A32,'Raw data'!$K$4:$K$267&amp;'Raw data'!$L$2&amp;'Raw data'!$L$4:$L$267,0)))</f>
        <v>0.89487179487179502</v>
      </c>
      <c r="G32" s="24">
        <f t="array" ref="G32">IF(G$1="","",INDEX('Raw data'!$Q$4:$Q$267,MATCH("32 days"&amp;'Wide data'!$A$1&amp;'Wide data'!$A32,'Raw data'!$K$4:$K$267&amp;'Raw data'!$L$2&amp;'Raw data'!$L$4:$L$267,0)))</f>
        <v>1.3368421052631578</v>
      </c>
      <c r="H32" s="24">
        <f t="array" ref="H32">IF(H$1="","",INDEX('Raw data'!$Q$4:$Q$267,MATCH("39 days"&amp;'Wide data'!$A$1&amp;'Wide data'!$A32,'Raw data'!$K$4:$K$267&amp;'Raw data'!$L$2&amp;'Raw data'!$L$4:$L$267,0)))</f>
        <v>2.1236842105263158</v>
      </c>
      <c r="I32" s="24">
        <f t="array" ref="I32">IF(I$1="","",INDEX('Raw data'!$S$4:$S$267,MATCH("14 days"&amp;'Wide data'!$A$1&amp;'Wide data'!$A32,'Raw data'!$K$4:$K$267&amp;'Raw data'!$L$2&amp;'Raw data'!$L$4:$L$267,0)))</f>
        <v>0.28242371794871796</v>
      </c>
      <c r="J32" s="24">
        <f t="array" ref="J32">IF(J$1="","",INDEX('Raw data'!$S$4:$S$267,MATCH("23 days"&amp;'Wide data'!$A$1&amp;'Wide data'!$A32,'Raw data'!$K$4:$K$267&amp;'Raw data'!$L$2&amp;'Raw data'!$L$4:$L$267,0)))</f>
        <v>0.56692307692307708</v>
      </c>
      <c r="K32" s="24">
        <f t="array" ref="K32">IF(K$1="","",INDEX('Raw data'!$S$4:$S$267,MATCH("32 days"&amp;'Wide data'!$A$1&amp;'Wide data'!$A32,'Raw data'!$K$4:$K$267&amp;'Raw data'!$L$2&amp;'Raw data'!$L$4:$L$267,0)))</f>
        <v>0.44197031039136281</v>
      </c>
      <c r="L32" s="24">
        <f t="array" ref="L32">IF(L$1="","",INDEX('Raw data'!$S$4:$S$267,MATCH("39 days"&amp;'Wide data'!$A$1&amp;'Wide data'!$A32,'Raw data'!$K$4:$K$267&amp;'Raw data'!$L$2&amp;'Raw data'!$L$4:$L$267,0)))</f>
        <v>0.78684210526315801</v>
      </c>
      <c r="M32" s="24">
        <f t="array" ref="M32">IF(M$1="","",INDEX('Raw data'!$V$4:$V$267,MATCH("14 days"&amp;'Wide data'!$A$1&amp;'Wide data'!$A32,'Raw data'!$K$4:$K$267&amp;'Raw data'!$L$2&amp;'Raw data'!$L$4:$L$267,0)))</f>
        <v>0.37564102564102569</v>
      </c>
      <c r="N32" s="24">
        <f t="array" ref="N32">IF(N$1="","",INDEX('Raw data'!$V$4:$V$267,MATCH("23 days"&amp;'Wide data'!$A$1&amp;'Wide data'!$A32,'Raw data'!$K$4:$K$267&amp;'Raw data'!$L$2&amp;'Raw data'!$L$4:$L$267,0)))</f>
        <v>0.77141025641025662</v>
      </c>
      <c r="O32" s="24">
        <f t="array" ref="O32">IF(O$1="","",INDEX('Raw data'!$V$4:$V$267,MATCH("32 days"&amp;'Wide data'!$A$1&amp;'Wide data'!$A32,'Raw data'!$K$4:$K$267&amp;'Raw data'!$L$2&amp;'Raw data'!$L$4:$L$267,0)))</f>
        <v>1.3030263157894735</v>
      </c>
      <c r="P32" s="24">
        <f t="array" ref="P32">IF(P$1="","",INDEX('Raw data'!$V$4:$V$267,MATCH("39 days"&amp;'Wide data'!$A$1&amp;'Wide data'!$A32,'Raw data'!$K$4:$K$267&amp;'Raw data'!$L$2&amp;'Raw data'!$L$4:$L$267,0)))</f>
        <v>1.3394736842105264</v>
      </c>
      <c r="Q32" s="24">
        <f t="array" ref="Q32">IF(Q$1="","",INDEX('Raw data'!$W$4:$W$267,MATCH("14 days"&amp;'Wide data'!$A$1&amp;'Wide data'!$A32,'Raw data'!$K$4:$K$267&amp;'Raw data'!$L$2&amp;'Raw data'!$L$4:$L$267,0)))</f>
        <v>1.13954573739888</v>
      </c>
      <c r="R32" s="24">
        <f t="array" ref="R32">IF(R$1="","",INDEX('Raw data'!$W$4:$W$267,MATCH("23 days"&amp;'Wide data'!$A$1&amp;'Wide data'!$A32,'Raw data'!$K$4:$K$267&amp;'Raw data'!$L$2&amp;'Raw data'!$L$4:$L$267,0)))</f>
        <v>1.2793856889549848</v>
      </c>
      <c r="S32" s="24">
        <f t="array" ref="S32">IF(S$1="","",INDEX('Raw data'!$W$4:$W$267,MATCH("32 days"&amp;'Wide data'!$A$1&amp;'Wide data'!$A32,'Raw data'!$K$4:$K$267&amp;'Raw data'!$L$2&amp;'Raw data'!$L$4:$L$267,0)))</f>
        <v>1.8529076396807298</v>
      </c>
      <c r="T32" s="24">
        <f t="array" ref="T32">IF(T$1="","",INDEX('Raw data'!$W$4:$W$267,MATCH("39 days"&amp;'Wide data'!$A$1&amp;'Wide data'!$A32,'Raw data'!$K$4:$K$267&amp;'Raw data'!$L$2&amp;'Raw data'!$L$4:$L$267,0)))</f>
        <v>1.7971671247802292</v>
      </c>
      <c r="U32" s="418">
        <f t="array" ref="U32">IF(E$1="","",INDEX('Raw data'!$AN$4:$AN$267,MATCH("Starter"&amp;'Wide data'!$A$1&amp;'Wide data'!$A32,'Raw data'!$AI$4:$AI$267&amp;'Raw data'!$AJ$2&amp;'Raw data'!$AJ$4:$AJ$267,0)))</f>
        <v>0.32794871794871794</v>
      </c>
      <c r="V32" s="418">
        <f t="array" ref="V32">IF(G$1="","",INDEX('Raw data'!$AN$4:$AN$267,MATCH("Grower"&amp;'Wide data'!$A$1&amp;'Wide data'!$A32,'Raw data'!$AI$4:$AI$267&amp;'Raw data'!$AJ$2&amp;'Raw data'!$AJ$4:$AJ$267,0)))</f>
        <v>1.3368421052631578</v>
      </c>
      <c r="W32" s="418">
        <f t="array" ref="W32">IF(H$1="","",INDEX('Raw data'!$AN$4:$AN$267,MATCH("Finisher"&amp;'Wide data'!$A$1&amp;'Wide data'!$A32,'Raw data'!$AI$4:$AI$267&amp;'Raw data'!$AJ$2&amp;'Raw data'!$AJ$4:$AJ$267,0)))</f>
        <v>2.1236842105263158</v>
      </c>
      <c r="X32" s="418">
        <f t="array" ref="X32">IF(H$1="","",INDEX('Raw data'!$AP$4:$AP$267,MATCH("Starter"&amp;'Wide data'!$A$1&amp;'Wide data'!$A32,'Raw data'!$AI$4:$AI$267&amp;'Raw data'!$AJ$2&amp;'Raw data'!$AJ$4:$AJ$267,0)))</f>
        <v>0.28242371794871796</v>
      </c>
      <c r="Y32" s="418">
        <f t="array" ref="Y32">IF(J$1="","",INDEX('Raw data'!$AP$4:$AP$267,MATCH("Grower"&amp;'Wide data'!$A$1&amp;'Wide data'!$A32,'Raw data'!$AI$4:$AI$267&amp;'Raw data'!$AJ$2&amp;'Raw data'!$AJ$4:$AJ$267,0)))</f>
        <v>1.0088933873144399</v>
      </c>
      <c r="Z32" s="418">
        <f t="array" ref="Z32">IF(K$1="","",INDEX('Raw data'!$AP$4:$AP$267,MATCH("Finisher"&amp;'Wide data'!$A$1&amp;'Wide data'!$A32,'Raw data'!$AI$4:$AI$267&amp;'Raw data'!$AJ$2&amp;'Raw data'!$AJ$4:$AJ$267,0)))</f>
        <v>0.78684210526315801</v>
      </c>
      <c r="AA32" s="418">
        <f t="array" ref="AA32">IF(K$1="","",INDEX('Raw data'!$AR$4:$AR$267,MATCH("Starter"&amp;'Wide data'!$A$1&amp;'Wide data'!$A32,'Raw data'!$AI$4:$AI$267&amp;'Raw data'!$AJ$2&amp;'Raw data'!$AJ$4:$AJ$267,0)))</f>
        <v>0.37564102564102569</v>
      </c>
      <c r="AB32" s="418">
        <f t="array" ref="AB32">IF(M$1="","",INDEX('Raw data'!$AR$4:$AR$267,MATCH("Grower"&amp;'Wide data'!$A$1&amp;'Wide data'!$A32,'Raw data'!$AI$4:$AI$267&amp;'Raw data'!$AJ$2&amp;'Raw data'!$AJ$4:$AJ$267,0)))</f>
        <v>2.0744365721997302</v>
      </c>
      <c r="AC32" s="418">
        <f t="array" ref="AC32">IF(N$1="","",INDEX('Raw data'!$AR$4:$AR$267,MATCH("Finisher"&amp;'Wide data'!$A$1&amp;'Wide data'!$A32,'Raw data'!$AI$4:$AI$267&amp;'Raw data'!$AJ$2&amp;'Raw data'!$AJ$4:$AJ$267,0)))</f>
        <v>1.3394736842105264</v>
      </c>
      <c r="AD32" s="418">
        <f t="array" ref="AD32">IF(N$1="","",INDEX('Raw data'!$AS$4:$AS$267,MATCH("Starter"&amp;'Wide data'!$A$1&amp;'Wide data'!$A32,'Raw data'!$AI$4:$AI$267&amp;'Raw data'!$AJ$2&amp;'Raw data'!$AJ$4:$AJ$267,0)))</f>
        <v>1.13954573739888</v>
      </c>
      <c r="AE32" s="418">
        <f t="array" ref="AE32">IF(P$1="","",INDEX('Raw data'!$AS$4:$AS$267,MATCH("Grower"&amp;'Wide data'!$A$1&amp;'Wide data'!$A32,'Raw data'!$AI$4:$AI$267&amp;'Raw data'!$AJ$2&amp;'Raw data'!$AJ$4:$AJ$267,0)))</f>
        <v>2.0460162526609942</v>
      </c>
      <c r="AF32" s="418">
        <f t="array" ref="AF32">IF(Q$1="","",INDEX('Raw data'!$AS$4:$AS$267,MATCH("Finisher"&amp;'Wide data'!$A$1&amp;'Wide data'!$A32,'Raw data'!$AI$4:$AI$267&amp;'Raw data'!$AJ$2&amp;'Raw data'!$AJ$4:$AJ$267,0)))</f>
        <v>1.7023411371237454</v>
      </c>
    </row>
    <row r="33" spans="1:32" x14ac:dyDescent="0.25">
      <c r="A33" s="24">
        <f>'Raw data'!L35</f>
        <v>32</v>
      </c>
      <c r="B33" s="24" t="str">
        <f>INDEX('Raw data'!$B$4:$B$69, 'Wide data'!A33)</f>
        <v>T6</v>
      </c>
      <c r="C33" s="24" t="str">
        <f>INDEX('Raw data'!$C$4:$C$69, 'Wide data'!A33)</f>
        <v>R5</v>
      </c>
      <c r="D33" s="24">
        <f t="array" ref="D33">INDEX('Raw data'!$F$4:$F$69,MATCH($A$1&amp;'Wide data'!$A33,'Raw data'!$A$3&amp;'Raw data'!$A$4:$A$69,0))</f>
        <v>4.5524999999999996E-2</v>
      </c>
      <c r="E33" s="24">
        <f t="array" ref="E33">IF(E$1="","",INDEX('Raw data'!$Q$4:$Q$267,MATCH("14 days"&amp;'Wide data'!$A$1&amp;'Wide data'!$A33,'Raw data'!$K$4:$K$267&amp;'Raw data'!$L$2&amp;'Raw data'!$L$4:$L$267,0)))</f>
        <v>0.33350000000000002</v>
      </c>
      <c r="F33" s="24">
        <f t="array" ref="F33">IF(F$1="","",INDEX('Raw data'!$Q$4:$Q$267,MATCH("23 days"&amp;'Wide data'!$A$1&amp;'Wide data'!$A33,'Raw data'!$K$4:$K$267&amp;'Raw data'!$L$2&amp;'Raw data'!$L$4:$L$267,0)))</f>
        <v>0.92749999999999988</v>
      </c>
      <c r="G33" s="24">
        <f t="array" ref="G33">IF(G$1="","",INDEX('Raw data'!$Q$4:$Q$267,MATCH("32 days"&amp;'Wide data'!$A$1&amp;'Wide data'!$A33,'Raw data'!$K$4:$K$267&amp;'Raw data'!$L$2&amp;'Raw data'!$L$4:$L$267,0)))</f>
        <v>1.4064102564102563</v>
      </c>
      <c r="H33" s="24">
        <f t="array" ref="H33">IF(H$1="","",INDEX('Raw data'!$Q$4:$Q$267,MATCH("39 days"&amp;'Wide data'!$A$1&amp;'Wide data'!$A33,'Raw data'!$K$4:$K$267&amp;'Raw data'!$L$2&amp;'Raw data'!$L$4:$L$267,0)))</f>
        <v>2.2223684210526318</v>
      </c>
      <c r="I33" s="24">
        <f t="array" ref="I33">IF(I$1="","",INDEX('Raw data'!$S$4:$S$267,MATCH("14 days"&amp;'Wide data'!$A$1&amp;'Wide data'!$A33,'Raw data'!$K$4:$K$267&amp;'Raw data'!$L$2&amp;'Raw data'!$L$4:$L$267,0)))</f>
        <v>0.28797500000000004</v>
      </c>
      <c r="J33" s="24">
        <f t="array" ref="J33">IF(J$1="","",INDEX('Raw data'!$S$4:$S$267,MATCH("23 days"&amp;'Wide data'!$A$1&amp;'Wide data'!$A33,'Raw data'!$K$4:$K$267&amp;'Raw data'!$L$2&amp;'Raw data'!$L$4:$L$267,0)))</f>
        <v>0.59399999999999986</v>
      </c>
      <c r="K33" s="24">
        <f t="array" ref="K33">IF(K$1="","",INDEX('Raw data'!$S$4:$S$267,MATCH("32 days"&amp;'Wide data'!$A$1&amp;'Wide data'!$A33,'Raw data'!$K$4:$K$267&amp;'Raw data'!$L$2&amp;'Raw data'!$L$4:$L$267,0)))</f>
        <v>0.47891025641025642</v>
      </c>
      <c r="L33" s="24">
        <f t="array" ref="L33">IF(L$1="","",INDEX('Raw data'!$S$4:$S$267,MATCH("39 days"&amp;'Wide data'!$A$1&amp;'Wide data'!$A33,'Raw data'!$K$4:$K$267&amp;'Raw data'!$L$2&amp;'Raw data'!$L$4:$L$267,0)))</f>
        <v>0.81595816464237547</v>
      </c>
      <c r="M33" s="24">
        <f t="array" ref="M33">IF(M$1="","",INDEX('Raw data'!$V$4:$V$267,MATCH("14 days"&amp;'Wide data'!$A$1&amp;'Wide data'!$A33,'Raw data'!$K$4:$K$267&amp;'Raw data'!$L$2&amp;'Raw data'!$L$4:$L$267,0)))</f>
        <v>0.375</v>
      </c>
      <c r="N33" s="24">
        <f t="array" ref="N33">IF(N$1="","",INDEX('Raw data'!$V$4:$V$267,MATCH("23 days"&amp;'Wide data'!$A$1&amp;'Wide data'!$A33,'Raw data'!$K$4:$K$267&amp;'Raw data'!$L$2&amp;'Raw data'!$L$4:$L$267,0)))</f>
        <v>0.80337499999999995</v>
      </c>
      <c r="O33" s="24">
        <f t="array" ref="O33">IF(O$1="","",INDEX('Raw data'!$V$4:$V$267,MATCH("32 days"&amp;'Wide data'!$A$1&amp;'Wide data'!$A33,'Raw data'!$K$4:$K$267&amp;'Raw data'!$L$2&amp;'Raw data'!$L$4:$L$267,0)))</f>
        <v>1.3542307692307691</v>
      </c>
      <c r="P33" s="24">
        <f t="array" ref="P33">IF(P$1="","",INDEX('Raw data'!$V$4:$V$267,MATCH("39 days"&amp;'Wide data'!$A$1&amp;'Wide data'!$A33,'Raw data'!$K$4:$K$267&amp;'Raw data'!$L$2&amp;'Raw data'!$L$4:$L$267,0)))</f>
        <v>1.3736842105263158</v>
      </c>
      <c r="Q33" s="24">
        <f t="array" ref="Q33">IF(Q$1="","",INDEX('Raw data'!$W$4:$W$267,MATCH("14 days"&amp;'Wide data'!$A$1&amp;'Wide data'!$A33,'Raw data'!$K$4:$K$267&amp;'Raw data'!$L$2&amp;'Raw data'!$L$4:$L$267,0)))</f>
        <v>1.1244377811094453</v>
      </c>
      <c r="R33" s="24">
        <f t="array" ref="R33">IF(R$1="","",INDEX('Raw data'!$W$4:$W$267,MATCH("23 days"&amp;'Wide data'!$A$1&amp;'Wide data'!$A33,'Raw data'!$K$4:$K$267&amp;'Raw data'!$L$2&amp;'Raw data'!$L$4:$L$267,0)))</f>
        <v>1.2704851752021564</v>
      </c>
      <c r="S33" s="24">
        <f t="array" ref="S33">IF(S$1="","",INDEX('Raw data'!$W$4:$W$267,MATCH("32 days"&amp;'Wide data'!$A$1&amp;'Wide data'!$A33,'Raw data'!$K$4:$K$267&amp;'Raw data'!$L$2&amp;'Raw data'!$L$4:$L$267,0)))</f>
        <v>1.7912186379928314</v>
      </c>
      <c r="T33" s="24">
        <f t="array" ref="T33">IF(T$1="","",INDEX('Raw data'!$W$4:$W$267,MATCH("39 days"&amp;'Wide data'!$A$1&amp;'Wide data'!$A33,'Raw data'!$K$4:$K$267&amp;'Raw data'!$L$2&amp;'Raw data'!$L$4:$L$267,0)))</f>
        <v>1.7420824841420686</v>
      </c>
      <c r="U33" s="418">
        <f t="array" ref="U33">IF(E$1="","",INDEX('Raw data'!$AN$4:$AN$267,MATCH("Starter"&amp;'Wide data'!$A$1&amp;'Wide data'!$A33,'Raw data'!$AI$4:$AI$267&amp;'Raw data'!$AJ$2&amp;'Raw data'!$AJ$4:$AJ$267,0)))</f>
        <v>0.33350000000000002</v>
      </c>
      <c r="V33" s="418">
        <f t="array" ref="V33">IF(G$1="","",INDEX('Raw data'!$AN$4:$AN$267,MATCH("Grower"&amp;'Wide data'!$A$1&amp;'Wide data'!$A33,'Raw data'!$AI$4:$AI$267&amp;'Raw data'!$AJ$2&amp;'Raw data'!$AJ$4:$AJ$267,0)))</f>
        <v>1.4064102564102563</v>
      </c>
      <c r="W33" s="418">
        <f t="array" ref="W33">IF(H$1="","",INDEX('Raw data'!$AN$4:$AN$267,MATCH("Finisher"&amp;'Wide data'!$A$1&amp;'Wide data'!$A33,'Raw data'!$AI$4:$AI$267&amp;'Raw data'!$AJ$2&amp;'Raw data'!$AJ$4:$AJ$267,0)))</f>
        <v>2.2223684210526318</v>
      </c>
      <c r="X33" s="418">
        <f t="array" ref="X33">IF(H$1="","",INDEX('Raw data'!$AP$4:$AP$267,MATCH("Starter"&amp;'Wide data'!$A$1&amp;'Wide data'!$A33,'Raw data'!$AI$4:$AI$267&amp;'Raw data'!$AJ$2&amp;'Raw data'!$AJ$4:$AJ$267,0)))</f>
        <v>0.28797500000000004</v>
      </c>
      <c r="Y33" s="418">
        <f t="array" ref="Y33">IF(J$1="","",INDEX('Raw data'!$AP$4:$AP$267,MATCH("Grower"&amp;'Wide data'!$A$1&amp;'Wide data'!$A33,'Raw data'!$AI$4:$AI$267&amp;'Raw data'!$AJ$2&amp;'Raw data'!$AJ$4:$AJ$267,0)))</f>
        <v>1.0729102564102564</v>
      </c>
      <c r="Z33" s="418">
        <f t="array" ref="Z33">IF(K$1="","",INDEX('Raw data'!$AP$4:$AP$267,MATCH("Finisher"&amp;'Wide data'!$A$1&amp;'Wide data'!$A33,'Raw data'!$AI$4:$AI$267&amp;'Raw data'!$AJ$2&amp;'Raw data'!$AJ$4:$AJ$267,0)))</f>
        <v>0.81595816464237547</v>
      </c>
      <c r="AA33" s="418">
        <f t="array" ref="AA33">IF(K$1="","",INDEX('Raw data'!$AR$4:$AR$267,MATCH("Starter"&amp;'Wide data'!$A$1&amp;'Wide data'!$A33,'Raw data'!$AI$4:$AI$267&amp;'Raw data'!$AJ$2&amp;'Raw data'!$AJ$4:$AJ$267,0)))</f>
        <v>0.375</v>
      </c>
      <c r="AB33" s="418">
        <f t="array" ref="AB33">IF(M$1="","",INDEX('Raw data'!$AR$4:$AR$267,MATCH("Grower"&amp;'Wide data'!$A$1&amp;'Wide data'!$A33,'Raw data'!$AI$4:$AI$267&amp;'Raw data'!$AJ$2&amp;'Raw data'!$AJ$4:$AJ$267,0)))</f>
        <v>2.1576057692307691</v>
      </c>
      <c r="AC33" s="418">
        <f t="array" ref="AC33">IF(N$1="","",INDEX('Raw data'!$AR$4:$AR$267,MATCH("Finisher"&amp;'Wide data'!$A$1&amp;'Wide data'!$A33,'Raw data'!$AI$4:$AI$267&amp;'Raw data'!$AJ$2&amp;'Raw data'!$AJ$4:$AJ$267,0)))</f>
        <v>1.3736842105263158</v>
      </c>
      <c r="AD33" s="418">
        <f t="array" ref="AD33">IF(N$1="","",INDEX('Raw data'!$AS$4:$AS$267,MATCH("Starter"&amp;'Wide data'!$A$1&amp;'Wide data'!$A33,'Raw data'!$AI$4:$AI$267&amp;'Raw data'!$AJ$2&amp;'Raw data'!$AJ$4:$AJ$267,0)))</f>
        <v>1.1244377811094453</v>
      </c>
      <c r="AE33" s="418">
        <f t="array" ref="AE33">IF(P$1="","",INDEX('Raw data'!$AS$4:$AS$267,MATCH("Grower"&amp;'Wide data'!$A$1&amp;'Wide data'!$A33,'Raw data'!$AI$4:$AI$267&amp;'Raw data'!$AJ$2&amp;'Raw data'!$AJ$4:$AJ$267,0)))</f>
        <v>1.9579371938922496</v>
      </c>
      <c r="AF33" s="418">
        <f t="array" ref="AF33">IF(Q$1="","",INDEX('Raw data'!$AS$4:$AS$267,MATCH("Finisher"&amp;'Wide data'!$A$1&amp;'Wide data'!$A33,'Raw data'!$AI$4:$AI$267&amp;'Raw data'!$AJ$2&amp;'Raw data'!$AJ$4:$AJ$267,0)))</f>
        <v>1.5844873104032271</v>
      </c>
    </row>
    <row r="34" spans="1:32" x14ac:dyDescent="0.25">
      <c r="A34" s="24">
        <f>'Raw data'!L36</f>
        <v>33</v>
      </c>
      <c r="B34" s="24" t="str">
        <f>INDEX('Raw data'!$B$4:$B$69, 'Wide data'!A34)</f>
        <v>T3</v>
      </c>
      <c r="C34" s="24" t="str">
        <f>INDEX('Raw data'!$C$4:$C$69, 'Wide data'!A34)</f>
        <v>R5</v>
      </c>
      <c r="D34" s="24">
        <f t="array" ref="D34">INDEX('Raw data'!$F$4:$F$69,MATCH($A$1&amp;'Wide data'!$A34,'Raw data'!$A$3&amp;'Raw data'!$A$4:$A$69,0))</f>
        <v>4.5650000000000003E-2</v>
      </c>
      <c r="E34" s="24">
        <f t="array" ref="E34">IF(E$1="","",INDEX('Raw data'!$Q$4:$Q$267,MATCH("14 days"&amp;'Wide data'!$A$1&amp;'Wide data'!$A34,'Raw data'!$K$4:$K$267&amp;'Raw data'!$L$2&amp;'Raw data'!$L$4:$L$267,0)))</f>
        <v>0.34099999999999997</v>
      </c>
      <c r="F34" s="24">
        <f t="array" ref="F34">IF(F$1="","",INDEX('Raw data'!$Q$4:$Q$267,MATCH("23 days"&amp;'Wide data'!$A$1&amp;'Wide data'!$A34,'Raw data'!$K$4:$K$267&amp;'Raw data'!$L$2&amp;'Raw data'!$L$4:$L$267,0)))</f>
        <v>0.92749999999999988</v>
      </c>
      <c r="G34" s="24">
        <f t="array" ref="G34">IF(G$1="","",INDEX('Raw data'!$Q$4:$Q$267,MATCH("32 days"&amp;'Wide data'!$A$1&amp;'Wide data'!$A34,'Raw data'!$K$4:$K$267&amp;'Raw data'!$L$2&amp;'Raw data'!$L$4:$L$267,0)))</f>
        <v>1.4524999999999999</v>
      </c>
      <c r="H34" s="24">
        <f t="array" ref="H34">IF(H$1="","",INDEX('Raw data'!$Q$4:$Q$267,MATCH("39 days"&amp;'Wide data'!$A$1&amp;'Wide data'!$A34,'Raw data'!$K$4:$K$267&amp;'Raw data'!$L$2&amp;'Raw data'!$L$4:$L$267,0)))</f>
        <v>2.2962499999999997</v>
      </c>
      <c r="I34" s="24">
        <f t="array" ref="I34">IF(I$1="","",INDEX('Raw data'!$S$4:$S$267,MATCH("14 days"&amp;'Wide data'!$A$1&amp;'Wide data'!$A34,'Raw data'!$K$4:$K$267&amp;'Raw data'!$L$2&amp;'Raw data'!$L$4:$L$267,0)))</f>
        <v>0.29534999999999995</v>
      </c>
      <c r="J34" s="24">
        <f t="array" ref="J34">IF(J$1="","",INDEX('Raw data'!$S$4:$S$267,MATCH("23 days"&amp;'Wide data'!$A$1&amp;'Wide data'!$A34,'Raw data'!$K$4:$K$267&amp;'Raw data'!$L$2&amp;'Raw data'!$L$4:$L$267,0)))</f>
        <v>0.58649999999999991</v>
      </c>
      <c r="K34" s="24">
        <f t="array" ref="K34">IF(K$1="","",INDEX('Raw data'!$S$4:$S$267,MATCH("32 days"&amp;'Wide data'!$A$1&amp;'Wide data'!$A34,'Raw data'!$K$4:$K$267&amp;'Raw data'!$L$2&amp;'Raw data'!$L$4:$L$267,0)))</f>
        <v>0.52500000000000002</v>
      </c>
      <c r="L34" s="24">
        <f t="array" ref="L34">IF(L$1="","",INDEX('Raw data'!$S$4:$S$267,MATCH("39 days"&amp;'Wide data'!$A$1&amp;'Wide data'!$A34,'Raw data'!$K$4:$K$267&amp;'Raw data'!$L$2&amp;'Raw data'!$L$4:$L$267,0)))</f>
        <v>0.84374999999999978</v>
      </c>
      <c r="M34" s="24">
        <f t="array" ref="M34">IF(M$1="","",INDEX('Raw data'!$V$4:$V$267,MATCH("14 days"&amp;'Wide data'!$A$1&amp;'Wide data'!$A34,'Raw data'!$K$4:$K$267&amp;'Raw data'!$L$2&amp;'Raw data'!$L$4:$L$267,0)))</f>
        <v>0.38875000000000004</v>
      </c>
      <c r="N34" s="24">
        <f t="array" ref="N34">IF(N$1="","",INDEX('Raw data'!$V$4:$V$267,MATCH("23 days"&amp;'Wide data'!$A$1&amp;'Wide data'!$A34,'Raw data'!$K$4:$K$267&amp;'Raw data'!$L$2&amp;'Raw data'!$L$4:$L$267,0)))</f>
        <v>0.80337499999999995</v>
      </c>
      <c r="O34" s="24">
        <f t="array" ref="O34">IF(O$1="","",INDEX('Raw data'!$V$4:$V$267,MATCH("32 days"&amp;'Wide data'!$A$1&amp;'Wide data'!$A34,'Raw data'!$K$4:$K$267&amp;'Raw data'!$L$2&amp;'Raw data'!$L$4:$L$267,0)))</f>
        <v>1.395375</v>
      </c>
      <c r="P34" s="24">
        <f t="array" ref="P34">IF(P$1="","",INDEX('Raw data'!$V$4:$V$267,MATCH("39 days"&amp;'Wide data'!$A$1&amp;'Wide data'!$A34,'Raw data'!$K$4:$K$267&amp;'Raw data'!$L$2&amp;'Raw data'!$L$4:$L$267,0)))</f>
        <v>1.4175</v>
      </c>
      <c r="Q34" s="24">
        <f t="array" ref="Q34">IF(Q$1="","",INDEX('Raw data'!$W$4:$W$267,MATCH("14 days"&amp;'Wide data'!$A$1&amp;'Wide data'!$A34,'Raw data'!$K$4:$K$267&amp;'Raw data'!$L$2&amp;'Raw data'!$L$4:$L$267,0)))</f>
        <v>1.1400293255131966</v>
      </c>
      <c r="R34" s="24">
        <f t="array" ref="R34">IF(R$1="","",INDEX('Raw data'!$W$4:$W$267,MATCH("23 days"&amp;'Wide data'!$A$1&amp;'Wide data'!$A34,'Raw data'!$K$4:$K$267&amp;'Raw data'!$L$2&amp;'Raw data'!$L$4:$L$267,0)))</f>
        <v>1.2853099730458224</v>
      </c>
      <c r="S34" s="24">
        <f t="array" ref="S34">IF(S$1="","",INDEX('Raw data'!$W$4:$W$267,MATCH("32 days"&amp;'Wide data'!$A$1&amp;'Wide data'!$A34,'Raw data'!$K$4:$K$267&amp;'Raw data'!$L$2&amp;'Raw data'!$L$4:$L$267,0)))</f>
        <v>1.7814113597246126</v>
      </c>
      <c r="T34" s="24">
        <f t="array" ref="T34">IF(T$1="","",INDEX('Raw data'!$W$4:$W$267,MATCH("39 days"&amp;'Wide data'!$A$1&amp;'Wide data'!$A34,'Raw data'!$K$4:$K$267&amp;'Raw data'!$L$2&amp;'Raw data'!$L$4:$L$267,0)))</f>
        <v>1.7441480675013612</v>
      </c>
      <c r="U34" s="418">
        <f t="array" ref="U34">IF(E$1="","",INDEX('Raw data'!$AN$4:$AN$267,MATCH("Starter"&amp;'Wide data'!$A$1&amp;'Wide data'!$A34,'Raw data'!$AI$4:$AI$267&amp;'Raw data'!$AJ$2&amp;'Raw data'!$AJ$4:$AJ$267,0)))</f>
        <v>0.34099999999999997</v>
      </c>
      <c r="V34" s="418">
        <f t="array" ref="V34">IF(G$1="","",INDEX('Raw data'!$AN$4:$AN$267,MATCH("Grower"&amp;'Wide data'!$A$1&amp;'Wide data'!$A34,'Raw data'!$AI$4:$AI$267&amp;'Raw data'!$AJ$2&amp;'Raw data'!$AJ$4:$AJ$267,0)))</f>
        <v>1.4524999999999999</v>
      </c>
      <c r="W34" s="418">
        <f t="array" ref="W34">IF(H$1="","",INDEX('Raw data'!$AN$4:$AN$267,MATCH("Finisher"&amp;'Wide data'!$A$1&amp;'Wide data'!$A34,'Raw data'!$AI$4:$AI$267&amp;'Raw data'!$AJ$2&amp;'Raw data'!$AJ$4:$AJ$267,0)))</f>
        <v>2.2962499999999997</v>
      </c>
      <c r="X34" s="418">
        <f t="array" ref="X34">IF(H$1="","",INDEX('Raw data'!$AP$4:$AP$267,MATCH("Starter"&amp;'Wide data'!$A$1&amp;'Wide data'!$A34,'Raw data'!$AI$4:$AI$267&amp;'Raw data'!$AJ$2&amp;'Raw data'!$AJ$4:$AJ$267,0)))</f>
        <v>0.29534999999999995</v>
      </c>
      <c r="Y34" s="418">
        <f t="array" ref="Y34">IF(J$1="","",INDEX('Raw data'!$AP$4:$AP$267,MATCH("Grower"&amp;'Wide data'!$A$1&amp;'Wide data'!$A34,'Raw data'!$AI$4:$AI$267&amp;'Raw data'!$AJ$2&amp;'Raw data'!$AJ$4:$AJ$267,0)))</f>
        <v>1.1114999999999999</v>
      </c>
      <c r="Z34" s="418">
        <f t="array" ref="Z34">IF(K$1="","",INDEX('Raw data'!$AP$4:$AP$267,MATCH("Finisher"&amp;'Wide data'!$A$1&amp;'Wide data'!$A34,'Raw data'!$AI$4:$AI$267&amp;'Raw data'!$AJ$2&amp;'Raw data'!$AJ$4:$AJ$267,0)))</f>
        <v>0.84374999999999978</v>
      </c>
      <c r="AA34" s="418">
        <f t="array" ref="AA34">IF(K$1="","",INDEX('Raw data'!$AR$4:$AR$267,MATCH("Starter"&amp;'Wide data'!$A$1&amp;'Wide data'!$A34,'Raw data'!$AI$4:$AI$267&amp;'Raw data'!$AJ$2&amp;'Raw data'!$AJ$4:$AJ$267,0)))</f>
        <v>0.38875000000000004</v>
      </c>
      <c r="AB34" s="418">
        <f t="array" ref="AB34">IF(M$1="","",INDEX('Raw data'!$AR$4:$AR$267,MATCH("Grower"&amp;'Wide data'!$A$1&amp;'Wide data'!$A34,'Raw data'!$AI$4:$AI$267&amp;'Raw data'!$AJ$2&amp;'Raw data'!$AJ$4:$AJ$267,0)))</f>
        <v>2.19875</v>
      </c>
      <c r="AC34" s="418">
        <f t="array" ref="AC34">IF(N$1="","",INDEX('Raw data'!$AR$4:$AR$267,MATCH("Finisher"&amp;'Wide data'!$A$1&amp;'Wide data'!$A34,'Raw data'!$AI$4:$AI$267&amp;'Raw data'!$AJ$2&amp;'Raw data'!$AJ$4:$AJ$267,0)))</f>
        <v>1.4175</v>
      </c>
      <c r="AD34" s="418">
        <f t="array" ref="AD34">IF(N$1="","",INDEX('Raw data'!$AS$4:$AS$267,MATCH("Starter"&amp;'Wide data'!$A$1&amp;'Wide data'!$A34,'Raw data'!$AI$4:$AI$267&amp;'Raw data'!$AJ$2&amp;'Raw data'!$AJ$4:$AJ$267,0)))</f>
        <v>1.1400293255131966</v>
      </c>
      <c r="AE34" s="418">
        <f t="array" ref="AE34">IF(P$1="","",INDEX('Raw data'!$AS$4:$AS$267,MATCH("Grower"&amp;'Wide data'!$A$1&amp;'Wide data'!$A34,'Raw data'!$AI$4:$AI$267&amp;'Raw data'!$AJ$2&amp;'Raw data'!$AJ$4:$AJ$267,0)))</f>
        <v>1.9781826360773729</v>
      </c>
      <c r="AF34" s="418">
        <f t="array" ref="AF34">IF(Q$1="","",INDEX('Raw data'!$AS$4:$AS$267,MATCH("Finisher"&amp;'Wide data'!$A$1&amp;'Wide data'!$A34,'Raw data'!$AI$4:$AI$267&amp;'Raw data'!$AJ$2&amp;'Raw data'!$AJ$4:$AJ$267,0)))</f>
        <v>1.6800000000000004</v>
      </c>
    </row>
    <row r="35" spans="1:32" x14ac:dyDescent="0.25">
      <c r="A35" s="24">
        <f>'Raw data'!L37</f>
        <v>34</v>
      </c>
      <c r="B35" s="24" t="str">
        <f>INDEX('Raw data'!$B$4:$B$69, 'Wide data'!A35)</f>
        <v>T2</v>
      </c>
      <c r="C35" s="24" t="str">
        <f>INDEX('Raw data'!$C$4:$C$69, 'Wide data'!A35)</f>
        <v>R5</v>
      </c>
      <c r="D35" s="24">
        <f t="array" ref="D35">INDEX('Raw data'!$F$4:$F$69,MATCH($A$1&amp;'Wide data'!$A35,'Raw data'!$A$3&amp;'Raw data'!$A$4:$A$69,0))</f>
        <v>4.5374999999999999E-2</v>
      </c>
      <c r="E35" s="24">
        <f t="array" ref="E35">IF(E$1="","",INDEX('Raw data'!$Q$4:$Q$267,MATCH("14 days"&amp;'Wide data'!$A$1&amp;'Wide data'!$A35,'Raw data'!$K$4:$K$267&amp;'Raw data'!$L$2&amp;'Raw data'!$L$4:$L$267,0)))</f>
        <v>0.34975000000000001</v>
      </c>
      <c r="F35" s="24">
        <f t="array" ref="F35">IF(F$1="","",INDEX('Raw data'!$Q$4:$Q$267,MATCH("23 days"&amp;'Wide data'!$A$1&amp;'Wide data'!$A35,'Raw data'!$K$4:$K$267&amp;'Raw data'!$L$2&amp;'Raw data'!$L$4:$L$267,0)))</f>
        <v>0.94499999999999995</v>
      </c>
      <c r="G35" s="24">
        <f t="array" ref="G35">IF(G$1="","",INDEX('Raw data'!$Q$4:$Q$267,MATCH("32 days"&amp;'Wide data'!$A$1&amp;'Wide data'!$A35,'Raw data'!$K$4:$K$267&amp;'Raw data'!$L$2&amp;'Raw data'!$L$4:$L$267,0)))</f>
        <v>1.4461538461538459</v>
      </c>
      <c r="H35" s="24">
        <f t="array" ref="H35">IF(H$1="","",INDEX('Raw data'!$Q$4:$Q$267,MATCH("39 days"&amp;'Wide data'!$A$1&amp;'Wide data'!$A35,'Raw data'!$K$4:$K$267&amp;'Raw data'!$L$2&amp;'Raw data'!$L$4:$L$267,0)))</f>
        <v>2.2972972972972974</v>
      </c>
      <c r="I35" s="24">
        <f t="array" ref="I35">IF(I$1="","",INDEX('Raw data'!$S$4:$S$267,MATCH("14 days"&amp;'Wide data'!$A$1&amp;'Wide data'!$A35,'Raw data'!$K$4:$K$267&amp;'Raw data'!$L$2&amp;'Raw data'!$L$4:$L$267,0)))</f>
        <v>0.30437500000000001</v>
      </c>
      <c r="J35" s="24">
        <f t="array" ref="J35">IF(J$1="","",INDEX('Raw data'!$S$4:$S$267,MATCH("23 days"&amp;'Wide data'!$A$1&amp;'Wide data'!$A35,'Raw data'!$K$4:$K$267&amp;'Raw data'!$L$2&amp;'Raw data'!$L$4:$L$267,0)))</f>
        <v>0.59524999999999995</v>
      </c>
      <c r="K35" s="24">
        <f t="array" ref="K35">IF(K$1="","",INDEX('Raw data'!$S$4:$S$267,MATCH("32 days"&amp;'Wide data'!$A$1&amp;'Wide data'!$A35,'Raw data'!$K$4:$K$267&amp;'Raw data'!$L$2&amp;'Raw data'!$L$4:$L$267,0)))</f>
        <v>0.50115384615384595</v>
      </c>
      <c r="L35" s="24">
        <f t="array" ref="L35">IF(L$1="","",INDEX('Raw data'!$S$4:$S$267,MATCH("39 days"&amp;'Wide data'!$A$1&amp;'Wide data'!$A35,'Raw data'!$K$4:$K$267&amp;'Raw data'!$L$2&amp;'Raw data'!$L$4:$L$267,0)))</f>
        <v>0.85114345114345147</v>
      </c>
      <c r="M35" s="24">
        <f t="array" ref="M35">IF(M$1="","",INDEX('Raw data'!$V$4:$V$267,MATCH("14 days"&amp;'Wide data'!$A$1&amp;'Wide data'!$A35,'Raw data'!$K$4:$K$267&amp;'Raw data'!$L$2&amp;'Raw data'!$L$4:$L$267,0)))</f>
        <v>0.4</v>
      </c>
      <c r="N35" s="24">
        <f t="array" ref="N35">IF(N$1="","",INDEX('Raw data'!$V$4:$V$267,MATCH("23 days"&amp;'Wide data'!$A$1&amp;'Wide data'!$A35,'Raw data'!$K$4:$K$267&amp;'Raw data'!$L$2&amp;'Raw data'!$L$4:$L$267,0)))</f>
        <v>0.81087500000000001</v>
      </c>
      <c r="O35" s="24">
        <f t="array" ref="O35">IF(O$1="","",INDEX('Raw data'!$V$4:$V$267,MATCH("32 days"&amp;'Wide data'!$A$1&amp;'Wide data'!$A35,'Raw data'!$K$4:$K$267&amp;'Raw data'!$L$2&amp;'Raw data'!$L$4:$L$267,0)))</f>
        <v>1.3683333333333332</v>
      </c>
      <c r="P35" s="24">
        <f t="array" ref="P35">IF(P$1="","",INDEX('Raw data'!$V$4:$V$267,MATCH("39 days"&amp;'Wide data'!$A$1&amp;'Wide data'!$A35,'Raw data'!$K$4:$K$267&amp;'Raw data'!$L$2&amp;'Raw data'!$L$4:$L$267,0)))</f>
        <v>1.4445945945945946</v>
      </c>
      <c r="Q35" s="24">
        <f t="array" ref="Q35">IF(Q$1="","",INDEX('Raw data'!$W$4:$W$267,MATCH("14 days"&amp;'Wide data'!$A$1&amp;'Wide data'!$A35,'Raw data'!$K$4:$K$267&amp;'Raw data'!$L$2&amp;'Raw data'!$L$4:$L$267,0)))</f>
        <v>1.143674052894925</v>
      </c>
      <c r="R35" s="24">
        <f t="array" ref="R35">IF(R$1="","",INDEX('Raw data'!$W$4:$W$267,MATCH("23 days"&amp;'Wide data'!$A$1&amp;'Wide data'!$A35,'Raw data'!$K$4:$K$267&amp;'Raw data'!$L$2&amp;'Raw data'!$L$4:$L$267,0)))</f>
        <v>1.2813492063492065</v>
      </c>
      <c r="S35" s="24">
        <f t="array" ref="S35">IF(S$1="","",INDEX('Raw data'!$W$4:$W$267,MATCH("32 days"&amp;'Wide data'!$A$1&amp;'Wide data'!$A35,'Raw data'!$K$4:$K$267&amp;'Raw data'!$L$2&amp;'Raw data'!$L$4:$L$267,0)))</f>
        <v>1.7719756309834642</v>
      </c>
      <c r="T35" s="24">
        <f t="array" ref="T35">IF(T$1="","",INDEX('Raw data'!$W$4:$W$267,MATCH("39 days"&amp;'Wide data'!$A$1&amp;'Wide data'!$A35,'Raw data'!$K$4:$K$267&amp;'Raw data'!$L$2&amp;'Raw data'!$L$4:$L$267,0)))</f>
        <v>1.7375489647453835</v>
      </c>
      <c r="U35" s="418">
        <f t="array" ref="U35">IF(E$1="","",INDEX('Raw data'!$AN$4:$AN$267,MATCH("Starter"&amp;'Wide data'!$A$1&amp;'Wide data'!$A35,'Raw data'!$AI$4:$AI$267&amp;'Raw data'!$AJ$2&amp;'Raw data'!$AJ$4:$AJ$267,0)))</f>
        <v>0.34975000000000001</v>
      </c>
      <c r="V35" s="418">
        <f t="array" ref="V35">IF(G$1="","",INDEX('Raw data'!$AN$4:$AN$267,MATCH("Grower"&amp;'Wide data'!$A$1&amp;'Wide data'!$A35,'Raw data'!$AI$4:$AI$267&amp;'Raw data'!$AJ$2&amp;'Raw data'!$AJ$4:$AJ$267,0)))</f>
        <v>1.4461538461538459</v>
      </c>
      <c r="W35" s="418">
        <f t="array" ref="W35">IF(H$1="","",INDEX('Raw data'!$AN$4:$AN$267,MATCH("Finisher"&amp;'Wide data'!$A$1&amp;'Wide data'!$A35,'Raw data'!$AI$4:$AI$267&amp;'Raw data'!$AJ$2&amp;'Raw data'!$AJ$4:$AJ$267,0)))</f>
        <v>2.2972972972972974</v>
      </c>
      <c r="X35" s="418">
        <f t="array" ref="X35">IF(H$1="","",INDEX('Raw data'!$AP$4:$AP$267,MATCH("Starter"&amp;'Wide data'!$A$1&amp;'Wide data'!$A35,'Raw data'!$AI$4:$AI$267&amp;'Raw data'!$AJ$2&amp;'Raw data'!$AJ$4:$AJ$267,0)))</f>
        <v>0.30437500000000001</v>
      </c>
      <c r="Y35" s="418">
        <f t="array" ref="Y35">IF(J$1="","",INDEX('Raw data'!$AP$4:$AP$267,MATCH("Grower"&amp;'Wide data'!$A$1&amp;'Wide data'!$A35,'Raw data'!$AI$4:$AI$267&amp;'Raw data'!$AJ$2&amp;'Raw data'!$AJ$4:$AJ$267,0)))</f>
        <v>1.0964038461538459</v>
      </c>
      <c r="Z35" s="418">
        <f t="array" ref="Z35">IF(K$1="","",INDEX('Raw data'!$AP$4:$AP$267,MATCH("Finisher"&amp;'Wide data'!$A$1&amp;'Wide data'!$A35,'Raw data'!$AI$4:$AI$267&amp;'Raw data'!$AJ$2&amp;'Raw data'!$AJ$4:$AJ$267,0)))</f>
        <v>0.85114345114345147</v>
      </c>
      <c r="AA35" s="418">
        <f t="array" ref="AA35">IF(K$1="","",INDEX('Raw data'!$AR$4:$AR$267,MATCH("Starter"&amp;'Wide data'!$A$1&amp;'Wide data'!$A35,'Raw data'!$AI$4:$AI$267&amp;'Raw data'!$AJ$2&amp;'Raw data'!$AJ$4:$AJ$267,0)))</f>
        <v>0.4</v>
      </c>
      <c r="AB35" s="418">
        <f t="array" ref="AB35">IF(M$1="","",INDEX('Raw data'!$AR$4:$AR$267,MATCH("Grower"&amp;'Wide data'!$A$1&amp;'Wide data'!$A35,'Raw data'!$AI$4:$AI$267&amp;'Raw data'!$AJ$2&amp;'Raw data'!$AJ$4:$AJ$267,0)))</f>
        <v>2.1792083333333334</v>
      </c>
      <c r="AC35" s="418">
        <f t="array" ref="AC35">IF(N$1="","",INDEX('Raw data'!$AR$4:$AR$267,MATCH("Finisher"&amp;'Wide data'!$A$1&amp;'Wide data'!$A35,'Raw data'!$AI$4:$AI$267&amp;'Raw data'!$AJ$2&amp;'Raw data'!$AJ$4:$AJ$267,0)))</f>
        <v>1.4445945945945946</v>
      </c>
      <c r="AD35" s="418">
        <f t="array" ref="AD35">IF(N$1="","",INDEX('Raw data'!$AS$4:$AS$267,MATCH("Starter"&amp;'Wide data'!$A$1&amp;'Wide data'!$A35,'Raw data'!$AI$4:$AI$267&amp;'Raw data'!$AJ$2&amp;'Raw data'!$AJ$4:$AJ$267,0)))</f>
        <v>1.143674052894925</v>
      </c>
      <c r="AE35" s="418">
        <f t="array" ref="AE35">IF(P$1="","",INDEX('Raw data'!$AS$4:$AS$267,MATCH("Grower"&amp;'Wide data'!$A$1&amp;'Wide data'!$A35,'Raw data'!$AI$4:$AI$267&amp;'Raw data'!$AJ$2&amp;'Raw data'!$AJ$4:$AJ$267,0)))</f>
        <v>1.9322148406710962</v>
      </c>
      <c r="AF35" s="418">
        <f t="array" ref="AF35">IF(Q$1="","",INDEX('Raw data'!$AS$4:$AS$267,MATCH("Finisher"&amp;'Wide data'!$A$1&amp;'Wide data'!$A35,'Raw data'!$AI$4:$AI$267&amp;'Raw data'!$AJ$2&amp;'Raw data'!$AJ$4:$AJ$267,0)))</f>
        <v>1.5362591200530618</v>
      </c>
    </row>
    <row r="36" spans="1:32" x14ac:dyDescent="0.25">
      <c r="A36" s="24">
        <f>'Raw data'!L38</f>
        <v>35</v>
      </c>
      <c r="B36" s="24" t="str">
        <f>INDEX('Raw data'!$B$4:$B$69, 'Wide data'!A36)</f>
        <v>T5</v>
      </c>
      <c r="C36" s="24" t="str">
        <f>INDEX('Raw data'!$C$4:$C$69, 'Wide data'!A36)</f>
        <v>R5</v>
      </c>
      <c r="D36" s="24">
        <f t="array" ref="D36">INDEX('Raw data'!$F$4:$F$69,MATCH($A$1&amp;'Wide data'!$A36,'Raw data'!$A$3&amp;'Raw data'!$A$4:$A$69,0))</f>
        <v>4.5499999999999999E-2</v>
      </c>
      <c r="E36" s="24">
        <f t="array" ref="E36">IF(E$1="","",INDEX('Raw data'!$Q$4:$Q$267,MATCH("14 days"&amp;'Wide data'!$A$1&amp;'Wide data'!$A36,'Raw data'!$K$4:$K$267&amp;'Raw data'!$L$2&amp;'Raw data'!$L$4:$L$267,0)))</f>
        <v>0.35648648648648645</v>
      </c>
      <c r="F36" s="24">
        <f t="array" ref="F36">IF(F$1="","",INDEX('Raw data'!$Q$4:$Q$267,MATCH("23 days"&amp;'Wide data'!$A$1&amp;'Wide data'!$A36,'Raw data'!$K$4:$K$267&amp;'Raw data'!$L$2&amp;'Raw data'!$L$4:$L$267,0)))</f>
        <v>1.0297297297297296</v>
      </c>
      <c r="G36" s="24">
        <f t="array" ref="G36">IF(G$1="","",INDEX('Raw data'!$Q$4:$Q$267,MATCH("32 days"&amp;'Wide data'!$A$1&amp;'Wide data'!$A36,'Raw data'!$K$4:$K$267&amp;'Raw data'!$L$2&amp;'Raw data'!$L$4:$L$267,0)))</f>
        <v>1.4594594594594594</v>
      </c>
      <c r="H36" s="24">
        <f t="array" ref="H36">IF(H$1="","",INDEX('Raw data'!$Q$4:$Q$267,MATCH("39 days"&amp;'Wide data'!$A$1&amp;'Wide data'!$A36,'Raw data'!$K$4:$K$267&amp;'Raw data'!$L$2&amp;'Raw data'!$L$4:$L$267,0)))</f>
        <v>2.2635135135135136</v>
      </c>
      <c r="I36" s="24">
        <f t="array" ref="I36">IF(I$1="","",INDEX('Raw data'!$S$4:$S$267,MATCH("14 days"&amp;'Wide data'!$A$1&amp;'Wide data'!$A36,'Raw data'!$K$4:$K$267&amp;'Raw data'!$L$2&amp;'Raw data'!$L$4:$L$267,0)))</f>
        <v>0.31098648648648647</v>
      </c>
      <c r="J36" s="24">
        <f t="array" ref="J36">IF(J$1="","",INDEX('Raw data'!$S$4:$S$267,MATCH("23 days"&amp;'Wide data'!$A$1&amp;'Wide data'!$A36,'Raw data'!$K$4:$K$267&amp;'Raw data'!$L$2&amp;'Raw data'!$L$4:$L$267,0)))</f>
        <v>0.67324324324324314</v>
      </c>
      <c r="K36" s="24">
        <f t="array" ref="K36">IF(K$1="","",INDEX('Raw data'!$S$4:$S$267,MATCH("32 days"&amp;'Wide data'!$A$1&amp;'Wide data'!$A36,'Raw data'!$K$4:$K$267&amp;'Raw data'!$L$2&amp;'Raw data'!$L$4:$L$267,0)))</f>
        <v>0.42972972972972978</v>
      </c>
      <c r="L36" s="24">
        <f t="array" ref="L36">IF(L$1="","",INDEX('Raw data'!$S$4:$S$267,MATCH("39 days"&amp;'Wide data'!$A$1&amp;'Wide data'!$A36,'Raw data'!$K$4:$K$267&amp;'Raw data'!$L$2&amp;'Raw data'!$L$4:$L$267,0)))</f>
        <v>0.80405405405405417</v>
      </c>
      <c r="M36" s="24">
        <f t="array" ref="M36">IF(M$1="","",INDEX('Raw data'!$V$4:$V$267,MATCH("14 days"&amp;'Wide data'!$A$1&amp;'Wide data'!$A36,'Raw data'!$K$4:$K$267&amp;'Raw data'!$L$2&amp;'Raw data'!$L$4:$L$267,0)))</f>
        <v>0.43108108108108112</v>
      </c>
      <c r="N36" s="24">
        <f t="array" ref="N36">IF(N$1="","",INDEX('Raw data'!$V$4:$V$267,MATCH("23 days"&amp;'Wide data'!$A$1&amp;'Wide data'!$A36,'Raw data'!$K$4:$K$267&amp;'Raw data'!$L$2&amp;'Raw data'!$L$4:$L$267,0)))</f>
        <v>0.86851351351351347</v>
      </c>
      <c r="O36" s="24">
        <f t="array" ref="O36">IF(O$1="","",INDEX('Raw data'!$V$4:$V$267,MATCH("32 days"&amp;'Wide data'!$A$1&amp;'Wide data'!$A36,'Raw data'!$K$4:$K$267&amp;'Raw data'!$L$2&amp;'Raw data'!$L$4:$L$267,0)))</f>
        <v>1.4287837837837838</v>
      </c>
      <c r="P36" s="24">
        <f t="array" ref="P36">IF(P$1="","",INDEX('Raw data'!$V$4:$V$267,MATCH("39 days"&amp;'Wide data'!$A$1&amp;'Wide data'!$A36,'Raw data'!$K$4:$K$267&amp;'Raw data'!$L$2&amp;'Raw data'!$L$4:$L$267,0)))</f>
        <v>1.3972972972972975</v>
      </c>
      <c r="Q36" s="24">
        <f t="array" ref="Q36">IF(Q$1="","",INDEX('Raw data'!$W$4:$W$267,MATCH("14 days"&amp;'Wide data'!$A$1&amp;'Wide data'!$A36,'Raw data'!$K$4:$K$267&amp;'Raw data'!$L$2&amp;'Raw data'!$L$4:$L$267,0)))</f>
        <v>1.1594940389648154</v>
      </c>
      <c r="R36" s="24">
        <f t="array" ref="R36">IF(R$1="","",INDEX('Raw data'!$W$4:$W$267,MATCH("23 days"&amp;'Wide data'!$A$1&amp;'Wide data'!$A36,'Raw data'!$K$4:$K$267&amp;'Raw data'!$L$2&amp;'Raw data'!$L$4:$L$267,0)))</f>
        <v>1.2435990275694411</v>
      </c>
      <c r="S36" s="24">
        <f t="array" ref="S36">IF(S$1="","",INDEX('Raw data'!$W$4:$W$267,MATCH("32 days"&amp;'Wide data'!$A$1&amp;'Wide data'!$A36,'Raw data'!$K$4:$K$267&amp;'Raw data'!$L$2&amp;'Raw data'!$L$4:$L$267,0)))</f>
        <v>1.8500531466480958</v>
      </c>
      <c r="T36" s="24">
        <f t="array" ref="T36">IF(T$1="","",INDEX('Raw data'!$W$4:$W$267,MATCH("39 days"&amp;'Wide data'!$A$1&amp;'Wide data'!$A36,'Raw data'!$K$4:$K$267&amp;'Raw data'!$L$2&amp;'Raw data'!$L$4:$L$267,0)))</f>
        <v>1.8104511599221971</v>
      </c>
      <c r="U36" s="418">
        <f t="array" ref="U36">IF(E$1="","",INDEX('Raw data'!$AN$4:$AN$267,MATCH("Starter"&amp;'Wide data'!$A$1&amp;'Wide data'!$A36,'Raw data'!$AI$4:$AI$267&amp;'Raw data'!$AJ$2&amp;'Raw data'!$AJ$4:$AJ$267,0)))</f>
        <v>0.35648648648648645</v>
      </c>
      <c r="V36" s="418">
        <f t="array" ref="V36">IF(G$1="","",INDEX('Raw data'!$AN$4:$AN$267,MATCH("Grower"&amp;'Wide data'!$A$1&amp;'Wide data'!$A36,'Raw data'!$AI$4:$AI$267&amp;'Raw data'!$AJ$2&amp;'Raw data'!$AJ$4:$AJ$267,0)))</f>
        <v>1.4594594594594594</v>
      </c>
      <c r="W36" s="418">
        <f t="array" ref="W36">IF(H$1="","",INDEX('Raw data'!$AN$4:$AN$267,MATCH("Finisher"&amp;'Wide data'!$A$1&amp;'Wide data'!$A36,'Raw data'!$AI$4:$AI$267&amp;'Raw data'!$AJ$2&amp;'Raw data'!$AJ$4:$AJ$267,0)))</f>
        <v>2.2635135135135136</v>
      </c>
      <c r="X36" s="418">
        <f t="array" ref="X36">IF(H$1="","",INDEX('Raw data'!$AP$4:$AP$267,MATCH("Starter"&amp;'Wide data'!$A$1&amp;'Wide data'!$A36,'Raw data'!$AI$4:$AI$267&amp;'Raw data'!$AJ$2&amp;'Raw data'!$AJ$4:$AJ$267,0)))</f>
        <v>0.31098648648648647</v>
      </c>
      <c r="Y36" s="418">
        <f t="array" ref="Y36">IF(J$1="","",INDEX('Raw data'!$AP$4:$AP$267,MATCH("Grower"&amp;'Wide data'!$A$1&amp;'Wide data'!$A36,'Raw data'!$AI$4:$AI$267&amp;'Raw data'!$AJ$2&amp;'Raw data'!$AJ$4:$AJ$267,0)))</f>
        <v>1.1029729729729729</v>
      </c>
      <c r="Z36" s="418">
        <f t="array" ref="Z36">IF(K$1="","",INDEX('Raw data'!$AP$4:$AP$267,MATCH("Finisher"&amp;'Wide data'!$A$1&amp;'Wide data'!$A36,'Raw data'!$AI$4:$AI$267&amp;'Raw data'!$AJ$2&amp;'Raw data'!$AJ$4:$AJ$267,0)))</f>
        <v>0.80405405405405417</v>
      </c>
      <c r="AA36" s="418">
        <f t="array" ref="AA36">IF(K$1="","",INDEX('Raw data'!$AR$4:$AR$267,MATCH("Starter"&amp;'Wide data'!$A$1&amp;'Wide data'!$A36,'Raw data'!$AI$4:$AI$267&amp;'Raw data'!$AJ$2&amp;'Raw data'!$AJ$4:$AJ$267,0)))</f>
        <v>0.43108108108108112</v>
      </c>
      <c r="AB36" s="418">
        <f t="array" ref="AB36">IF(M$1="","",INDEX('Raw data'!$AR$4:$AR$267,MATCH("Grower"&amp;'Wide data'!$A$1&amp;'Wide data'!$A36,'Raw data'!$AI$4:$AI$267&amp;'Raw data'!$AJ$2&amp;'Raw data'!$AJ$4:$AJ$267,0)))</f>
        <v>2.2972972972972974</v>
      </c>
      <c r="AC36" s="418">
        <f t="array" ref="AC36">IF(N$1="","",INDEX('Raw data'!$AR$4:$AR$267,MATCH("Finisher"&amp;'Wide data'!$A$1&amp;'Wide data'!$A36,'Raw data'!$AI$4:$AI$267&amp;'Raw data'!$AJ$2&amp;'Raw data'!$AJ$4:$AJ$267,0)))</f>
        <v>1.3972972972972975</v>
      </c>
      <c r="AD36" s="418">
        <f t="array" ref="AD36">IF(N$1="","",INDEX('Raw data'!$AS$4:$AS$267,MATCH("Starter"&amp;'Wide data'!$A$1&amp;'Wide data'!$A36,'Raw data'!$AI$4:$AI$267&amp;'Raw data'!$AJ$2&amp;'Raw data'!$AJ$4:$AJ$267,0)))</f>
        <v>1.1594940389648154</v>
      </c>
      <c r="AE36" s="418">
        <f t="array" ref="AE36">IF(P$1="","",INDEX('Raw data'!$AS$4:$AS$267,MATCH("Grower"&amp;'Wide data'!$A$1&amp;'Wide data'!$A36,'Raw data'!$AI$4:$AI$267&amp;'Raw data'!$AJ$2&amp;'Raw data'!$AJ$4:$AJ$267,0)))</f>
        <v>2.0828228375398186</v>
      </c>
      <c r="AF36" s="418">
        <f t="array" ref="AF36">IF(Q$1="","",INDEX('Raw data'!$AS$4:$AS$267,MATCH("Finisher"&amp;'Wide data'!$A$1&amp;'Wide data'!$A36,'Raw data'!$AI$4:$AI$267&amp;'Raw data'!$AJ$2&amp;'Raw data'!$AJ$4:$AJ$267,0)))</f>
        <v>1.73781512605042</v>
      </c>
    </row>
    <row r="37" spans="1:32" x14ac:dyDescent="0.25">
      <c r="A37" s="24">
        <f>'Raw data'!L39</f>
        <v>36</v>
      </c>
      <c r="B37" s="24" t="str">
        <f>INDEX('Raw data'!$B$4:$B$69, 'Wide data'!A37)</f>
        <v>T4</v>
      </c>
      <c r="C37" s="24" t="str">
        <f>INDEX('Raw data'!$C$4:$C$69, 'Wide data'!A37)</f>
        <v>R5</v>
      </c>
      <c r="D37" s="24">
        <f t="array" ref="D37">INDEX('Raw data'!$F$4:$F$69,MATCH($A$1&amp;'Wide data'!$A37,'Raw data'!$A$3&amp;'Raw data'!$A$4:$A$69,0))</f>
        <v>4.5324999999999997E-2</v>
      </c>
      <c r="E37" s="24">
        <f t="array" ref="E37">IF(E$1="","",INDEX('Raw data'!$Q$4:$Q$267,MATCH("14 days"&amp;'Wide data'!$A$1&amp;'Wide data'!$A37,'Raw data'!$K$4:$K$267&amp;'Raw data'!$L$2&amp;'Raw data'!$L$4:$L$267,0)))</f>
        <v>0.3389189189189189</v>
      </c>
      <c r="F37" s="24">
        <f t="array" ref="F37">IF(F$1="","",INDEX('Raw data'!$Q$4:$Q$267,MATCH("23 days"&amp;'Wide data'!$A$1&amp;'Wide data'!$A37,'Raw data'!$K$4:$K$267&amp;'Raw data'!$L$2&amp;'Raw data'!$L$4:$L$267,0)))</f>
        <v>0.96756756756756745</v>
      </c>
      <c r="G37" s="24">
        <f t="array" ref="G37">IF(G$1="","",INDEX('Raw data'!$Q$4:$Q$267,MATCH("32 days"&amp;'Wide data'!$A$1&amp;'Wide data'!$A37,'Raw data'!$K$4:$K$267&amp;'Raw data'!$L$2&amp;'Raw data'!$L$4:$L$267,0)))</f>
        <v>1.3499999999999999</v>
      </c>
      <c r="H37" s="24">
        <f t="array" ref="H37">IF(H$1="","",INDEX('Raw data'!$Q$4:$Q$267,MATCH("39 days"&amp;'Wide data'!$A$1&amp;'Wide data'!$A37,'Raw data'!$K$4:$K$267&amp;'Raw data'!$L$2&amp;'Raw data'!$L$4:$L$267,0)))</f>
        <v>2.1624999999999996</v>
      </c>
      <c r="I37" s="24">
        <f t="array" ref="I37">IF(I$1="","",INDEX('Raw data'!$S$4:$S$267,MATCH("14 days"&amp;'Wide data'!$A$1&amp;'Wide data'!$A37,'Raw data'!$K$4:$K$267&amp;'Raw data'!$L$2&amp;'Raw data'!$L$4:$L$267,0)))</f>
        <v>0.29359391891891889</v>
      </c>
      <c r="J37" s="24">
        <f t="array" ref="J37">IF(J$1="","",INDEX('Raw data'!$S$4:$S$267,MATCH("23 days"&amp;'Wide data'!$A$1&amp;'Wide data'!$A37,'Raw data'!$K$4:$K$267&amp;'Raw data'!$L$2&amp;'Raw data'!$L$4:$L$267,0)))</f>
        <v>0.62864864864864856</v>
      </c>
      <c r="K37" s="24">
        <f t="array" ref="K37">IF(K$1="","",INDEX('Raw data'!$S$4:$S$267,MATCH("32 days"&amp;'Wide data'!$A$1&amp;'Wide data'!$A37,'Raw data'!$K$4:$K$267&amp;'Raw data'!$L$2&amp;'Raw data'!$L$4:$L$267,0)))</f>
        <v>0.38243243243243241</v>
      </c>
      <c r="L37" s="24">
        <f t="array" ref="L37">IF(L$1="","",INDEX('Raw data'!$S$4:$S$267,MATCH("39 days"&amp;'Wide data'!$A$1&amp;'Wide data'!$A37,'Raw data'!$K$4:$K$267&amp;'Raw data'!$L$2&amp;'Raw data'!$L$4:$L$267,0)))</f>
        <v>0.81249999999999978</v>
      </c>
      <c r="M37" s="24">
        <f t="array" ref="M37">IF(M$1="","",INDEX('Raw data'!$V$4:$V$267,MATCH("14 days"&amp;'Wide data'!$A$1&amp;'Wide data'!$A37,'Raw data'!$K$4:$K$267&amp;'Raw data'!$L$2&amp;'Raw data'!$L$4:$L$267,0)))</f>
        <v>0.427027027027027</v>
      </c>
      <c r="N37" s="24">
        <f t="array" ref="N37">IF(N$1="","",INDEX('Raw data'!$V$4:$V$267,MATCH("23 days"&amp;'Wide data'!$A$1&amp;'Wide data'!$A37,'Raw data'!$K$4:$K$267&amp;'Raw data'!$L$2&amp;'Raw data'!$L$4:$L$267,0)))</f>
        <v>0.82932432432432435</v>
      </c>
      <c r="O37" s="24">
        <f t="array" ref="O37">IF(O$1="","",INDEX('Raw data'!$V$4:$V$267,MATCH("32 days"&amp;'Wide data'!$A$1&amp;'Wide data'!$A37,'Raw data'!$K$4:$K$267&amp;'Raw data'!$L$2&amp;'Raw data'!$L$4:$L$267,0)))</f>
        <v>1.3769117647058824</v>
      </c>
      <c r="P37" s="24">
        <f t="array" ref="P37">IF(P$1="","",INDEX('Raw data'!$V$4:$V$267,MATCH("39 days"&amp;'Wide data'!$A$1&amp;'Wide data'!$A37,'Raw data'!$K$4:$K$267&amp;'Raw data'!$L$2&amp;'Raw data'!$L$4:$L$267,0)))</f>
        <v>1.4453125</v>
      </c>
      <c r="Q37" s="24">
        <f t="array" ref="Q37">IF(Q$1="","",INDEX('Raw data'!$W$4:$W$267,MATCH("14 days"&amp;'Wide data'!$A$1&amp;'Wide data'!$A37,'Raw data'!$K$4:$K$267&amp;'Raw data'!$L$2&amp;'Raw data'!$L$4:$L$267,0)))</f>
        <v>1.2043600884213734</v>
      </c>
      <c r="R37" s="24">
        <f t="array" ref="R37">IF(R$1="","",INDEX('Raw data'!$W$4:$W$267,MATCH("23 days"&amp;'Wide data'!$A$1&amp;'Wide data'!$A37,'Raw data'!$K$4:$K$267&amp;'Raw data'!$L$2&amp;'Raw data'!$L$4:$L$267,0)))</f>
        <v>1.2777976305011134</v>
      </c>
      <c r="S37" s="24">
        <f t="array" ref="S37">IF(S$1="","",INDEX('Raw data'!$W$4:$W$267,MATCH("32 days"&amp;'Wide data'!$A$1&amp;'Wide data'!$A37,'Raw data'!$K$4:$K$267&amp;'Raw data'!$L$2&amp;'Raw data'!$L$4:$L$267,0)))</f>
        <v>1.9021794531998613</v>
      </c>
      <c r="T37" s="24">
        <f t="array" ref="T37">IF(T$1="","",INDEX('Raw data'!$W$4:$W$267,MATCH("39 days"&amp;'Wide data'!$A$1&amp;'Wide data'!$A37,'Raw data'!$K$4:$K$267&amp;'Raw data'!$L$2&amp;'Raw data'!$L$4:$L$267,0)))</f>
        <v>1.8331691297208543</v>
      </c>
      <c r="U37" s="418">
        <f t="array" ref="U37">IF(E$1="","",INDEX('Raw data'!$AN$4:$AN$267,MATCH("Starter"&amp;'Wide data'!$A$1&amp;'Wide data'!$A37,'Raw data'!$AI$4:$AI$267&amp;'Raw data'!$AJ$2&amp;'Raw data'!$AJ$4:$AJ$267,0)))</f>
        <v>0.3389189189189189</v>
      </c>
      <c r="V37" s="418">
        <f t="array" ref="V37">IF(G$1="","",INDEX('Raw data'!$AN$4:$AN$267,MATCH("Grower"&amp;'Wide data'!$A$1&amp;'Wide data'!$A37,'Raw data'!$AI$4:$AI$267&amp;'Raw data'!$AJ$2&amp;'Raw data'!$AJ$4:$AJ$267,0)))</f>
        <v>1.3499999999999999</v>
      </c>
      <c r="W37" s="418">
        <f t="array" ref="W37">IF(H$1="","",INDEX('Raw data'!$AN$4:$AN$267,MATCH("Finisher"&amp;'Wide data'!$A$1&amp;'Wide data'!$A37,'Raw data'!$AI$4:$AI$267&amp;'Raw data'!$AJ$2&amp;'Raw data'!$AJ$4:$AJ$267,0)))</f>
        <v>2.1624999999999996</v>
      </c>
      <c r="X37" s="418">
        <f t="array" ref="X37">IF(H$1="","",INDEX('Raw data'!$AP$4:$AP$267,MATCH("Starter"&amp;'Wide data'!$A$1&amp;'Wide data'!$A37,'Raw data'!$AI$4:$AI$267&amp;'Raw data'!$AJ$2&amp;'Raw data'!$AJ$4:$AJ$267,0)))</f>
        <v>0.29359391891891889</v>
      </c>
      <c r="Y37" s="418">
        <f t="array" ref="Y37">IF(J$1="","",INDEX('Raw data'!$AP$4:$AP$267,MATCH("Grower"&amp;'Wide data'!$A$1&amp;'Wide data'!$A37,'Raw data'!$AI$4:$AI$267&amp;'Raw data'!$AJ$2&amp;'Raw data'!$AJ$4:$AJ$267,0)))</f>
        <v>1.0110810810810809</v>
      </c>
      <c r="Z37" s="418">
        <f t="array" ref="Z37">IF(K$1="","",INDEX('Raw data'!$AP$4:$AP$267,MATCH("Finisher"&amp;'Wide data'!$A$1&amp;'Wide data'!$A37,'Raw data'!$AI$4:$AI$267&amp;'Raw data'!$AJ$2&amp;'Raw data'!$AJ$4:$AJ$267,0)))</f>
        <v>0.81249999999999978</v>
      </c>
      <c r="AA37" s="418">
        <f t="array" ref="AA37">IF(K$1="","",INDEX('Raw data'!$AR$4:$AR$267,MATCH("Starter"&amp;'Wide data'!$A$1&amp;'Wide data'!$A37,'Raw data'!$AI$4:$AI$267&amp;'Raw data'!$AJ$2&amp;'Raw data'!$AJ$4:$AJ$267,0)))</f>
        <v>0.427027027027027</v>
      </c>
      <c r="AB37" s="418">
        <f t="array" ref="AB37">IF(M$1="","",INDEX('Raw data'!$AR$4:$AR$267,MATCH("Grower"&amp;'Wide data'!$A$1&amp;'Wide data'!$A37,'Raw data'!$AI$4:$AI$267&amp;'Raw data'!$AJ$2&amp;'Raw data'!$AJ$4:$AJ$267,0)))</f>
        <v>2.2062360890302068</v>
      </c>
      <c r="AC37" s="418">
        <f t="array" ref="AC37">IF(N$1="","",INDEX('Raw data'!$AR$4:$AR$267,MATCH("Finisher"&amp;'Wide data'!$A$1&amp;'Wide data'!$A37,'Raw data'!$AI$4:$AI$267&amp;'Raw data'!$AJ$2&amp;'Raw data'!$AJ$4:$AJ$267,0)))</f>
        <v>1.4453125</v>
      </c>
      <c r="AD37" s="418">
        <f t="array" ref="AD37">IF(N$1="","",INDEX('Raw data'!$AS$4:$AS$267,MATCH("Starter"&amp;'Wide data'!$A$1&amp;'Wide data'!$A37,'Raw data'!$AI$4:$AI$267&amp;'Raw data'!$AJ$2&amp;'Raw data'!$AJ$4:$AJ$267,0)))</f>
        <v>1.2043600884213734</v>
      </c>
      <c r="AE37" s="418">
        <f t="array" ref="AE37">IF(P$1="","",INDEX('Raw data'!$AS$4:$AS$267,MATCH("Grower"&amp;'Wide data'!$A$1&amp;'Wide data'!$A37,'Raw data'!$AI$4:$AI$267&amp;'Raw data'!$AJ$2&amp;'Raw data'!$AJ$4:$AJ$267,0)))</f>
        <v>1.9957405641664523</v>
      </c>
      <c r="AF37" s="418">
        <f t="array" ref="AF37">IF(Q$1="","",INDEX('Raw data'!$AS$4:$AS$267,MATCH("Finisher"&amp;'Wide data'!$A$1&amp;'Wide data'!$A37,'Raw data'!$AI$4:$AI$267&amp;'Raw data'!$AJ$2&amp;'Raw data'!$AJ$4:$AJ$267,0)))</f>
        <v>1.5532643739924776</v>
      </c>
    </row>
    <row r="38" spans="1:32" x14ac:dyDescent="0.25">
      <c r="A38" s="24">
        <f>'Raw data'!L40</f>
        <v>37</v>
      </c>
      <c r="B38" s="24" t="str">
        <f>INDEX('Raw data'!$B$4:$B$69, 'Wide data'!A38)</f>
        <v>T2</v>
      </c>
      <c r="C38" s="24" t="str">
        <f>INDEX('Raw data'!$C$4:$C$69, 'Wide data'!A38)</f>
        <v>R6</v>
      </c>
      <c r="D38" s="24">
        <f t="array" ref="D38">INDEX('Raw data'!$F$4:$F$69,MATCH($A$1&amp;'Wide data'!$A38,'Raw data'!$A$3&amp;'Raw data'!$A$4:$A$69,0))</f>
        <v>4.5524999999999996E-2</v>
      </c>
      <c r="E38" s="24">
        <f t="array" ref="E38">IF(E$1="","",INDEX('Raw data'!$Q$4:$Q$267,MATCH("14 days"&amp;'Wide data'!$A$1&amp;'Wide data'!$A38,'Raw data'!$K$4:$K$267&amp;'Raw data'!$L$2&amp;'Raw data'!$L$4:$L$267,0)))</f>
        <v>0.34975000000000001</v>
      </c>
      <c r="F38" s="24">
        <f t="array" ref="F38">IF(F$1="","",INDEX('Raw data'!$Q$4:$Q$267,MATCH("23 days"&amp;'Wide data'!$A$1&amp;'Wide data'!$A38,'Raw data'!$K$4:$K$267&amp;'Raw data'!$L$2&amp;'Raw data'!$L$4:$L$267,0)))</f>
        <v>0.87820512820512819</v>
      </c>
      <c r="G38" s="24">
        <f t="array" ref="G38">IF(G$1="","",INDEX('Raw data'!$Q$4:$Q$267,MATCH("32 days"&amp;'Wide data'!$A$1&amp;'Wide data'!$A38,'Raw data'!$K$4:$K$267&amp;'Raw data'!$L$2&amp;'Raw data'!$L$4:$L$267,0)))</f>
        <v>1.485135135135135</v>
      </c>
      <c r="H38" s="24">
        <f t="array" ref="H38">IF(H$1="","",INDEX('Raw data'!$Q$4:$Q$267,MATCH("39 days"&amp;'Wide data'!$A$1&amp;'Wide data'!$A38,'Raw data'!$K$4:$K$267&amp;'Raw data'!$L$2&amp;'Raw data'!$L$4:$L$267,0)))</f>
        <v>2.2624999999999997</v>
      </c>
      <c r="I38" s="24">
        <f t="array" ref="I38">IF(I$1="","",INDEX('Raw data'!$S$4:$S$267,MATCH("14 days"&amp;'Wide data'!$A$1&amp;'Wide data'!$A38,'Raw data'!$K$4:$K$267&amp;'Raw data'!$L$2&amp;'Raw data'!$L$4:$L$267,0)))</f>
        <v>0.30422500000000002</v>
      </c>
      <c r="J38" s="24">
        <f t="array" ref="J38">IF(J$1="","",INDEX('Raw data'!$S$4:$S$267,MATCH("23 days"&amp;'Wide data'!$A$1&amp;'Wide data'!$A38,'Raw data'!$K$4:$K$267&amp;'Raw data'!$L$2&amp;'Raw data'!$L$4:$L$267,0)))</f>
        <v>0.52845512820512819</v>
      </c>
      <c r="K38" s="24">
        <f t="array" ref="K38">IF(K$1="","",INDEX('Raw data'!$S$4:$S$267,MATCH("32 days"&amp;'Wide data'!$A$1&amp;'Wide data'!$A38,'Raw data'!$K$4:$K$267&amp;'Raw data'!$L$2&amp;'Raw data'!$L$4:$L$267,0)))</f>
        <v>0.60693000693000676</v>
      </c>
      <c r="L38" s="24">
        <f t="array" ref="L38">IF(L$1="","",INDEX('Raw data'!$S$4:$S$267,MATCH("39 days"&amp;'Wide data'!$A$1&amp;'Wide data'!$A38,'Raw data'!$K$4:$K$267&amp;'Raw data'!$L$2&amp;'Raw data'!$L$4:$L$267,0)))</f>
        <v>0.77736486486486478</v>
      </c>
      <c r="M38" s="24">
        <f t="array" ref="M38">IF(M$1="","",INDEX('Raw data'!$V$4:$V$267,MATCH("14 days"&amp;'Wide data'!$A$1&amp;'Wide data'!$A38,'Raw data'!$K$4:$K$267&amp;'Raw data'!$L$2&amp;'Raw data'!$L$4:$L$267,0)))</f>
        <v>0.40125</v>
      </c>
      <c r="N38" s="24">
        <f t="array" ref="N38">IF(N$1="","",INDEX('Raw data'!$V$4:$V$267,MATCH("23 days"&amp;'Wide data'!$A$1&amp;'Wide data'!$A38,'Raw data'!$K$4:$K$267&amp;'Raw data'!$L$2&amp;'Raw data'!$L$4:$L$267,0)))</f>
        <v>0.77012820512820501</v>
      </c>
      <c r="O38" s="24">
        <f t="array" ref="O38">IF(O$1="","",INDEX('Raw data'!$V$4:$V$267,MATCH("32 days"&amp;'Wide data'!$A$1&amp;'Wide data'!$A38,'Raw data'!$K$4:$K$267&amp;'Raw data'!$L$2&amp;'Raw data'!$L$4:$L$267,0)))</f>
        <v>1.5058108108108108</v>
      </c>
      <c r="P38" s="24">
        <f t="array" ref="P38">IF(P$1="","",INDEX('Raw data'!$V$4:$V$267,MATCH("39 days"&amp;'Wide data'!$A$1&amp;'Wide data'!$A38,'Raw data'!$K$4:$K$267&amp;'Raw data'!$L$2&amp;'Raw data'!$L$4:$L$267,0)))</f>
        <v>1.4347222222222222</v>
      </c>
      <c r="Q38" s="24">
        <f t="array" ref="Q38">IF(Q$1="","",INDEX('Raw data'!$W$4:$W$267,MATCH("14 days"&amp;'Wide data'!$A$1&amp;'Wide data'!$A38,'Raw data'!$K$4:$K$267&amp;'Raw data'!$L$2&amp;'Raw data'!$L$4:$L$267,0)))</f>
        <v>1.1472480343102216</v>
      </c>
      <c r="R38" s="24">
        <f t="array" ref="R38">IF(R$1="","",INDEX('Raw data'!$W$4:$W$267,MATCH("23 days"&amp;'Wide data'!$A$1&amp;'Wide data'!$A38,'Raw data'!$K$4:$K$267&amp;'Raw data'!$L$2&amp;'Raw data'!$L$4:$L$267,0)))</f>
        <v>1.3223816355810614</v>
      </c>
      <c r="S38" s="24">
        <f t="array" ref="S38">IF(S$1="","",INDEX('Raw data'!$W$4:$W$267,MATCH("32 days"&amp;'Wide data'!$A$1&amp;'Wide data'!$A38,'Raw data'!$K$4:$K$267&amp;'Raw data'!$L$2&amp;'Raw data'!$L$4:$L$267,0)))</f>
        <v>1.7479395604395604</v>
      </c>
      <c r="T38" s="24">
        <f t="array" ref="T38">IF(T$1="","",INDEX('Raw data'!$W$4:$W$267,MATCH("39 days"&amp;'Wide data'!$A$1&amp;'Wide data'!$A38,'Raw data'!$K$4:$K$267&amp;'Raw data'!$L$2&amp;'Raw data'!$L$4:$L$267,0)))</f>
        <v>1.7594248761695108</v>
      </c>
      <c r="U38" s="418">
        <f t="array" ref="U38">IF(E$1="","",INDEX('Raw data'!$AN$4:$AN$267,MATCH("Starter"&amp;'Wide data'!$A$1&amp;'Wide data'!$A38,'Raw data'!$AI$4:$AI$267&amp;'Raw data'!$AJ$2&amp;'Raw data'!$AJ$4:$AJ$267,0)))</f>
        <v>0.34975000000000001</v>
      </c>
      <c r="V38" s="418">
        <f t="array" ref="V38">IF(G$1="","",INDEX('Raw data'!$AN$4:$AN$267,MATCH("Grower"&amp;'Wide data'!$A$1&amp;'Wide data'!$A38,'Raw data'!$AI$4:$AI$267&amp;'Raw data'!$AJ$2&amp;'Raw data'!$AJ$4:$AJ$267,0)))</f>
        <v>1.485135135135135</v>
      </c>
      <c r="W38" s="418">
        <f t="array" ref="W38">IF(H$1="","",INDEX('Raw data'!$AN$4:$AN$267,MATCH("Finisher"&amp;'Wide data'!$A$1&amp;'Wide data'!$A38,'Raw data'!$AI$4:$AI$267&amp;'Raw data'!$AJ$2&amp;'Raw data'!$AJ$4:$AJ$267,0)))</f>
        <v>2.2624999999999997</v>
      </c>
      <c r="X38" s="418">
        <f t="array" ref="X38">IF(H$1="","",INDEX('Raw data'!$AP$4:$AP$267,MATCH("Starter"&amp;'Wide data'!$A$1&amp;'Wide data'!$A38,'Raw data'!$AI$4:$AI$267&amp;'Raw data'!$AJ$2&amp;'Raw data'!$AJ$4:$AJ$267,0)))</f>
        <v>0.30422500000000002</v>
      </c>
      <c r="Y38" s="418">
        <f t="array" ref="Y38">IF(J$1="","",INDEX('Raw data'!$AP$4:$AP$267,MATCH("Grower"&amp;'Wide data'!$A$1&amp;'Wide data'!$A38,'Raw data'!$AI$4:$AI$267&amp;'Raw data'!$AJ$2&amp;'Raw data'!$AJ$4:$AJ$267,0)))</f>
        <v>1.1353851351351349</v>
      </c>
      <c r="Z38" s="418">
        <f t="array" ref="Z38">IF(K$1="","",INDEX('Raw data'!$AP$4:$AP$267,MATCH("Finisher"&amp;'Wide data'!$A$1&amp;'Wide data'!$A38,'Raw data'!$AI$4:$AI$267&amp;'Raw data'!$AJ$2&amp;'Raw data'!$AJ$4:$AJ$267,0)))</f>
        <v>0.77736486486486478</v>
      </c>
      <c r="AA38" s="418">
        <f t="array" ref="AA38">IF(K$1="","",INDEX('Raw data'!$AR$4:$AR$267,MATCH("Starter"&amp;'Wide data'!$A$1&amp;'Wide data'!$A38,'Raw data'!$AI$4:$AI$267&amp;'Raw data'!$AJ$2&amp;'Raw data'!$AJ$4:$AJ$267,0)))</f>
        <v>0.40125</v>
      </c>
      <c r="AB38" s="418">
        <f t="array" ref="AB38">IF(M$1="","",INDEX('Raw data'!$AR$4:$AR$267,MATCH("Grower"&amp;'Wide data'!$A$1&amp;'Wide data'!$A38,'Raw data'!$AI$4:$AI$267&amp;'Raw data'!$AJ$2&amp;'Raw data'!$AJ$4:$AJ$267,0)))</f>
        <v>2.2759390159390156</v>
      </c>
      <c r="AC38" s="418">
        <f t="array" ref="AC38">IF(N$1="","",INDEX('Raw data'!$AR$4:$AR$267,MATCH("Finisher"&amp;'Wide data'!$A$1&amp;'Wide data'!$A38,'Raw data'!$AI$4:$AI$267&amp;'Raw data'!$AJ$2&amp;'Raw data'!$AJ$4:$AJ$267,0)))</f>
        <v>1.4347222222222222</v>
      </c>
      <c r="AD38" s="418">
        <f t="array" ref="AD38">IF(N$1="","",INDEX('Raw data'!$AS$4:$AS$267,MATCH("Starter"&amp;'Wide data'!$A$1&amp;'Wide data'!$A38,'Raw data'!$AI$4:$AI$267&amp;'Raw data'!$AJ$2&amp;'Raw data'!$AJ$4:$AJ$267,0)))</f>
        <v>1.1472480343102216</v>
      </c>
      <c r="AE38" s="418">
        <f t="array" ref="AE38">IF(P$1="","",INDEX('Raw data'!$AS$4:$AS$267,MATCH("Grower"&amp;'Wide data'!$A$1&amp;'Wide data'!$A38,'Raw data'!$AI$4:$AI$267&amp;'Raw data'!$AJ$2&amp;'Raw data'!$AJ$4:$AJ$267,0)))</f>
        <v>1.8498080843126403</v>
      </c>
      <c r="AF38" s="418">
        <f t="array" ref="AF38">IF(Q$1="","",INDEX('Raw data'!$AS$4:$AS$267,MATCH("Finisher"&amp;'Wide data'!$A$1&amp;'Wide data'!$A38,'Raw data'!$AI$4:$AI$267&amp;'Raw data'!$AJ$2&amp;'Raw data'!$AJ$4:$AJ$267,0)))</f>
        <v>1.6956032587382064</v>
      </c>
    </row>
    <row r="39" spans="1:32" x14ac:dyDescent="0.25">
      <c r="A39" s="24">
        <f>'Raw data'!L41</f>
        <v>38</v>
      </c>
      <c r="B39" s="24" t="str">
        <f>INDEX('Raw data'!$B$4:$B$69, 'Wide data'!A39)</f>
        <v>T6</v>
      </c>
      <c r="C39" s="24" t="str">
        <f>INDEX('Raw data'!$C$4:$C$69, 'Wide data'!A39)</f>
        <v>R6</v>
      </c>
      <c r="D39" s="24">
        <f t="array" ref="D39">INDEX('Raw data'!$F$4:$F$69,MATCH($A$1&amp;'Wide data'!$A39,'Raw data'!$A$3&amp;'Raw data'!$A$4:$A$69,0))</f>
        <v>4.5475000000000002E-2</v>
      </c>
      <c r="E39" s="24">
        <f t="array" ref="E39">IF(E$1="","",INDEX('Raw data'!$Q$4:$Q$267,MATCH("14 days"&amp;'Wide data'!$A$1&amp;'Wide data'!$A39,'Raw data'!$K$4:$K$267&amp;'Raw data'!$L$2&amp;'Raw data'!$L$4:$L$267,0)))</f>
        <v>0.33100000000000002</v>
      </c>
      <c r="F39" s="24">
        <f t="array" ref="F39">IF(F$1="","",INDEX('Raw data'!$Q$4:$Q$267,MATCH("23 days"&amp;'Wide data'!$A$1&amp;'Wide data'!$A39,'Raw data'!$K$4:$K$267&amp;'Raw data'!$L$2&amp;'Raw data'!$L$4:$L$267,0)))</f>
        <v>0.98076923076923073</v>
      </c>
      <c r="G39" s="24">
        <f t="array" ref="G39">IF(G$1="","",INDEX('Raw data'!$Q$4:$Q$267,MATCH("32 days"&amp;'Wide data'!$A$1&amp;'Wide data'!$A39,'Raw data'!$K$4:$K$267&amp;'Raw data'!$L$2&amp;'Raw data'!$L$4:$L$267,0)))</f>
        <v>1.4526315789473683</v>
      </c>
      <c r="H39" s="24">
        <f t="array" ref="H39">IF(H$1="","",INDEX('Raw data'!$Q$4:$Q$267,MATCH("39 days"&amp;'Wide data'!$A$1&amp;'Wide data'!$A39,'Raw data'!$K$4:$K$267&amp;'Raw data'!$L$2&amp;'Raw data'!$L$4:$L$267,0)))</f>
        <v>2.3432432432432435</v>
      </c>
      <c r="I39" s="24">
        <f t="array" ref="I39">IF(I$1="","",INDEX('Raw data'!$S$4:$S$267,MATCH("14 days"&amp;'Wide data'!$A$1&amp;'Wide data'!$A39,'Raw data'!$K$4:$K$267&amp;'Raw data'!$L$2&amp;'Raw data'!$L$4:$L$267,0)))</f>
        <v>0.28552500000000003</v>
      </c>
      <c r="J39" s="24">
        <f t="array" ref="J39">IF(J$1="","",INDEX('Raw data'!$S$4:$S$267,MATCH("23 days"&amp;'Wide data'!$A$1&amp;'Wide data'!$A39,'Raw data'!$K$4:$K$267&amp;'Raw data'!$L$2&amp;'Raw data'!$L$4:$L$267,0)))</f>
        <v>0.64976923076923065</v>
      </c>
      <c r="K39" s="24">
        <f t="array" ref="K39">IF(K$1="","",INDEX('Raw data'!$S$4:$S$267,MATCH("32 days"&amp;'Wide data'!$A$1&amp;'Wide data'!$A39,'Raw data'!$K$4:$K$267&amp;'Raw data'!$L$2&amp;'Raw data'!$L$4:$L$267,0)))</f>
        <v>0.47186234817813755</v>
      </c>
      <c r="L39" s="24">
        <f t="array" ref="L39">IF(L$1="","",INDEX('Raw data'!$S$4:$S$267,MATCH("39 days"&amp;'Wide data'!$A$1&amp;'Wide data'!$A39,'Raw data'!$K$4:$K$267&amp;'Raw data'!$L$2&amp;'Raw data'!$L$4:$L$267,0)))</f>
        <v>0.89061166429587524</v>
      </c>
      <c r="M39" s="24">
        <f t="array" ref="M39">IF(M$1="","",INDEX('Raw data'!$V$4:$V$267,MATCH("14 days"&amp;'Wide data'!$A$1&amp;'Wide data'!$A39,'Raw data'!$K$4:$K$267&amp;'Raw data'!$L$2&amp;'Raw data'!$L$4:$L$267,0)))</f>
        <v>0.37</v>
      </c>
      <c r="N39" s="24">
        <f t="array" ref="N39">IF(N$1="","",INDEX('Raw data'!$V$4:$V$267,MATCH("23 days"&amp;'Wide data'!$A$1&amp;'Wide data'!$A39,'Raw data'!$K$4:$K$267&amp;'Raw data'!$L$2&amp;'Raw data'!$L$4:$L$267,0)))</f>
        <v>0.8355128205128205</v>
      </c>
      <c r="O39" s="24">
        <f t="array" ref="O39">IF(O$1="","",INDEX('Raw data'!$V$4:$V$267,MATCH("32 days"&amp;'Wide data'!$A$1&amp;'Wide data'!$A39,'Raw data'!$K$4:$K$267&amp;'Raw data'!$L$2&amp;'Raw data'!$L$4:$L$267,0)))</f>
        <v>1.3753947368421053</v>
      </c>
      <c r="P39" s="24">
        <f t="array" ref="P39">IF(P$1="","",INDEX('Raw data'!$V$4:$V$267,MATCH("39 days"&amp;'Wide data'!$A$1&amp;'Wide data'!$A39,'Raw data'!$K$4:$K$267&amp;'Raw data'!$L$2&amp;'Raw data'!$L$4:$L$267,0)))</f>
        <v>1.4513513513513514</v>
      </c>
      <c r="Q39" s="24">
        <f t="array" ref="Q39">IF(Q$1="","",INDEX('Raw data'!$W$4:$W$267,MATCH("14 days"&amp;'Wide data'!$A$1&amp;'Wide data'!$A39,'Raw data'!$K$4:$K$267&amp;'Raw data'!$L$2&amp;'Raw data'!$L$4:$L$267,0)))</f>
        <v>1.1178247734138971</v>
      </c>
      <c r="R39" s="24">
        <f t="array" ref="R39">IF(R$1="","",INDEX('Raw data'!$W$4:$W$267,MATCH("23 days"&amp;'Wide data'!$A$1&amp;'Wide data'!$A39,'Raw data'!$K$4:$K$267&amp;'Raw data'!$L$2&amp;'Raw data'!$L$4:$L$267,0)))</f>
        <v>1.2212628865979382</v>
      </c>
      <c r="S39" s="24">
        <f t="array" ref="S39">IF(S$1="","",INDEX('Raw data'!$W$4:$W$267,MATCH("32 days"&amp;'Wide data'!$A$1&amp;'Wide data'!$A39,'Raw data'!$K$4:$K$267&amp;'Raw data'!$L$2&amp;'Raw data'!$L$4:$L$267,0)))</f>
        <v>1.760600706713781</v>
      </c>
      <c r="T39" s="24">
        <f t="array" ref="T39">IF(T$1="","",INDEX('Raw data'!$W$4:$W$267,MATCH("39 days"&amp;'Wide data'!$A$1&amp;'Wide data'!$A39,'Raw data'!$K$4:$K$267&amp;'Raw data'!$L$2&amp;'Raw data'!$L$4:$L$267,0)))</f>
        <v>1.6882259041118515</v>
      </c>
      <c r="U39" s="418">
        <f t="array" ref="U39">IF(E$1="","",INDEX('Raw data'!$AN$4:$AN$267,MATCH("Starter"&amp;'Wide data'!$A$1&amp;'Wide data'!$A39,'Raw data'!$AI$4:$AI$267&amp;'Raw data'!$AJ$2&amp;'Raw data'!$AJ$4:$AJ$267,0)))</f>
        <v>0.33100000000000002</v>
      </c>
      <c r="V39" s="418">
        <f t="array" ref="V39">IF(G$1="","",INDEX('Raw data'!$AN$4:$AN$267,MATCH("Grower"&amp;'Wide data'!$A$1&amp;'Wide data'!$A39,'Raw data'!$AI$4:$AI$267&amp;'Raw data'!$AJ$2&amp;'Raw data'!$AJ$4:$AJ$267,0)))</f>
        <v>1.4526315789473683</v>
      </c>
      <c r="W39" s="418">
        <f t="array" ref="W39">IF(H$1="","",INDEX('Raw data'!$AN$4:$AN$267,MATCH("Finisher"&amp;'Wide data'!$A$1&amp;'Wide data'!$A39,'Raw data'!$AI$4:$AI$267&amp;'Raw data'!$AJ$2&amp;'Raw data'!$AJ$4:$AJ$267,0)))</f>
        <v>2.3432432432432435</v>
      </c>
      <c r="X39" s="418">
        <f t="array" ref="X39">IF(H$1="","",INDEX('Raw data'!$AP$4:$AP$267,MATCH("Starter"&amp;'Wide data'!$A$1&amp;'Wide data'!$A39,'Raw data'!$AI$4:$AI$267&amp;'Raw data'!$AJ$2&amp;'Raw data'!$AJ$4:$AJ$267,0)))</f>
        <v>0.28552500000000003</v>
      </c>
      <c r="Y39" s="418">
        <f t="array" ref="Y39">IF(J$1="","",INDEX('Raw data'!$AP$4:$AP$267,MATCH("Grower"&amp;'Wide data'!$A$1&amp;'Wide data'!$A39,'Raw data'!$AI$4:$AI$267&amp;'Raw data'!$AJ$2&amp;'Raw data'!$AJ$4:$AJ$267,0)))</f>
        <v>1.1216315789473681</v>
      </c>
      <c r="Z39" s="418">
        <f t="array" ref="Z39">IF(K$1="","",INDEX('Raw data'!$AP$4:$AP$267,MATCH("Finisher"&amp;'Wide data'!$A$1&amp;'Wide data'!$A39,'Raw data'!$AI$4:$AI$267&amp;'Raw data'!$AJ$2&amp;'Raw data'!$AJ$4:$AJ$267,0)))</f>
        <v>0.89061166429587524</v>
      </c>
      <c r="AA39" s="418">
        <f t="array" ref="AA39">IF(K$1="","",INDEX('Raw data'!$AR$4:$AR$267,MATCH("Starter"&amp;'Wide data'!$A$1&amp;'Wide data'!$A39,'Raw data'!$AI$4:$AI$267&amp;'Raw data'!$AJ$2&amp;'Raw data'!$AJ$4:$AJ$267,0)))</f>
        <v>0.37</v>
      </c>
      <c r="AB39" s="418">
        <f t="array" ref="AB39">IF(M$1="","",INDEX('Raw data'!$AR$4:$AR$267,MATCH("Grower"&amp;'Wide data'!$A$1&amp;'Wide data'!$A39,'Raw data'!$AI$4:$AI$267&amp;'Raw data'!$AJ$2&amp;'Raw data'!$AJ$4:$AJ$267,0)))</f>
        <v>2.2109075573549259</v>
      </c>
      <c r="AC39" s="418">
        <f t="array" ref="AC39">IF(N$1="","",INDEX('Raw data'!$AR$4:$AR$267,MATCH("Finisher"&amp;'Wide data'!$A$1&amp;'Wide data'!$A39,'Raw data'!$AI$4:$AI$267&amp;'Raw data'!$AJ$2&amp;'Raw data'!$AJ$4:$AJ$267,0)))</f>
        <v>1.4513513513513514</v>
      </c>
      <c r="AD39" s="418">
        <f t="array" ref="AD39">IF(N$1="","",INDEX('Raw data'!$AS$4:$AS$267,MATCH("Starter"&amp;'Wide data'!$A$1&amp;'Wide data'!$A39,'Raw data'!$AI$4:$AI$267&amp;'Raw data'!$AJ$2&amp;'Raw data'!$AJ$4:$AJ$267,0)))</f>
        <v>1.1178247734138971</v>
      </c>
      <c r="AE39" s="418">
        <f t="array" ref="AE39">IF(P$1="","",INDEX('Raw data'!$AS$4:$AS$267,MATCH("Grower"&amp;'Wide data'!$A$1&amp;'Wide data'!$A39,'Raw data'!$AI$4:$AI$267&amp;'Raw data'!$AJ$2&amp;'Raw data'!$AJ$4:$AJ$267,0)))</f>
        <v>1.8994098837159248</v>
      </c>
      <c r="AF39" s="418">
        <f t="array" ref="AF39">IF(Q$1="","",INDEX('Raw data'!$AS$4:$AS$267,MATCH("Finisher"&amp;'Wide data'!$A$1&amp;'Wide data'!$A39,'Raw data'!$AI$4:$AI$267&amp;'Raw data'!$AJ$2&amp;'Raw data'!$AJ$4:$AJ$267,0)))</f>
        <v>1.5047229985325885</v>
      </c>
    </row>
    <row r="40" spans="1:32" x14ac:dyDescent="0.25">
      <c r="A40" s="24">
        <f>'Raw data'!L42</f>
        <v>39</v>
      </c>
      <c r="B40" s="24" t="str">
        <f>INDEX('Raw data'!$B$4:$B$69, 'Wide data'!A40)</f>
        <v>T4</v>
      </c>
      <c r="C40" s="24" t="str">
        <f>INDEX('Raw data'!$C$4:$C$69, 'Wide data'!A40)</f>
        <v>R6</v>
      </c>
      <c r="D40" s="24">
        <f t="array" ref="D40">INDEX('Raw data'!$F$4:$F$69,MATCH($A$1&amp;'Wide data'!$A40,'Raw data'!$A$3&amp;'Raw data'!$A$4:$A$69,0))</f>
        <v>4.5499999999999999E-2</v>
      </c>
      <c r="E40" s="24">
        <f t="array" ref="E40">IF(E$1="","",INDEX('Raw data'!$Q$4:$Q$267,MATCH("14 days"&amp;'Wide data'!$A$1&amp;'Wide data'!$A40,'Raw data'!$K$4:$K$267&amp;'Raw data'!$L$2&amp;'Raw data'!$L$4:$L$267,0)))</f>
        <v>0.3563157894736842</v>
      </c>
      <c r="F40" s="24">
        <f t="array" ref="F40">IF(F$1="","",INDEX('Raw data'!$Q$4:$Q$267,MATCH("23 days"&amp;'Wide data'!$A$1&amp;'Wide data'!$A40,'Raw data'!$K$4:$K$267&amp;'Raw data'!$L$2&amp;'Raw data'!$L$4:$L$267,0)))</f>
        <v>0.99078947368421066</v>
      </c>
      <c r="G40" s="24">
        <f t="array" ref="G40">IF(G$1="","",INDEX('Raw data'!$Q$4:$Q$267,MATCH("32 days"&amp;'Wide data'!$A$1&amp;'Wide data'!$A40,'Raw data'!$K$4:$K$267&amp;'Raw data'!$L$2&amp;'Raw data'!$L$4:$L$267,0)))</f>
        <v>1.4513513513513514</v>
      </c>
      <c r="H40" s="24">
        <f t="array" ref="H40">IF(H$1="","",INDEX('Raw data'!$Q$4:$Q$267,MATCH("39 days"&amp;'Wide data'!$A$1&amp;'Wide data'!$A40,'Raw data'!$K$4:$K$267&amp;'Raw data'!$L$2&amp;'Raw data'!$L$4:$L$267,0)))</f>
        <v>2.2905405405405403</v>
      </c>
      <c r="I40" s="24">
        <f t="array" ref="I40">IF(I$1="","",INDEX('Raw data'!$S$4:$S$267,MATCH("14 days"&amp;'Wide data'!$A$1&amp;'Wide data'!$A40,'Raw data'!$K$4:$K$267&amp;'Raw data'!$L$2&amp;'Raw data'!$L$4:$L$267,0)))</f>
        <v>0.31081578947368421</v>
      </c>
      <c r="J40" s="24">
        <f t="array" ref="J40">IF(J$1="","",INDEX('Raw data'!$S$4:$S$267,MATCH("23 days"&amp;'Wide data'!$A$1&amp;'Wide data'!$A40,'Raw data'!$K$4:$K$267&amp;'Raw data'!$L$2&amp;'Raw data'!$L$4:$L$267,0)))</f>
        <v>0.63447368421052652</v>
      </c>
      <c r="K40" s="24">
        <f t="array" ref="K40">IF(K$1="","",INDEX('Raw data'!$S$4:$S$267,MATCH("32 days"&amp;'Wide data'!$A$1&amp;'Wide data'!$A40,'Raw data'!$K$4:$K$267&amp;'Raw data'!$L$2&amp;'Raw data'!$L$4:$L$267,0)))</f>
        <v>0.46056187766714074</v>
      </c>
      <c r="L40" s="24">
        <f t="array" ref="L40">IF(L$1="","",INDEX('Raw data'!$S$4:$S$267,MATCH("39 days"&amp;'Wide data'!$A$1&amp;'Wide data'!$A40,'Raw data'!$K$4:$K$267&amp;'Raw data'!$L$2&amp;'Raw data'!$L$4:$L$267,0)))</f>
        <v>0.83918918918918894</v>
      </c>
      <c r="M40" s="24">
        <f t="array" ref="M40">IF(M$1="","",INDEX('Raw data'!$V$4:$V$267,MATCH("14 days"&amp;'Wide data'!$A$1&amp;'Wide data'!$A40,'Raw data'!$K$4:$K$267&amp;'Raw data'!$L$2&amp;'Raw data'!$L$4:$L$267,0)))</f>
        <v>0.41315789473684211</v>
      </c>
      <c r="N40" s="24">
        <f t="array" ref="N40">IF(N$1="","",INDEX('Raw data'!$V$4:$V$267,MATCH("23 days"&amp;'Wide data'!$A$1&amp;'Wide data'!$A40,'Raw data'!$K$4:$K$267&amp;'Raw data'!$L$2&amp;'Raw data'!$L$4:$L$267,0)))</f>
        <v>0.85223684210526307</v>
      </c>
      <c r="O40" s="24">
        <f t="array" ref="O40">IF(O$1="","",INDEX('Raw data'!$V$4:$V$267,MATCH("32 days"&amp;'Wide data'!$A$1&amp;'Wide data'!$A40,'Raw data'!$K$4:$K$267&amp;'Raw data'!$L$2&amp;'Raw data'!$L$4:$L$267,0)))</f>
        <v>1.4868918918918919</v>
      </c>
      <c r="P40" s="24">
        <f t="array" ref="P40">IF(P$1="","",INDEX('Raw data'!$V$4:$V$267,MATCH("39 days"&amp;'Wide data'!$A$1&amp;'Wide data'!$A40,'Raw data'!$K$4:$K$267&amp;'Raw data'!$L$2&amp;'Raw data'!$L$4:$L$267,0)))</f>
        <v>1.4054054054054055</v>
      </c>
      <c r="Q40" s="24">
        <f t="array" ref="Q40">IF(Q$1="","",INDEX('Raw data'!$W$4:$W$267,MATCH("14 days"&amp;'Wide data'!$A$1&amp;'Wide data'!$A40,'Raw data'!$K$4:$K$267&amp;'Raw data'!$L$2&amp;'Raw data'!$L$4:$L$267,0)))</f>
        <v>1.1345570169099581</v>
      </c>
      <c r="R40" s="24">
        <f t="array" ref="R40">IF(R$1="","",INDEX('Raw data'!$W$4:$W$267,MATCH("23 days"&amp;'Wide data'!$A$1&amp;'Wide data'!$A40,'Raw data'!$K$4:$K$267&amp;'Raw data'!$L$2&amp;'Raw data'!$L$4:$L$267,0)))</f>
        <v>1.2671287024349105</v>
      </c>
      <c r="S40" s="24">
        <f t="array" ref="S40">IF(S$1="","",INDEX('Raw data'!$W$4:$W$267,MATCH("32 days"&amp;'Wide data'!$A$1&amp;'Wide data'!$A40,'Raw data'!$K$4:$K$267&amp;'Raw data'!$L$2&amp;'Raw data'!$L$4:$L$267,0)))</f>
        <v>1.8705323124931965</v>
      </c>
      <c r="T40" s="24">
        <f t="array" ref="T40">IF(T$1="","",INDEX('Raw data'!$W$4:$W$267,MATCH("39 days"&amp;'Wide data'!$A$1&amp;'Wide data'!$A40,'Raw data'!$K$4:$K$267&amp;'Raw data'!$L$2&amp;'Raw data'!$L$4:$L$267,0)))</f>
        <v>1.7999721474329216</v>
      </c>
      <c r="U40" s="418">
        <f t="array" ref="U40">IF(E$1="","",INDEX('Raw data'!$AN$4:$AN$267,MATCH("Starter"&amp;'Wide data'!$A$1&amp;'Wide data'!$A40,'Raw data'!$AI$4:$AI$267&amp;'Raw data'!$AJ$2&amp;'Raw data'!$AJ$4:$AJ$267,0)))</f>
        <v>0.3563157894736842</v>
      </c>
      <c r="V40" s="418">
        <f t="array" ref="V40">IF(G$1="","",INDEX('Raw data'!$AN$4:$AN$267,MATCH("Grower"&amp;'Wide data'!$A$1&amp;'Wide data'!$A40,'Raw data'!$AI$4:$AI$267&amp;'Raw data'!$AJ$2&amp;'Raw data'!$AJ$4:$AJ$267,0)))</f>
        <v>1.4513513513513514</v>
      </c>
      <c r="W40" s="418">
        <f t="array" ref="W40">IF(H$1="","",INDEX('Raw data'!$AN$4:$AN$267,MATCH("Finisher"&amp;'Wide data'!$A$1&amp;'Wide data'!$A40,'Raw data'!$AI$4:$AI$267&amp;'Raw data'!$AJ$2&amp;'Raw data'!$AJ$4:$AJ$267,0)))</f>
        <v>2.2905405405405403</v>
      </c>
      <c r="X40" s="418">
        <f t="array" ref="X40">IF(H$1="","",INDEX('Raw data'!$AP$4:$AP$267,MATCH("Starter"&amp;'Wide data'!$A$1&amp;'Wide data'!$A40,'Raw data'!$AI$4:$AI$267&amp;'Raw data'!$AJ$2&amp;'Raw data'!$AJ$4:$AJ$267,0)))</f>
        <v>0.31081578947368421</v>
      </c>
      <c r="Y40" s="418">
        <f t="array" ref="Y40">IF(J$1="","",INDEX('Raw data'!$AP$4:$AP$267,MATCH("Grower"&amp;'Wide data'!$A$1&amp;'Wide data'!$A40,'Raw data'!$AI$4:$AI$267&amp;'Raw data'!$AJ$2&amp;'Raw data'!$AJ$4:$AJ$267,0)))</f>
        <v>1.0950355618776673</v>
      </c>
      <c r="Z40" s="418">
        <f t="array" ref="Z40">IF(K$1="","",INDEX('Raw data'!$AP$4:$AP$267,MATCH("Finisher"&amp;'Wide data'!$A$1&amp;'Wide data'!$A40,'Raw data'!$AI$4:$AI$267&amp;'Raw data'!$AJ$2&amp;'Raw data'!$AJ$4:$AJ$267,0)))</f>
        <v>0.83918918918918894</v>
      </c>
      <c r="AA40" s="418">
        <f t="array" ref="AA40">IF(K$1="","",INDEX('Raw data'!$AR$4:$AR$267,MATCH("Starter"&amp;'Wide data'!$A$1&amp;'Wide data'!$A40,'Raw data'!$AI$4:$AI$267&amp;'Raw data'!$AJ$2&amp;'Raw data'!$AJ$4:$AJ$267,0)))</f>
        <v>0.41315789473684211</v>
      </c>
      <c r="AB40" s="418">
        <f t="array" ref="AB40">IF(M$1="","",INDEX('Raw data'!$AR$4:$AR$267,MATCH("Grower"&amp;'Wide data'!$A$1&amp;'Wide data'!$A40,'Raw data'!$AI$4:$AI$267&amp;'Raw data'!$AJ$2&amp;'Raw data'!$AJ$4:$AJ$267,0)))</f>
        <v>2.3391287339971552</v>
      </c>
      <c r="AC40" s="418">
        <f t="array" ref="AC40">IF(N$1="","",INDEX('Raw data'!$AR$4:$AR$267,MATCH("Finisher"&amp;'Wide data'!$A$1&amp;'Wide data'!$A40,'Raw data'!$AI$4:$AI$267&amp;'Raw data'!$AJ$2&amp;'Raw data'!$AJ$4:$AJ$267,0)))</f>
        <v>1.4054054054054055</v>
      </c>
      <c r="AD40" s="418">
        <f t="array" ref="AD40">IF(N$1="","",INDEX('Raw data'!$AS$4:$AS$267,MATCH("Starter"&amp;'Wide data'!$A$1&amp;'Wide data'!$A40,'Raw data'!$AI$4:$AI$267&amp;'Raw data'!$AJ$2&amp;'Raw data'!$AJ$4:$AJ$267,0)))</f>
        <v>1.1345570169099581</v>
      </c>
      <c r="AE40" s="418">
        <f t="array" ref="AE40">IF(P$1="","",INDEX('Raw data'!$AS$4:$AS$267,MATCH("Grower"&amp;'Wide data'!$A$1&amp;'Wide data'!$A40,'Raw data'!$AI$4:$AI$267&amp;'Raw data'!$AJ$2&amp;'Raw data'!$AJ$4:$AJ$267,0)))</f>
        <v>2.0676216623399264</v>
      </c>
      <c r="AF40" s="418">
        <f t="array" ref="AF40">IF(Q$1="","",INDEX('Raw data'!$AS$4:$AS$267,MATCH("Finisher"&amp;'Wide data'!$A$1&amp;'Wide data'!$A40,'Raw data'!$AI$4:$AI$267&amp;'Raw data'!$AJ$2&amp;'Raw data'!$AJ$4:$AJ$267,0)))</f>
        <v>1.6747181964573274</v>
      </c>
    </row>
    <row r="41" spans="1:32" x14ac:dyDescent="0.25">
      <c r="A41" s="24">
        <f>'Raw data'!L43</f>
        <v>40</v>
      </c>
      <c r="B41" s="24" t="str">
        <f>INDEX('Raw data'!$B$4:$B$69, 'Wide data'!A41)</f>
        <v>T3</v>
      </c>
      <c r="C41" s="24" t="str">
        <f>INDEX('Raw data'!$C$4:$C$69, 'Wide data'!A41)</f>
        <v>R6</v>
      </c>
      <c r="D41" s="24">
        <f t="array" ref="D41">INDEX('Raw data'!$F$4:$F$69,MATCH($A$1&amp;'Wide data'!$A41,'Raw data'!$A$3&amp;'Raw data'!$A$4:$A$69,0))</f>
        <v>4.5624999999999999E-2</v>
      </c>
      <c r="E41" s="24">
        <f t="array" ref="E41">IF(E$1="","",INDEX('Raw data'!$Q$4:$Q$267,MATCH("14 days"&amp;'Wide data'!$A$1&amp;'Wide data'!$A41,'Raw data'!$K$4:$K$267&amp;'Raw data'!$L$2&amp;'Raw data'!$L$4:$L$267,0)))</f>
        <v>0.34475</v>
      </c>
      <c r="F41" s="24">
        <f t="array" ref="F41">IF(F$1="","",INDEX('Raw data'!$Q$4:$Q$267,MATCH("23 days"&amp;'Wide data'!$A$1&amp;'Wide data'!$A41,'Raw data'!$K$4:$K$267&amp;'Raw data'!$L$2&amp;'Raw data'!$L$4:$L$267,0)))</f>
        <v>0.95500000000000007</v>
      </c>
      <c r="G41" s="24">
        <f t="array" ref="G41">IF(G$1="","",INDEX('Raw data'!$Q$4:$Q$267,MATCH("32 days"&amp;'Wide data'!$A$1&amp;'Wide data'!$A41,'Raw data'!$K$4:$K$267&amp;'Raw data'!$L$2&amp;'Raw data'!$L$4:$L$267,0)))</f>
        <v>1.44875</v>
      </c>
      <c r="H41" s="24">
        <f t="array" ref="H41">IF(H$1="","",INDEX('Raw data'!$Q$4:$Q$267,MATCH("39 days"&amp;'Wide data'!$A$1&amp;'Wide data'!$A41,'Raw data'!$K$4:$K$267&amp;'Raw data'!$L$2&amp;'Raw data'!$L$4:$L$267,0)))</f>
        <v>2.3137500000000002</v>
      </c>
      <c r="I41" s="24">
        <f t="array" ref="I41">IF(I$1="","",INDEX('Raw data'!$S$4:$S$267,MATCH("14 days"&amp;'Wide data'!$A$1&amp;'Wide data'!$A41,'Raw data'!$K$4:$K$267&amp;'Raw data'!$L$2&amp;'Raw data'!$L$4:$L$267,0)))</f>
        <v>0.29912499999999997</v>
      </c>
      <c r="J41" s="24">
        <f t="array" ref="J41">IF(J$1="","",INDEX('Raw data'!$S$4:$S$267,MATCH("23 days"&amp;'Wide data'!$A$1&amp;'Wide data'!$A41,'Raw data'!$K$4:$K$267&amp;'Raw data'!$L$2&amp;'Raw data'!$L$4:$L$267,0)))</f>
        <v>0.61025000000000007</v>
      </c>
      <c r="K41" s="24">
        <f t="array" ref="K41">IF(K$1="","",INDEX('Raw data'!$S$4:$S$267,MATCH("32 days"&amp;'Wide data'!$A$1&amp;'Wide data'!$A41,'Raw data'!$K$4:$K$267&amp;'Raw data'!$L$2&amp;'Raw data'!$L$4:$L$267,0)))</f>
        <v>0.49374999999999991</v>
      </c>
      <c r="L41" s="24">
        <f t="array" ref="L41">IF(L$1="","",INDEX('Raw data'!$S$4:$S$267,MATCH("39 days"&amp;'Wide data'!$A$1&amp;'Wide data'!$A41,'Raw data'!$K$4:$K$267&amp;'Raw data'!$L$2&amp;'Raw data'!$L$4:$L$267,0)))</f>
        <v>0.86500000000000021</v>
      </c>
      <c r="M41" s="24">
        <f t="array" ref="M41">IF(M$1="","",INDEX('Raw data'!$V$4:$V$267,MATCH("14 days"&amp;'Wide data'!$A$1&amp;'Wide data'!$A41,'Raw data'!$K$4:$K$267&amp;'Raw data'!$L$2&amp;'Raw data'!$L$4:$L$267,0)))</f>
        <v>0.39</v>
      </c>
      <c r="N41" s="24">
        <f t="array" ref="N41">IF(N$1="","",INDEX('Raw data'!$V$4:$V$267,MATCH("23 days"&amp;'Wide data'!$A$1&amp;'Wide data'!$A41,'Raw data'!$K$4:$K$267&amp;'Raw data'!$L$2&amp;'Raw data'!$L$4:$L$267,0)))</f>
        <v>0.82212499999999999</v>
      </c>
      <c r="O41" s="24">
        <f t="array" ref="O41">IF(O$1="","",INDEX('Raw data'!$V$4:$V$267,MATCH("32 days"&amp;'Wide data'!$A$1&amp;'Wide data'!$A41,'Raw data'!$K$4:$K$267&amp;'Raw data'!$L$2&amp;'Raw data'!$L$4:$L$267,0)))</f>
        <v>1.364125</v>
      </c>
      <c r="P41" s="24">
        <f t="array" ref="P41">IF(P$1="","",INDEX('Raw data'!$V$4:$V$267,MATCH("39 days"&amp;'Wide data'!$A$1&amp;'Wide data'!$A41,'Raw data'!$K$4:$K$267&amp;'Raw data'!$L$2&amp;'Raw data'!$L$4:$L$267,0)))</f>
        <v>1.4112500000000001</v>
      </c>
      <c r="Q41" s="24">
        <f t="array" ref="Q41">IF(Q$1="","",INDEX('Raw data'!$W$4:$W$267,MATCH("14 days"&amp;'Wide data'!$A$1&amp;'Wide data'!$A41,'Raw data'!$K$4:$K$267&amp;'Raw data'!$L$2&amp;'Raw data'!$L$4:$L$267,0)))</f>
        <v>1.1312545322697609</v>
      </c>
      <c r="R41" s="24">
        <f t="array" ref="R41">IF(R$1="","",INDEX('Raw data'!$W$4:$W$267,MATCH("23 days"&amp;'Wide data'!$A$1&amp;'Wide data'!$A41,'Raw data'!$K$4:$K$267&amp;'Raw data'!$L$2&amp;'Raw data'!$L$4:$L$267,0)))</f>
        <v>1.2692408376963349</v>
      </c>
      <c r="S41" s="24">
        <f t="array" ref="S41">IF(S$1="","",INDEX('Raw data'!$W$4:$W$267,MATCH("32 days"&amp;'Wide data'!$A$1&amp;'Wide data'!$A41,'Raw data'!$K$4:$K$267&amp;'Raw data'!$L$2&amp;'Raw data'!$L$4:$L$267,0)))</f>
        <v>1.7782571182053493</v>
      </c>
      <c r="T41" s="24">
        <f t="array" ref="T41">IF(T$1="","",INDEX('Raw data'!$W$4:$W$267,MATCH("39 days"&amp;'Wide data'!$A$1&amp;'Wide data'!$A41,'Raw data'!$K$4:$K$267&amp;'Raw data'!$L$2&amp;'Raw data'!$L$4:$L$267,0)))</f>
        <v>1.723392760669908</v>
      </c>
      <c r="U41" s="418">
        <f t="array" ref="U41">IF(E$1="","",INDEX('Raw data'!$AN$4:$AN$267,MATCH("Starter"&amp;'Wide data'!$A$1&amp;'Wide data'!$A41,'Raw data'!$AI$4:$AI$267&amp;'Raw data'!$AJ$2&amp;'Raw data'!$AJ$4:$AJ$267,0)))</f>
        <v>0.34475</v>
      </c>
      <c r="V41" s="418">
        <f t="array" ref="V41">IF(G$1="","",INDEX('Raw data'!$AN$4:$AN$267,MATCH("Grower"&amp;'Wide data'!$A$1&amp;'Wide data'!$A41,'Raw data'!$AI$4:$AI$267&amp;'Raw data'!$AJ$2&amp;'Raw data'!$AJ$4:$AJ$267,0)))</f>
        <v>1.44875</v>
      </c>
      <c r="W41" s="418">
        <f t="array" ref="W41">IF(H$1="","",INDEX('Raw data'!$AN$4:$AN$267,MATCH("Finisher"&amp;'Wide data'!$A$1&amp;'Wide data'!$A41,'Raw data'!$AI$4:$AI$267&amp;'Raw data'!$AJ$2&amp;'Raw data'!$AJ$4:$AJ$267,0)))</f>
        <v>2.3137500000000002</v>
      </c>
      <c r="X41" s="418">
        <f t="array" ref="X41">IF(H$1="","",INDEX('Raw data'!$AP$4:$AP$267,MATCH("Starter"&amp;'Wide data'!$A$1&amp;'Wide data'!$A41,'Raw data'!$AI$4:$AI$267&amp;'Raw data'!$AJ$2&amp;'Raw data'!$AJ$4:$AJ$267,0)))</f>
        <v>0.29912499999999997</v>
      </c>
      <c r="Y41" s="418">
        <f t="array" ref="Y41">IF(J$1="","",INDEX('Raw data'!$AP$4:$AP$267,MATCH("Grower"&amp;'Wide data'!$A$1&amp;'Wide data'!$A41,'Raw data'!$AI$4:$AI$267&amp;'Raw data'!$AJ$2&amp;'Raw data'!$AJ$4:$AJ$267,0)))</f>
        <v>1.1040000000000001</v>
      </c>
      <c r="Z41" s="418">
        <f t="array" ref="Z41">IF(K$1="","",INDEX('Raw data'!$AP$4:$AP$267,MATCH("Finisher"&amp;'Wide data'!$A$1&amp;'Wide data'!$A41,'Raw data'!$AI$4:$AI$267&amp;'Raw data'!$AJ$2&amp;'Raw data'!$AJ$4:$AJ$267,0)))</f>
        <v>0.86500000000000021</v>
      </c>
      <c r="AA41" s="418">
        <f t="array" ref="AA41">IF(K$1="","",INDEX('Raw data'!$AR$4:$AR$267,MATCH("Starter"&amp;'Wide data'!$A$1&amp;'Wide data'!$A41,'Raw data'!$AI$4:$AI$267&amp;'Raw data'!$AJ$2&amp;'Raw data'!$AJ$4:$AJ$267,0)))</f>
        <v>0.39</v>
      </c>
      <c r="AB41" s="418">
        <f t="array" ref="AB41">IF(M$1="","",INDEX('Raw data'!$AR$4:$AR$267,MATCH("Grower"&amp;'Wide data'!$A$1&amp;'Wide data'!$A41,'Raw data'!$AI$4:$AI$267&amp;'Raw data'!$AJ$2&amp;'Raw data'!$AJ$4:$AJ$267,0)))</f>
        <v>2.1862500000000002</v>
      </c>
      <c r="AC41" s="418">
        <f t="array" ref="AC41">IF(N$1="","",INDEX('Raw data'!$AR$4:$AR$267,MATCH("Finisher"&amp;'Wide data'!$A$1&amp;'Wide data'!$A41,'Raw data'!$AI$4:$AI$267&amp;'Raw data'!$AJ$2&amp;'Raw data'!$AJ$4:$AJ$267,0)))</f>
        <v>1.4112500000000001</v>
      </c>
      <c r="AD41" s="418">
        <f t="array" ref="AD41">IF(N$1="","",INDEX('Raw data'!$AS$4:$AS$267,MATCH("Starter"&amp;'Wide data'!$A$1&amp;'Wide data'!$A41,'Raw data'!$AI$4:$AI$267&amp;'Raw data'!$AJ$2&amp;'Raw data'!$AJ$4:$AJ$267,0)))</f>
        <v>1.1312545322697609</v>
      </c>
      <c r="AE41" s="418">
        <f t="array" ref="AE41">IF(P$1="","",INDEX('Raw data'!$AS$4:$AS$267,MATCH("Grower"&amp;'Wide data'!$A$1&amp;'Wide data'!$A41,'Raw data'!$AI$4:$AI$267&amp;'Raw data'!$AJ$2&amp;'Raw data'!$AJ$4:$AJ$267,0)))</f>
        <v>1.980298913043478</v>
      </c>
      <c r="AF41" s="418">
        <f t="array" ref="AF41">IF(Q$1="","",INDEX('Raw data'!$AS$4:$AS$267,MATCH("Finisher"&amp;'Wide data'!$A$1&amp;'Wide data'!$A41,'Raw data'!$AI$4:$AI$267&amp;'Raw data'!$AJ$2&amp;'Raw data'!$AJ$4:$AJ$267,0)))</f>
        <v>1.6315028901734101</v>
      </c>
    </row>
    <row r="42" spans="1:32" x14ac:dyDescent="0.25">
      <c r="A42" s="24">
        <f>'Raw data'!L44</f>
        <v>41</v>
      </c>
      <c r="B42" s="24" t="str">
        <f>INDEX('Raw data'!$B$4:$B$69, 'Wide data'!A42)</f>
        <v>T1</v>
      </c>
      <c r="C42" s="24" t="str">
        <f>INDEX('Raw data'!$C$4:$C$69, 'Wide data'!A42)</f>
        <v>R6</v>
      </c>
      <c r="D42" s="24">
        <f t="array" ref="D42">INDEX('Raw data'!$F$4:$F$69,MATCH($A$1&amp;'Wide data'!$A42,'Raw data'!$A$3&amp;'Raw data'!$A$4:$A$69,0))</f>
        <v>4.5499999999999999E-2</v>
      </c>
      <c r="E42" s="24">
        <f t="array" ref="E42">IF(E$1="","",INDEX('Raw data'!$Q$4:$Q$267,MATCH("14 days"&amp;'Wide data'!$A$1&amp;'Wide data'!$A42,'Raw data'!$K$4:$K$267&amp;'Raw data'!$L$2&amp;'Raw data'!$L$4:$L$267,0)))</f>
        <v>0.36225000000000002</v>
      </c>
      <c r="F42" s="24">
        <f t="array" ref="F42">IF(F$1="","",INDEX('Raw data'!$Q$4:$Q$267,MATCH("23 days"&amp;'Wide data'!$A$1&amp;'Wide data'!$A42,'Raw data'!$K$4:$K$267&amp;'Raw data'!$L$2&amp;'Raw data'!$L$4:$L$267,0)))</f>
        <v>0.98625000000000007</v>
      </c>
      <c r="G42" s="24">
        <f t="array" ref="G42">IF(G$1="","",INDEX('Raw data'!$Q$4:$Q$267,MATCH("32 days"&amp;'Wide data'!$A$1&amp;'Wide data'!$A42,'Raw data'!$K$4:$K$267&amp;'Raw data'!$L$2&amp;'Raw data'!$L$4:$L$267,0)))</f>
        <v>1.5076923076923077</v>
      </c>
      <c r="H42" s="24">
        <f t="array" ref="H42">IF(H$1="","",INDEX('Raw data'!$Q$4:$Q$267,MATCH("39 days"&amp;'Wide data'!$A$1&amp;'Wide data'!$A42,'Raw data'!$K$4:$K$267&amp;'Raw data'!$L$2&amp;'Raw data'!$L$4:$L$267,0)))</f>
        <v>2.2974358974358973</v>
      </c>
      <c r="I42" s="24">
        <f t="array" ref="I42">IF(I$1="","",INDEX('Raw data'!$S$4:$S$267,MATCH("14 days"&amp;'Wide data'!$A$1&amp;'Wide data'!$A42,'Raw data'!$K$4:$K$267&amp;'Raw data'!$L$2&amp;'Raw data'!$L$4:$L$267,0)))</f>
        <v>0.31675000000000003</v>
      </c>
      <c r="J42" s="24">
        <f t="array" ref="J42">IF(J$1="","",INDEX('Raw data'!$S$4:$S$267,MATCH("23 days"&amp;'Wide data'!$A$1&amp;'Wide data'!$A42,'Raw data'!$K$4:$K$267&amp;'Raw data'!$L$2&amp;'Raw data'!$L$4:$L$267,0)))</f>
        <v>0.62400000000000011</v>
      </c>
      <c r="K42" s="24">
        <f t="array" ref="K42">IF(K$1="","",INDEX('Raw data'!$S$4:$S$267,MATCH("32 days"&amp;'Wide data'!$A$1&amp;'Wide data'!$A42,'Raw data'!$K$4:$K$267&amp;'Raw data'!$L$2&amp;'Raw data'!$L$4:$L$267,0)))</f>
        <v>0.52144230769230759</v>
      </c>
      <c r="L42" s="24">
        <f t="array" ref="L42">IF(L$1="","",INDEX('Raw data'!$S$4:$S$267,MATCH("39 days"&amp;'Wide data'!$A$1&amp;'Wide data'!$A42,'Raw data'!$K$4:$K$267&amp;'Raw data'!$L$2&amp;'Raw data'!$L$4:$L$267,0)))</f>
        <v>0.7897435897435896</v>
      </c>
      <c r="M42" s="24">
        <f t="array" ref="M42">IF(M$1="","",INDEX('Raw data'!$V$4:$V$267,MATCH("14 days"&amp;'Wide data'!$A$1&amp;'Wide data'!$A42,'Raw data'!$K$4:$K$267&amp;'Raw data'!$L$2&amp;'Raw data'!$L$4:$L$267,0)))</f>
        <v>0.41125</v>
      </c>
      <c r="N42" s="24">
        <f t="array" ref="N42">IF(N$1="","",INDEX('Raw data'!$V$4:$V$267,MATCH("23 days"&amp;'Wide data'!$A$1&amp;'Wide data'!$A42,'Raw data'!$K$4:$K$267&amp;'Raw data'!$L$2&amp;'Raw data'!$L$4:$L$267,0)))</f>
        <v>0.84462499999999996</v>
      </c>
      <c r="O42" s="24">
        <f t="array" ref="O42">IF(O$1="","",INDEX('Raw data'!$V$4:$V$267,MATCH("32 days"&amp;'Wide data'!$A$1&amp;'Wide data'!$A42,'Raw data'!$K$4:$K$267&amp;'Raw data'!$L$2&amp;'Raw data'!$L$4:$L$267,0)))</f>
        <v>1.4157692307692309</v>
      </c>
      <c r="P42" s="24">
        <f t="array" ref="P42">IF(P$1="","",INDEX('Raw data'!$V$4:$V$267,MATCH("39 days"&amp;'Wide data'!$A$1&amp;'Wide data'!$A42,'Raw data'!$K$4:$K$267&amp;'Raw data'!$L$2&amp;'Raw data'!$L$4:$L$267,0)))</f>
        <v>1.3717948717948718</v>
      </c>
      <c r="Q42" s="24">
        <f t="array" ref="Q42">IF(Q$1="","",INDEX('Raw data'!$W$4:$W$267,MATCH("14 days"&amp;'Wide data'!$A$1&amp;'Wide data'!$A42,'Raw data'!$K$4:$K$267&amp;'Raw data'!$L$2&amp;'Raw data'!$L$4:$L$267,0)))</f>
        <v>1.1352657004830917</v>
      </c>
      <c r="R42" s="24">
        <f t="array" ref="R42">IF(R$1="","",INDEX('Raw data'!$W$4:$W$267,MATCH("23 days"&amp;'Wide data'!$A$1&amp;'Wide data'!$A42,'Raw data'!$K$4:$K$267&amp;'Raw data'!$L$2&amp;'Raw data'!$L$4:$L$267,0)))</f>
        <v>1.2733840304182509</v>
      </c>
      <c r="S42" s="24">
        <f t="array" ref="S42">IF(S$1="","",INDEX('Raw data'!$W$4:$W$267,MATCH("32 days"&amp;'Wide data'!$A$1&amp;'Wide data'!$A42,'Raw data'!$K$4:$K$267&amp;'Raw data'!$L$2&amp;'Raw data'!$L$4:$L$267,0)))</f>
        <v>1.7648535564853558</v>
      </c>
      <c r="T42" s="24">
        <f t="array" ref="T42">IF(T$1="","",INDEX('Raw data'!$W$4:$W$267,MATCH("39 days"&amp;'Wide data'!$A$1&amp;'Wide data'!$A42,'Raw data'!$K$4:$K$267&amp;'Raw data'!$L$2&amp;'Raw data'!$L$4:$L$267,0)))</f>
        <v>1.7553837658752069</v>
      </c>
      <c r="U42" s="418">
        <f t="array" ref="U42">IF(E$1="","",INDEX('Raw data'!$AN$4:$AN$267,MATCH("Starter"&amp;'Wide data'!$A$1&amp;'Wide data'!$A42,'Raw data'!$AI$4:$AI$267&amp;'Raw data'!$AJ$2&amp;'Raw data'!$AJ$4:$AJ$267,0)))</f>
        <v>0.36225000000000002</v>
      </c>
      <c r="V42" s="418">
        <f t="array" ref="V42">IF(G$1="","",INDEX('Raw data'!$AN$4:$AN$267,MATCH("Grower"&amp;'Wide data'!$A$1&amp;'Wide data'!$A42,'Raw data'!$AI$4:$AI$267&amp;'Raw data'!$AJ$2&amp;'Raw data'!$AJ$4:$AJ$267,0)))</f>
        <v>1.5076923076923077</v>
      </c>
      <c r="W42" s="418">
        <f t="array" ref="W42">IF(H$1="","",INDEX('Raw data'!$AN$4:$AN$267,MATCH("Finisher"&amp;'Wide data'!$A$1&amp;'Wide data'!$A42,'Raw data'!$AI$4:$AI$267&amp;'Raw data'!$AJ$2&amp;'Raw data'!$AJ$4:$AJ$267,0)))</f>
        <v>2.2974358974358973</v>
      </c>
      <c r="X42" s="418">
        <f t="array" ref="X42">IF(H$1="","",INDEX('Raw data'!$AP$4:$AP$267,MATCH("Starter"&amp;'Wide data'!$A$1&amp;'Wide data'!$A42,'Raw data'!$AI$4:$AI$267&amp;'Raw data'!$AJ$2&amp;'Raw data'!$AJ$4:$AJ$267,0)))</f>
        <v>0.31675000000000003</v>
      </c>
      <c r="Y42" s="418">
        <f t="array" ref="Y42">IF(J$1="","",INDEX('Raw data'!$AP$4:$AP$267,MATCH("Grower"&amp;'Wide data'!$A$1&amp;'Wide data'!$A42,'Raw data'!$AI$4:$AI$267&amp;'Raw data'!$AJ$2&amp;'Raw data'!$AJ$4:$AJ$267,0)))</f>
        <v>1.1454423076923077</v>
      </c>
      <c r="Z42" s="418">
        <f t="array" ref="Z42">IF(K$1="","",INDEX('Raw data'!$AP$4:$AP$267,MATCH("Finisher"&amp;'Wide data'!$A$1&amp;'Wide data'!$A42,'Raw data'!$AI$4:$AI$267&amp;'Raw data'!$AJ$2&amp;'Raw data'!$AJ$4:$AJ$267,0)))</f>
        <v>0.7897435897435896</v>
      </c>
      <c r="AA42" s="418">
        <f t="array" ref="AA42">IF(K$1="","",INDEX('Raw data'!$AR$4:$AR$267,MATCH("Starter"&amp;'Wide data'!$A$1&amp;'Wide data'!$A42,'Raw data'!$AI$4:$AI$267&amp;'Raw data'!$AJ$2&amp;'Raw data'!$AJ$4:$AJ$267,0)))</f>
        <v>0.41125</v>
      </c>
      <c r="AB42" s="418">
        <f t="array" ref="AB42">IF(M$1="","",INDEX('Raw data'!$AR$4:$AR$267,MATCH("Grower"&amp;'Wide data'!$A$1&amp;'Wide data'!$A42,'Raw data'!$AI$4:$AI$267&amp;'Raw data'!$AJ$2&amp;'Raw data'!$AJ$4:$AJ$267,0)))</f>
        <v>2.2603942307692311</v>
      </c>
      <c r="AC42" s="418">
        <f t="array" ref="AC42">IF(N$1="","",INDEX('Raw data'!$AR$4:$AR$267,MATCH("Finisher"&amp;'Wide data'!$A$1&amp;'Wide data'!$A42,'Raw data'!$AI$4:$AI$267&amp;'Raw data'!$AJ$2&amp;'Raw data'!$AJ$4:$AJ$267,0)))</f>
        <v>1.3717948717948718</v>
      </c>
      <c r="AD42" s="418">
        <f t="array" ref="AD42">IF(N$1="","",INDEX('Raw data'!$AS$4:$AS$267,MATCH("Starter"&amp;'Wide data'!$A$1&amp;'Wide data'!$A42,'Raw data'!$AI$4:$AI$267&amp;'Raw data'!$AJ$2&amp;'Raw data'!$AJ$4:$AJ$267,0)))</f>
        <v>1.1352657004830917</v>
      </c>
      <c r="AE42" s="418">
        <f t="array" ref="AE42">IF(P$1="","",INDEX('Raw data'!$AS$4:$AS$267,MATCH("Grower"&amp;'Wide data'!$A$1&amp;'Wide data'!$A42,'Raw data'!$AI$4:$AI$267&amp;'Raw data'!$AJ$2&amp;'Raw data'!$AJ$4:$AJ$267,0)))</f>
        <v>1.9244803632726977</v>
      </c>
      <c r="AF42" s="418">
        <f t="array" ref="AF42">IF(Q$1="","",INDEX('Raw data'!$AS$4:$AS$267,MATCH("Finisher"&amp;'Wide data'!$A$1&amp;'Wide data'!$A42,'Raw data'!$AI$4:$AI$267&amp;'Raw data'!$AJ$2&amp;'Raw data'!$AJ$4:$AJ$267,0)))</f>
        <v>1.7370129870129873</v>
      </c>
    </row>
    <row r="43" spans="1:32" x14ac:dyDescent="0.25">
      <c r="A43" s="24">
        <f>'Raw data'!L45</f>
        <v>42</v>
      </c>
      <c r="B43" s="24" t="str">
        <f>INDEX('Raw data'!$B$4:$B$69, 'Wide data'!A43)</f>
        <v>T5</v>
      </c>
      <c r="C43" s="24" t="str">
        <f>INDEX('Raw data'!$C$4:$C$69, 'Wide data'!A43)</f>
        <v>R6</v>
      </c>
      <c r="D43" s="24">
        <f t="array" ref="D43">INDEX('Raw data'!$F$4:$F$69,MATCH($A$1&amp;'Wide data'!$A43,'Raw data'!$A$3&amp;'Raw data'!$A$4:$A$69,0))</f>
        <v>4.5400000000000003E-2</v>
      </c>
      <c r="E43" s="24">
        <f t="array" ref="E43">IF(E$1="","",INDEX('Raw data'!$Q$4:$Q$267,MATCH("14 days"&amp;'Wide data'!$A$1&amp;'Wide data'!$A43,'Raw data'!$K$4:$K$267&amp;'Raw data'!$L$2&amp;'Raw data'!$L$4:$L$267,0)))</f>
        <v>0.36256410256410254</v>
      </c>
      <c r="F43" s="24">
        <f t="array" ref="F43">IF(F$1="","",INDEX('Raw data'!$Q$4:$Q$267,MATCH("23 days"&amp;'Wide data'!$A$1&amp;'Wide data'!$A43,'Raw data'!$K$4:$K$267&amp;'Raw data'!$L$2&amp;'Raw data'!$L$4:$L$267,0)))</f>
        <v>0.96794871794871795</v>
      </c>
      <c r="G43" s="24">
        <f t="array" ref="G43">IF(G$1="","",INDEX('Raw data'!$Q$4:$Q$267,MATCH("32 days"&amp;'Wide data'!$A$1&amp;'Wide data'!$A43,'Raw data'!$K$4:$K$267&amp;'Raw data'!$L$2&amp;'Raw data'!$L$4:$L$267,0)))</f>
        <v>1.4717948717948717</v>
      </c>
      <c r="H43" s="24">
        <f t="array" ref="H43">IF(H$1="","",INDEX('Raw data'!$Q$4:$Q$267,MATCH("39 days"&amp;'Wide data'!$A$1&amp;'Wide data'!$A43,'Raw data'!$K$4:$K$267&amp;'Raw data'!$L$2&amp;'Raw data'!$L$4:$L$267,0)))</f>
        <v>2.2448717948717949</v>
      </c>
      <c r="I43" s="24">
        <f t="array" ref="I43">IF(I$1="","",INDEX('Raw data'!$S$4:$S$267,MATCH("14 days"&amp;'Wide data'!$A$1&amp;'Wide data'!$A43,'Raw data'!$K$4:$K$267&amp;'Raw data'!$L$2&amp;'Raw data'!$L$4:$L$267,0)))</f>
        <v>0.31716410256410255</v>
      </c>
      <c r="J43" s="24">
        <f t="array" ref="J43">IF(J$1="","",INDEX('Raw data'!$S$4:$S$267,MATCH("23 days"&amp;'Wide data'!$A$1&amp;'Wide data'!$A43,'Raw data'!$K$4:$K$267&amp;'Raw data'!$L$2&amp;'Raw data'!$L$4:$L$267,0)))</f>
        <v>0.60538461538461541</v>
      </c>
      <c r="K43" s="24">
        <f t="array" ref="K43">IF(K$1="","",INDEX('Raw data'!$S$4:$S$267,MATCH("32 days"&amp;'Wide data'!$A$1&amp;'Wide data'!$A43,'Raw data'!$K$4:$K$267&amp;'Raw data'!$L$2&amp;'Raw data'!$L$4:$L$267,0)))</f>
        <v>0.50384615384615372</v>
      </c>
      <c r="L43" s="24">
        <f t="array" ref="L43">IF(L$1="","",INDEX('Raw data'!$S$4:$S$267,MATCH("39 days"&amp;'Wide data'!$A$1&amp;'Wide data'!$A43,'Raw data'!$K$4:$K$267&amp;'Raw data'!$L$2&amp;'Raw data'!$L$4:$L$267,0)))</f>
        <v>0.77307692307692322</v>
      </c>
      <c r="M43" s="24">
        <f t="array" ref="M43">IF(M$1="","",INDEX('Raw data'!$V$4:$V$267,MATCH("14 days"&amp;'Wide data'!$A$1&amp;'Wide data'!$A43,'Raw data'!$K$4:$K$267&amp;'Raw data'!$L$2&amp;'Raw data'!$L$4:$L$267,0)))</f>
        <v>0.38589743589743591</v>
      </c>
      <c r="N43" s="24">
        <f t="array" ref="N43">IF(N$1="","",INDEX('Raw data'!$V$4:$V$267,MATCH("23 days"&amp;'Wide data'!$A$1&amp;'Wide data'!$A43,'Raw data'!$K$4:$K$267&amp;'Raw data'!$L$2&amp;'Raw data'!$L$4:$L$267,0)))</f>
        <v>0.83166666666666678</v>
      </c>
      <c r="O43" s="24">
        <f t="array" ref="O43">IF(O$1="","",INDEX('Raw data'!$V$4:$V$267,MATCH("32 days"&amp;'Wide data'!$A$1&amp;'Wide data'!$A43,'Raw data'!$K$4:$K$267&amp;'Raw data'!$L$2&amp;'Raw data'!$L$4:$L$267,0)))</f>
        <v>1.3952564102564102</v>
      </c>
      <c r="P43" s="24">
        <f t="array" ref="P43">IF(P$1="","",INDEX('Raw data'!$V$4:$V$267,MATCH("39 days"&amp;'Wide data'!$A$1&amp;'Wide data'!$A43,'Raw data'!$K$4:$K$267&amp;'Raw data'!$L$2&amp;'Raw data'!$L$4:$L$267,0)))</f>
        <v>1.3371794871794871</v>
      </c>
      <c r="Q43" s="24">
        <f t="array" ref="Q43">IF(Q$1="","",INDEX('Raw data'!$W$4:$W$267,MATCH("14 days"&amp;'Wide data'!$A$1&amp;'Wide data'!$A43,'Raw data'!$K$4:$K$267&amp;'Raw data'!$L$2&amp;'Raw data'!$L$4:$L$267,0)))</f>
        <v>1.0592623873873876</v>
      </c>
      <c r="R43" s="24">
        <f t="array" ref="R43">IF(R$1="","",INDEX('Raw data'!$W$4:$W$267,MATCH("23 days"&amp;'Wide data'!$A$1&amp;'Wide data'!$A43,'Raw data'!$K$4:$K$267&amp;'Raw data'!$L$2&amp;'Raw data'!$L$4:$L$267,0)))</f>
        <v>1.2556190173991222</v>
      </c>
      <c r="S43" s="24">
        <f t="array" ref="S43">IF(S$1="","",INDEX('Raw data'!$W$4:$W$267,MATCH("32 days"&amp;'Wide data'!$A$1&amp;'Wide data'!$A43,'Raw data'!$K$4:$K$267&amp;'Raw data'!$L$2&amp;'Raw data'!$L$4:$L$267,0)))</f>
        <v>1.773160715528642</v>
      </c>
      <c r="T43" s="24">
        <f t="array" ref="T43">IF(T$1="","",INDEX('Raw data'!$W$4:$W$267,MATCH("39 days"&amp;'Wide data'!$A$1&amp;'Wide data'!$A43,'Raw data'!$K$4:$K$267&amp;'Raw data'!$L$2&amp;'Raw data'!$L$4:$L$267,0)))</f>
        <v>1.7582003697870303</v>
      </c>
      <c r="U43" s="418">
        <f t="array" ref="U43">IF(E$1="","",INDEX('Raw data'!$AN$4:$AN$267,MATCH("Starter"&amp;'Wide data'!$A$1&amp;'Wide data'!$A43,'Raw data'!$AI$4:$AI$267&amp;'Raw data'!$AJ$2&amp;'Raw data'!$AJ$4:$AJ$267,0)))</f>
        <v>0.36256410256410254</v>
      </c>
      <c r="V43" s="418">
        <f t="array" ref="V43">IF(G$1="","",INDEX('Raw data'!$AN$4:$AN$267,MATCH("Grower"&amp;'Wide data'!$A$1&amp;'Wide data'!$A43,'Raw data'!$AI$4:$AI$267&amp;'Raw data'!$AJ$2&amp;'Raw data'!$AJ$4:$AJ$267,0)))</f>
        <v>1.4717948717948717</v>
      </c>
      <c r="W43" s="418">
        <f t="array" ref="W43">IF(H$1="","",INDEX('Raw data'!$AN$4:$AN$267,MATCH("Finisher"&amp;'Wide data'!$A$1&amp;'Wide data'!$A43,'Raw data'!$AI$4:$AI$267&amp;'Raw data'!$AJ$2&amp;'Raw data'!$AJ$4:$AJ$267,0)))</f>
        <v>2.2448717948717949</v>
      </c>
      <c r="X43" s="418">
        <f t="array" ref="X43">IF(H$1="","",INDEX('Raw data'!$AP$4:$AP$267,MATCH("Starter"&amp;'Wide data'!$A$1&amp;'Wide data'!$A43,'Raw data'!$AI$4:$AI$267&amp;'Raw data'!$AJ$2&amp;'Raw data'!$AJ$4:$AJ$267,0)))</f>
        <v>0.31716410256410255</v>
      </c>
      <c r="Y43" s="418">
        <f t="array" ref="Y43">IF(J$1="","",INDEX('Raw data'!$AP$4:$AP$267,MATCH("Grower"&amp;'Wide data'!$A$1&amp;'Wide data'!$A43,'Raw data'!$AI$4:$AI$267&amp;'Raw data'!$AJ$2&amp;'Raw data'!$AJ$4:$AJ$267,0)))</f>
        <v>1.109230769230769</v>
      </c>
      <c r="Z43" s="418">
        <f t="array" ref="Z43">IF(K$1="","",INDEX('Raw data'!$AP$4:$AP$267,MATCH("Finisher"&amp;'Wide data'!$A$1&amp;'Wide data'!$A43,'Raw data'!$AI$4:$AI$267&amp;'Raw data'!$AJ$2&amp;'Raw data'!$AJ$4:$AJ$267,0)))</f>
        <v>0.77307692307692322</v>
      </c>
      <c r="AA43" s="418">
        <f t="array" ref="AA43">IF(K$1="","",INDEX('Raw data'!$AR$4:$AR$267,MATCH("Starter"&amp;'Wide data'!$A$1&amp;'Wide data'!$A43,'Raw data'!$AI$4:$AI$267&amp;'Raw data'!$AJ$2&amp;'Raw data'!$AJ$4:$AJ$267,0)))</f>
        <v>0.38589743589743591</v>
      </c>
      <c r="AB43" s="418">
        <f t="array" ref="AB43">IF(M$1="","",INDEX('Raw data'!$AR$4:$AR$267,MATCH("Grower"&amp;'Wide data'!$A$1&amp;'Wide data'!$A43,'Raw data'!$AI$4:$AI$267&amp;'Raw data'!$AJ$2&amp;'Raw data'!$AJ$4:$AJ$267,0)))</f>
        <v>2.226923076923077</v>
      </c>
      <c r="AC43" s="418">
        <f t="array" ref="AC43">IF(N$1="","",INDEX('Raw data'!$AR$4:$AR$267,MATCH("Finisher"&amp;'Wide data'!$A$1&amp;'Wide data'!$A43,'Raw data'!$AI$4:$AI$267&amp;'Raw data'!$AJ$2&amp;'Raw data'!$AJ$4:$AJ$267,0)))</f>
        <v>1.3371794871794871</v>
      </c>
      <c r="AD43" s="418">
        <f t="array" ref="AD43">IF(N$1="","",INDEX('Raw data'!$AS$4:$AS$267,MATCH("Starter"&amp;'Wide data'!$A$1&amp;'Wide data'!$A43,'Raw data'!$AI$4:$AI$267&amp;'Raw data'!$AJ$2&amp;'Raw data'!$AJ$4:$AJ$267,0)))</f>
        <v>1.0592623873873876</v>
      </c>
      <c r="AE43" s="418">
        <f t="array" ref="AE43">IF(P$1="","",INDEX('Raw data'!$AS$4:$AS$267,MATCH("Grower"&amp;'Wide data'!$A$1&amp;'Wide data'!$A43,'Raw data'!$AI$4:$AI$267&amp;'Raw data'!$AJ$2&amp;'Raw data'!$AJ$4:$AJ$267,0)))</f>
        <v>2.0076282940360612</v>
      </c>
      <c r="AF43" s="418">
        <f t="array" ref="AF43">IF(Q$1="","",INDEX('Raw data'!$AS$4:$AS$267,MATCH("Finisher"&amp;'Wide data'!$A$1&amp;'Wide data'!$A43,'Raw data'!$AI$4:$AI$267&amp;'Raw data'!$AJ$2&amp;'Raw data'!$AJ$4:$AJ$267,0)))</f>
        <v>1.729684908789386</v>
      </c>
    </row>
    <row r="44" spans="1:32" x14ac:dyDescent="0.25">
      <c r="A44" s="24">
        <f>'Raw data'!L46</f>
        <v>43</v>
      </c>
      <c r="B44" s="24" t="str">
        <f>INDEX('Raw data'!$B$4:$B$69, 'Wide data'!A44)</f>
        <v>T6</v>
      </c>
      <c r="C44" s="24" t="str">
        <f>INDEX('Raw data'!$C$4:$C$69, 'Wide data'!A44)</f>
        <v>R11</v>
      </c>
      <c r="D44" s="24">
        <f t="array" ref="D44">INDEX('Raw data'!$F$4:$F$69,MATCH($A$1&amp;'Wide data'!$A44,'Raw data'!$A$3&amp;'Raw data'!$A$4:$A$69,0))</f>
        <v>4.5900000000000003E-2</v>
      </c>
      <c r="E44" s="24">
        <f t="array" ref="E44">IF(E$1="","",INDEX('Raw data'!$Q$4:$Q$267,MATCH("14 days"&amp;'Wide data'!$A$1&amp;'Wide data'!$A44,'Raw data'!$K$4:$K$267&amp;'Raw data'!$L$2&amp;'Raw data'!$L$4:$L$267,0)))</f>
        <v>0.36026315789473684</v>
      </c>
      <c r="F44" s="24">
        <f t="array" ref="F44">IF(F$1="","",INDEX('Raw data'!$Q$4:$Q$267,MATCH("23 days"&amp;'Wide data'!$A$1&amp;'Wide data'!$A44,'Raw data'!$K$4:$K$267&amp;'Raw data'!$L$2&amp;'Raw data'!$L$4:$L$267,0)))</f>
        <v>0.97499999999999998</v>
      </c>
      <c r="G44" s="24">
        <f t="array" ref="G44">IF(G$1="","",INDEX('Raw data'!$Q$4:$Q$267,MATCH("32 days"&amp;'Wide data'!$A$1&amp;'Wide data'!$A44,'Raw data'!$K$4:$K$267&amp;'Raw data'!$L$2&amp;'Raw data'!$L$4:$L$267,0)))</f>
        <v>1.5013513513513512</v>
      </c>
      <c r="H44" s="24">
        <f t="array" ref="H44">IF(H$1="","",INDEX('Raw data'!$Q$4:$Q$267,MATCH("39 days"&amp;'Wide data'!$A$1&amp;'Wide data'!$A44,'Raw data'!$K$4:$K$267&amp;'Raw data'!$L$2&amp;'Raw data'!$L$4:$L$267,0)))</f>
        <v>2.3256756756756758</v>
      </c>
      <c r="I44" s="24">
        <f t="array" ref="I44">IF(I$1="","",INDEX('Raw data'!$S$4:$S$267,MATCH("14 days"&amp;'Wide data'!$A$1&amp;'Wide data'!$A44,'Raw data'!$K$4:$K$267&amp;'Raw data'!$L$2&amp;'Raw data'!$L$4:$L$267,0)))</f>
        <v>0.31436315789473684</v>
      </c>
      <c r="J44" s="24">
        <f t="array" ref="J44">IF(J$1="","",INDEX('Raw data'!$S$4:$S$267,MATCH("23 days"&amp;'Wide data'!$A$1&amp;'Wide data'!$A44,'Raw data'!$K$4:$K$267&amp;'Raw data'!$L$2&amp;'Raw data'!$L$4:$L$267,0)))</f>
        <v>0.61473684210526314</v>
      </c>
      <c r="K44" s="24">
        <f t="array" ref="K44">IF(K$1="","",INDEX('Raw data'!$S$4:$S$267,MATCH("32 days"&amp;'Wide data'!$A$1&amp;'Wide data'!$A44,'Raw data'!$K$4:$K$267&amp;'Raw data'!$L$2&amp;'Raw data'!$L$4:$L$267,0)))</f>
        <v>0.52635135135135125</v>
      </c>
      <c r="L44" s="24">
        <f t="array" ref="L44">IF(L$1="","",INDEX('Raw data'!$S$4:$S$267,MATCH("39 days"&amp;'Wide data'!$A$1&amp;'Wide data'!$A44,'Raw data'!$K$4:$K$267&amp;'Raw data'!$L$2&amp;'Raw data'!$L$4:$L$267,0)))</f>
        <v>0.82432432432432456</v>
      </c>
      <c r="M44" s="24">
        <f t="array" ref="M44">IF(M$1="","",INDEX('Raw data'!$V$4:$V$267,MATCH("14 days"&amp;'Wide data'!$A$1&amp;'Wide data'!$A44,'Raw data'!$K$4:$K$267&amp;'Raw data'!$L$2&amp;'Raw data'!$L$4:$L$267,0)))</f>
        <v>0.41447368421052627</v>
      </c>
      <c r="N44" s="24">
        <f t="array" ref="N44">IF(N$1="","",INDEX('Raw data'!$V$4:$V$267,MATCH("23 days"&amp;'Wide data'!$A$1&amp;'Wide data'!$A44,'Raw data'!$K$4:$K$267&amp;'Raw data'!$L$2&amp;'Raw data'!$L$4:$L$267,0)))</f>
        <v>0.84434210526315778</v>
      </c>
      <c r="O44" s="24">
        <f t="array" ref="O44">IF(O$1="","",INDEX('Raw data'!$V$4:$V$267,MATCH("32 days"&amp;'Wide data'!$A$1&amp;'Wide data'!$A44,'Raw data'!$K$4:$K$267&amp;'Raw data'!$L$2&amp;'Raw data'!$L$4:$L$267,0)))</f>
        <v>1.4341891891891894</v>
      </c>
      <c r="P44" s="24">
        <f t="array" ref="P44">IF(P$1="","",INDEX('Raw data'!$V$4:$V$267,MATCH("39 days"&amp;'Wide data'!$A$1&amp;'Wide data'!$A44,'Raw data'!$K$4:$K$267&amp;'Raw data'!$L$2&amp;'Raw data'!$L$4:$L$267,0)))</f>
        <v>1.3972972972972972</v>
      </c>
      <c r="Q44" s="24">
        <f t="array" ref="Q44">IF(Q$1="","",INDEX('Raw data'!$W$4:$W$267,MATCH("14 days"&amp;'Wide data'!$A$1&amp;'Wide data'!$A44,'Raw data'!$K$4:$K$267&amp;'Raw data'!$L$2&amp;'Raw data'!$L$4:$L$267,0)))</f>
        <v>1.1364456309979074</v>
      </c>
      <c r="R44" s="24">
        <f t="array" ref="R44">IF(R$1="","",INDEX('Raw data'!$W$4:$W$267,MATCH("23 days"&amp;'Wide data'!$A$1&amp;'Wide data'!$A44,'Raw data'!$K$4:$K$267&amp;'Raw data'!$L$2&amp;'Raw data'!$L$4:$L$267,0)))</f>
        <v>1.2852306617587792</v>
      </c>
      <c r="S44" s="24">
        <f t="array" ref="S44">IF(S$1="","",INDEX('Raw data'!$W$4:$W$267,MATCH("32 days"&amp;'Wide data'!$A$1&amp;'Wide data'!$A44,'Raw data'!$K$4:$K$267&amp;'Raw data'!$L$2&amp;'Raw data'!$L$4:$L$267,0)))</f>
        <v>1.7836624299528012</v>
      </c>
      <c r="T44" s="24">
        <f t="array" ref="T44">IF(T$1="","",INDEX('Raw data'!$W$4:$W$267,MATCH("39 days"&amp;'Wide data'!$A$1&amp;'Wide data'!$A44,'Raw data'!$K$4:$K$267&amp;'Raw data'!$L$2&amp;'Raw data'!$L$4:$L$267,0)))</f>
        <v>1.7526329692542697</v>
      </c>
      <c r="U44" s="418">
        <f t="array" ref="U44">IF(E$1="","",INDEX('Raw data'!$AN$4:$AN$267,MATCH("Starter"&amp;'Wide data'!$A$1&amp;'Wide data'!$A44,'Raw data'!$AI$4:$AI$267&amp;'Raw data'!$AJ$2&amp;'Raw data'!$AJ$4:$AJ$267,0)))</f>
        <v>0.36026315789473684</v>
      </c>
      <c r="V44" s="418">
        <f t="array" ref="V44">IF(G$1="","",INDEX('Raw data'!$AN$4:$AN$267,MATCH("Grower"&amp;'Wide data'!$A$1&amp;'Wide data'!$A44,'Raw data'!$AI$4:$AI$267&amp;'Raw data'!$AJ$2&amp;'Raw data'!$AJ$4:$AJ$267,0)))</f>
        <v>1.5013513513513512</v>
      </c>
      <c r="W44" s="418">
        <f t="array" ref="W44">IF(H$1="","",INDEX('Raw data'!$AN$4:$AN$267,MATCH("Finisher"&amp;'Wide data'!$A$1&amp;'Wide data'!$A44,'Raw data'!$AI$4:$AI$267&amp;'Raw data'!$AJ$2&amp;'Raw data'!$AJ$4:$AJ$267,0)))</f>
        <v>2.3256756756756758</v>
      </c>
      <c r="X44" s="418">
        <f t="array" ref="X44">IF(H$1="","",INDEX('Raw data'!$AP$4:$AP$267,MATCH("Starter"&amp;'Wide data'!$A$1&amp;'Wide data'!$A44,'Raw data'!$AI$4:$AI$267&amp;'Raw data'!$AJ$2&amp;'Raw data'!$AJ$4:$AJ$267,0)))</f>
        <v>0.31436315789473684</v>
      </c>
      <c r="Y44" s="418">
        <f t="array" ref="Y44">IF(J$1="","",INDEX('Raw data'!$AP$4:$AP$267,MATCH("Grower"&amp;'Wide data'!$A$1&amp;'Wide data'!$A44,'Raw data'!$AI$4:$AI$267&amp;'Raw data'!$AJ$2&amp;'Raw data'!$AJ$4:$AJ$267,0)))</f>
        <v>1.1410881934566144</v>
      </c>
      <c r="Z44" s="418">
        <f t="array" ref="Z44">IF(K$1="","",INDEX('Raw data'!$AP$4:$AP$267,MATCH("Finisher"&amp;'Wide data'!$A$1&amp;'Wide data'!$A44,'Raw data'!$AI$4:$AI$267&amp;'Raw data'!$AJ$2&amp;'Raw data'!$AJ$4:$AJ$267,0)))</f>
        <v>0.82432432432432456</v>
      </c>
      <c r="AA44" s="418">
        <f t="array" ref="AA44">IF(K$1="","",INDEX('Raw data'!$AR$4:$AR$267,MATCH("Starter"&amp;'Wide data'!$A$1&amp;'Wide data'!$A44,'Raw data'!$AI$4:$AI$267&amp;'Raw data'!$AJ$2&amp;'Raw data'!$AJ$4:$AJ$267,0)))</f>
        <v>0.41447368421052627</v>
      </c>
      <c r="AB44" s="418">
        <f t="array" ref="AB44">IF(M$1="","",INDEX('Raw data'!$AR$4:$AR$267,MATCH("Grower"&amp;'Wide data'!$A$1&amp;'Wide data'!$A44,'Raw data'!$AI$4:$AI$267&amp;'Raw data'!$AJ$2&amp;'Raw data'!$AJ$4:$AJ$267,0)))</f>
        <v>2.278531294452347</v>
      </c>
      <c r="AC44" s="418">
        <f t="array" ref="AC44">IF(N$1="","",INDEX('Raw data'!$AR$4:$AR$267,MATCH("Finisher"&amp;'Wide data'!$A$1&amp;'Wide data'!$A44,'Raw data'!$AI$4:$AI$267&amp;'Raw data'!$AJ$2&amp;'Raw data'!$AJ$4:$AJ$267,0)))</f>
        <v>1.3972972972972972</v>
      </c>
      <c r="AD44" s="418">
        <f t="array" ref="AD44">IF(N$1="","",INDEX('Raw data'!$AS$4:$AS$267,MATCH("Starter"&amp;'Wide data'!$A$1&amp;'Wide data'!$A44,'Raw data'!$AI$4:$AI$267&amp;'Raw data'!$AJ$2&amp;'Raw data'!$AJ$4:$AJ$267,0)))</f>
        <v>1.1364456309979074</v>
      </c>
      <c r="AE44" s="418">
        <f t="array" ref="AE44">IF(P$1="","",INDEX('Raw data'!$AS$4:$AS$267,MATCH("Grower"&amp;'Wide data'!$A$1&amp;'Wide data'!$A44,'Raw data'!$AI$4:$AI$267&amp;'Raw data'!$AJ$2&amp;'Raw data'!$AJ$4:$AJ$267,0)))</f>
        <v>1.9491816412956395</v>
      </c>
      <c r="AF44" s="418">
        <f t="array" ref="AF44">IF(Q$1="","",INDEX('Raw data'!$AS$4:$AS$267,MATCH("Finisher"&amp;'Wide data'!$A$1&amp;'Wide data'!$A44,'Raw data'!$AI$4:$AI$267&amp;'Raw data'!$AJ$2&amp;'Raw data'!$AJ$4:$AJ$267,0)))</f>
        <v>1.6950819672131143</v>
      </c>
    </row>
    <row r="45" spans="1:32" x14ac:dyDescent="0.25">
      <c r="A45" s="24">
        <f>'Raw data'!L47</f>
        <v>44</v>
      </c>
      <c r="B45" s="24" t="str">
        <f>INDEX('Raw data'!$B$4:$B$69, 'Wide data'!A45)</f>
        <v>T4</v>
      </c>
      <c r="C45" s="24" t="str">
        <f>INDEX('Raw data'!$C$4:$C$69, 'Wide data'!A45)</f>
        <v>R11</v>
      </c>
      <c r="D45" s="24">
        <f t="array" ref="D45">INDEX('Raw data'!$F$4:$F$69,MATCH($A$1&amp;'Wide data'!$A45,'Raw data'!$A$3&amp;'Raw data'!$A$4:$A$69,0))</f>
        <v>4.5999999999999999E-2</v>
      </c>
      <c r="E45" s="24">
        <f t="array" ref="E45">IF(E$1="","",INDEX('Raw data'!$Q$4:$Q$267,MATCH("14 days"&amp;'Wide data'!$A$1&amp;'Wide data'!$A45,'Raw data'!$K$4:$K$267&amp;'Raw data'!$L$2&amp;'Raw data'!$L$4:$L$267,0)))</f>
        <v>0.38179487179487176</v>
      </c>
      <c r="F45" s="24">
        <f t="array" ref="F45">IF(F$1="","",INDEX('Raw data'!$Q$4:$Q$267,MATCH("23 days"&amp;'Wide data'!$A$1&amp;'Wide data'!$A45,'Raw data'!$K$4:$K$267&amp;'Raw data'!$L$2&amp;'Raw data'!$L$4:$L$267,0)))</f>
        <v>1.0282051282051281</v>
      </c>
      <c r="G45" s="24">
        <f t="array" ref="G45">IF(G$1="","",INDEX('Raw data'!$Q$4:$Q$267,MATCH("32 days"&amp;'Wide data'!$A$1&amp;'Wide data'!$A45,'Raw data'!$K$4:$K$267&amp;'Raw data'!$L$2&amp;'Raw data'!$L$4:$L$267,0)))</f>
        <v>1.5592105263157894</v>
      </c>
      <c r="H45" s="24">
        <f t="array" ref="H45">IF(H$1="","",INDEX('Raw data'!$Q$4:$Q$267,MATCH("39 days"&amp;'Wide data'!$A$1&amp;'Wide data'!$A45,'Raw data'!$K$4:$K$267&amp;'Raw data'!$L$2&amp;'Raw data'!$L$4:$L$267,0)))</f>
        <v>2.4144736842105261</v>
      </c>
      <c r="I45" s="24">
        <f t="array" ref="I45">IF(I$1="","",INDEX('Raw data'!$S$4:$S$267,MATCH("14 days"&amp;'Wide data'!$A$1&amp;'Wide data'!$A45,'Raw data'!$K$4:$K$267&amp;'Raw data'!$L$2&amp;'Raw data'!$L$4:$L$267,0)))</f>
        <v>0.33579487179487177</v>
      </c>
      <c r="J45" s="24">
        <f t="array" ref="J45">IF(J$1="","",INDEX('Raw data'!$S$4:$S$267,MATCH("23 days"&amp;'Wide data'!$A$1&amp;'Wide data'!$A45,'Raw data'!$K$4:$K$267&amp;'Raw data'!$L$2&amp;'Raw data'!$L$4:$L$267,0)))</f>
        <v>0.64641025641025629</v>
      </c>
      <c r="K45" s="24">
        <f t="array" ref="K45">IF(K$1="","",INDEX('Raw data'!$S$4:$S$267,MATCH("32 days"&amp;'Wide data'!$A$1&amp;'Wide data'!$A45,'Raw data'!$K$4:$K$267&amp;'Raw data'!$L$2&amp;'Raw data'!$L$4:$L$267,0)))</f>
        <v>0.53100539811066128</v>
      </c>
      <c r="L45" s="24">
        <f t="array" ref="L45">IF(L$1="","",INDEX('Raw data'!$S$4:$S$267,MATCH("39 days"&amp;'Wide data'!$A$1&amp;'Wide data'!$A45,'Raw data'!$K$4:$K$267&amp;'Raw data'!$L$2&amp;'Raw data'!$L$4:$L$267,0)))</f>
        <v>0.85526315789473673</v>
      </c>
      <c r="M45" s="24">
        <f t="array" ref="M45">IF(M$1="","",INDEX('Raw data'!$V$4:$V$267,MATCH("14 days"&amp;'Wide data'!$A$1&amp;'Wide data'!$A45,'Raw data'!$K$4:$K$267&amp;'Raw data'!$L$2&amp;'Raw data'!$L$4:$L$267,0)))</f>
        <v>0.43333333333333329</v>
      </c>
      <c r="N45" s="24">
        <f t="array" ref="N45">IF(N$1="","",INDEX('Raw data'!$V$4:$V$267,MATCH("23 days"&amp;'Wide data'!$A$1&amp;'Wide data'!$A45,'Raw data'!$K$4:$K$267&amp;'Raw data'!$L$2&amp;'Raw data'!$L$4:$L$267,0)))</f>
        <v>0.87012820512820521</v>
      </c>
      <c r="O45" s="24">
        <f t="array" ref="O45">IF(O$1="","",INDEX('Raw data'!$V$4:$V$267,MATCH("32 days"&amp;'Wide data'!$A$1&amp;'Wide data'!$A45,'Raw data'!$K$4:$K$267&amp;'Raw data'!$L$2&amp;'Raw data'!$L$4:$L$267,0)))</f>
        <v>1.4596052631578948</v>
      </c>
      <c r="P45" s="24">
        <f t="array" ref="P45">IF(P$1="","",INDEX('Raw data'!$V$4:$V$267,MATCH("39 days"&amp;'Wide data'!$A$1&amp;'Wide data'!$A45,'Raw data'!$K$4:$K$267&amp;'Raw data'!$L$2&amp;'Raw data'!$L$4:$L$267,0)))</f>
        <v>1.4644736842105264</v>
      </c>
      <c r="Q45" s="24">
        <f t="array" ref="Q45">IF(Q$1="","",INDEX('Raw data'!$W$4:$W$267,MATCH("14 days"&amp;'Wide data'!$A$1&amp;'Wide data'!$A45,'Raw data'!$K$4:$K$267&amp;'Raw data'!$L$2&amp;'Raw data'!$L$4:$L$267,0)))</f>
        <v>1.1236702127659575</v>
      </c>
      <c r="R45" s="24">
        <f t="array" ref="R45">IF(R$1="","",INDEX('Raw data'!$W$4:$W$267,MATCH("23 days"&amp;'Wide data'!$A$1&amp;'Wide data'!$A45,'Raw data'!$K$4:$K$267&amp;'Raw data'!$L$2&amp;'Raw data'!$L$4:$L$267,0)))</f>
        <v>1.2629813664596277</v>
      </c>
      <c r="S45" s="24">
        <f t="array" ref="S45">IF(S$1="","",INDEX('Raw data'!$W$4:$W$267,MATCH("32 days"&amp;'Wide data'!$A$1&amp;'Wide data'!$A45,'Raw data'!$K$4:$K$267&amp;'Raw data'!$L$2&amp;'Raw data'!$L$4:$L$267,0)))</f>
        <v>1.7584780810587266</v>
      </c>
      <c r="T45" s="24">
        <f t="array" ref="T45">IF(T$1="","",INDEX('Raw data'!$W$4:$W$267,MATCH("39 days"&amp;'Wide data'!$A$1&amp;'Wide data'!$A45,'Raw data'!$K$4:$K$267&amp;'Raw data'!$L$2&amp;'Raw data'!$L$4:$L$267,0)))</f>
        <v>1.7423345884884347</v>
      </c>
      <c r="U45" s="418">
        <f t="array" ref="U45">IF(E$1="","",INDEX('Raw data'!$AN$4:$AN$267,MATCH("Starter"&amp;'Wide data'!$A$1&amp;'Wide data'!$A45,'Raw data'!$AI$4:$AI$267&amp;'Raw data'!$AJ$2&amp;'Raw data'!$AJ$4:$AJ$267,0)))</f>
        <v>0.38179487179487176</v>
      </c>
      <c r="V45" s="418">
        <f t="array" ref="V45">IF(G$1="","",INDEX('Raw data'!$AN$4:$AN$267,MATCH("Grower"&amp;'Wide data'!$A$1&amp;'Wide data'!$A45,'Raw data'!$AI$4:$AI$267&amp;'Raw data'!$AJ$2&amp;'Raw data'!$AJ$4:$AJ$267,0)))</f>
        <v>1.5592105263157894</v>
      </c>
      <c r="W45" s="418">
        <f t="array" ref="W45">IF(H$1="","",INDEX('Raw data'!$AN$4:$AN$267,MATCH("Finisher"&amp;'Wide data'!$A$1&amp;'Wide data'!$A45,'Raw data'!$AI$4:$AI$267&amp;'Raw data'!$AJ$2&amp;'Raw data'!$AJ$4:$AJ$267,0)))</f>
        <v>2.4144736842105261</v>
      </c>
      <c r="X45" s="418">
        <f t="array" ref="X45">IF(H$1="","",INDEX('Raw data'!$AP$4:$AP$267,MATCH("Starter"&amp;'Wide data'!$A$1&amp;'Wide data'!$A45,'Raw data'!$AI$4:$AI$267&amp;'Raw data'!$AJ$2&amp;'Raw data'!$AJ$4:$AJ$267,0)))</f>
        <v>0.33579487179487177</v>
      </c>
      <c r="Y45" s="418">
        <f t="array" ref="Y45">IF(J$1="","",INDEX('Raw data'!$AP$4:$AP$267,MATCH("Grower"&amp;'Wide data'!$A$1&amp;'Wide data'!$A45,'Raw data'!$AI$4:$AI$267&amp;'Raw data'!$AJ$2&amp;'Raw data'!$AJ$4:$AJ$267,0)))</f>
        <v>1.1774156545209176</v>
      </c>
      <c r="Z45" s="418">
        <f t="array" ref="Z45">IF(K$1="","",INDEX('Raw data'!$AP$4:$AP$267,MATCH("Finisher"&amp;'Wide data'!$A$1&amp;'Wide data'!$A45,'Raw data'!$AI$4:$AI$267&amp;'Raw data'!$AJ$2&amp;'Raw data'!$AJ$4:$AJ$267,0)))</f>
        <v>0.85526315789473673</v>
      </c>
      <c r="AA45" s="418">
        <f t="array" ref="AA45">IF(K$1="","",INDEX('Raw data'!$AR$4:$AR$267,MATCH("Starter"&amp;'Wide data'!$A$1&amp;'Wide data'!$A45,'Raw data'!$AI$4:$AI$267&amp;'Raw data'!$AJ$2&amp;'Raw data'!$AJ$4:$AJ$267,0)))</f>
        <v>0.43333333333333329</v>
      </c>
      <c r="AB45" s="418">
        <f t="array" ref="AB45">IF(M$1="","",INDEX('Raw data'!$AR$4:$AR$267,MATCH("Grower"&amp;'Wide data'!$A$1&amp;'Wide data'!$A45,'Raw data'!$AI$4:$AI$267&amp;'Raw data'!$AJ$2&amp;'Raw data'!$AJ$4:$AJ$267,0)))</f>
        <v>2.3297334682861002</v>
      </c>
      <c r="AC45" s="418">
        <f t="array" ref="AC45">IF(N$1="","",INDEX('Raw data'!$AR$4:$AR$267,MATCH("Finisher"&amp;'Wide data'!$A$1&amp;'Wide data'!$A45,'Raw data'!$AI$4:$AI$267&amp;'Raw data'!$AJ$2&amp;'Raw data'!$AJ$4:$AJ$267,0)))</f>
        <v>1.4644736842105264</v>
      </c>
      <c r="AD45" s="418">
        <f t="array" ref="AD45">IF(N$1="","",INDEX('Raw data'!$AS$4:$AS$267,MATCH("Starter"&amp;'Wide data'!$A$1&amp;'Wide data'!$A45,'Raw data'!$AI$4:$AI$267&amp;'Raw data'!$AJ$2&amp;'Raw data'!$AJ$4:$AJ$267,0)))</f>
        <v>1.1236702127659575</v>
      </c>
      <c r="AE45" s="418">
        <f t="array" ref="AE45">IF(P$1="","",INDEX('Raw data'!$AS$4:$AS$267,MATCH("Grower"&amp;'Wide data'!$A$1&amp;'Wide data'!$A45,'Raw data'!$AI$4:$AI$267&amp;'Raw data'!$AJ$2&amp;'Raw data'!$AJ$4:$AJ$267,0)))</f>
        <v>1.9251390046877852</v>
      </c>
      <c r="AF45" s="418">
        <f t="array" ref="AF45">IF(Q$1="","",INDEX('Raw data'!$AS$4:$AS$267,MATCH("Finisher"&amp;'Wide data'!$A$1&amp;'Wide data'!$A45,'Raw data'!$AI$4:$AI$267&amp;'Raw data'!$AJ$2&amp;'Raw data'!$AJ$4:$AJ$267,0)))</f>
        <v>1.7123076923076925</v>
      </c>
    </row>
    <row r="46" spans="1:32" x14ac:dyDescent="0.25">
      <c r="A46" s="24">
        <f>'Raw data'!L48</f>
        <v>45</v>
      </c>
      <c r="B46" s="24" t="str">
        <f>INDEX('Raw data'!$B$4:$B$69, 'Wide data'!A46)</f>
        <v>T3</v>
      </c>
      <c r="C46" s="24" t="str">
        <f>INDEX('Raw data'!$C$4:$C$69, 'Wide data'!A46)</f>
        <v>R10</v>
      </c>
      <c r="D46" s="24">
        <f t="array" ref="D46">INDEX('Raw data'!$F$4:$F$69,MATCH($A$1&amp;'Wide data'!$A46,'Raw data'!$A$3&amp;'Raw data'!$A$4:$A$69,0))</f>
        <v>4.5499999999999999E-2</v>
      </c>
      <c r="E46" s="24">
        <f t="array" ref="E46">IF(E$1="","",INDEX('Raw data'!$Q$4:$Q$267,MATCH("14 days"&amp;'Wide data'!$A$1&amp;'Wide data'!$A46,'Raw data'!$K$4:$K$267&amp;'Raw data'!$L$2&amp;'Raw data'!$L$4:$L$267,0)))</f>
        <v>0.33474999999999999</v>
      </c>
      <c r="F46" s="24">
        <f t="array" ref="F46">IF(F$1="","",INDEX('Raw data'!$Q$4:$Q$267,MATCH("23 days"&amp;'Wide data'!$A$1&amp;'Wide data'!$A46,'Raw data'!$K$4:$K$267&amp;'Raw data'!$L$2&amp;'Raw data'!$L$4:$L$267,0)))</f>
        <v>0.96374999999999988</v>
      </c>
      <c r="G46" s="24">
        <f t="array" ref="G46">IF(G$1="","",INDEX('Raw data'!$Q$4:$Q$267,MATCH("32 days"&amp;'Wide data'!$A$1&amp;'Wide data'!$A46,'Raw data'!$K$4:$K$267&amp;'Raw data'!$L$2&amp;'Raw data'!$L$4:$L$267,0)))</f>
        <v>1.5128205128205128</v>
      </c>
      <c r="H46" s="24">
        <f t="array" ref="H46">IF(H$1="","",INDEX('Raw data'!$Q$4:$Q$267,MATCH("39 days"&amp;'Wide data'!$A$1&amp;'Wide data'!$A46,'Raw data'!$K$4:$K$267&amp;'Raw data'!$L$2&amp;'Raw data'!$L$4:$L$267,0)))</f>
        <v>2.3512820512820509</v>
      </c>
      <c r="I46" s="24">
        <f t="array" ref="I46">IF(I$1="","",INDEX('Raw data'!$S$4:$S$267,MATCH("14 days"&amp;'Wide data'!$A$1&amp;'Wide data'!$A46,'Raw data'!$K$4:$K$267&amp;'Raw data'!$L$2&amp;'Raw data'!$L$4:$L$267,0)))</f>
        <v>0.28925000000000001</v>
      </c>
      <c r="J46" s="24">
        <f t="array" ref="J46">IF(J$1="","",INDEX('Raw data'!$S$4:$S$267,MATCH("23 days"&amp;'Wide data'!$A$1&amp;'Wide data'!$A46,'Raw data'!$K$4:$K$267&amp;'Raw data'!$L$2&amp;'Raw data'!$L$4:$L$267,0)))</f>
        <v>0.62899999999999989</v>
      </c>
      <c r="K46" s="24">
        <f t="array" ref="K46">IF(K$1="","",INDEX('Raw data'!$S$4:$S$267,MATCH("32 days"&amp;'Wide data'!$A$1&amp;'Wide data'!$A46,'Raw data'!$K$4:$K$267&amp;'Raw data'!$L$2&amp;'Raw data'!$L$4:$L$267,0)))</f>
        <v>0.54907051282051289</v>
      </c>
      <c r="L46" s="24">
        <f t="array" ref="L46">IF(L$1="","",INDEX('Raw data'!$S$4:$S$267,MATCH("39 days"&amp;'Wide data'!$A$1&amp;'Wide data'!$A46,'Raw data'!$K$4:$K$267&amp;'Raw data'!$L$2&amp;'Raw data'!$L$4:$L$267,0)))</f>
        <v>0.83846153846153815</v>
      </c>
      <c r="M46" s="24">
        <f t="array" ref="M46">IF(M$1="","",INDEX('Raw data'!$V$4:$V$267,MATCH("14 days"&amp;'Wide data'!$A$1&amp;'Wide data'!$A46,'Raw data'!$K$4:$K$267&amp;'Raw data'!$L$2&amp;'Raw data'!$L$4:$L$267,0)))</f>
        <v>0.38500000000000006</v>
      </c>
      <c r="N46" s="24">
        <f t="array" ref="N46">IF(N$1="","",INDEX('Raw data'!$V$4:$V$267,MATCH("23 days"&amp;'Wide data'!$A$1&amp;'Wide data'!$A46,'Raw data'!$K$4:$K$267&amp;'Raw data'!$L$2&amp;'Raw data'!$L$4:$L$267,0)))</f>
        <v>0.83337499999999998</v>
      </c>
      <c r="O46" s="24">
        <f t="array" ref="O46">IF(O$1="","",INDEX('Raw data'!$V$4:$V$267,MATCH("32 days"&amp;'Wide data'!$A$1&amp;'Wide data'!$A46,'Raw data'!$K$4:$K$267&amp;'Raw data'!$L$2&amp;'Raw data'!$L$4:$L$267,0)))</f>
        <v>1.4619230769230769</v>
      </c>
      <c r="P46" s="24">
        <f t="array" ref="P46">IF(P$1="","",INDEX('Raw data'!$V$4:$V$267,MATCH("39 days"&amp;'Wide data'!$A$1&amp;'Wide data'!$A46,'Raw data'!$K$4:$K$267&amp;'Raw data'!$L$2&amp;'Raw data'!$L$4:$L$267,0)))</f>
        <v>1.4384615384615385</v>
      </c>
      <c r="Q46" s="24">
        <f t="array" ref="Q46">IF(Q$1="","",INDEX('Raw data'!$W$4:$W$267,MATCH("14 days"&amp;'Wide data'!$A$1&amp;'Wide data'!$A46,'Raw data'!$K$4:$K$267&amp;'Raw data'!$L$2&amp;'Raw data'!$L$4:$L$267,0)))</f>
        <v>1.1501120238984319</v>
      </c>
      <c r="R46" s="24">
        <f t="array" ref="R46">IF(R$1="","",INDEX('Raw data'!$W$4:$W$267,MATCH("23 days"&amp;'Wide data'!$A$1&amp;'Wide data'!$A46,'Raw data'!$K$4:$K$267&amp;'Raw data'!$L$2&amp;'Raw data'!$L$4:$L$267,0)))</f>
        <v>1.2642023346303504</v>
      </c>
      <c r="S46" s="24">
        <f t="array" ref="S46">IF(S$1="","",INDEX('Raw data'!$W$4:$W$267,MATCH("32 days"&amp;'Wide data'!$A$1&amp;'Wide data'!$A46,'Raw data'!$K$4:$K$267&amp;'Raw data'!$L$2&amp;'Raw data'!$L$4:$L$267,0)))</f>
        <v>1.7669172932330828</v>
      </c>
      <c r="T46" s="24">
        <f t="array" ref="T46">IF(T$1="","",INDEX('Raw data'!$W$4:$W$267,MATCH("39 days"&amp;'Wide data'!$A$1&amp;'Wide data'!$A46,'Raw data'!$K$4:$K$267&amp;'Raw data'!$L$2&amp;'Raw data'!$L$4:$L$267,0)))</f>
        <v>1.7487844408427882</v>
      </c>
      <c r="U46" s="418">
        <f t="array" ref="U46">IF(E$1="","",INDEX('Raw data'!$AN$4:$AN$267,MATCH("Starter"&amp;'Wide data'!$A$1&amp;'Wide data'!$A46,'Raw data'!$AI$4:$AI$267&amp;'Raw data'!$AJ$2&amp;'Raw data'!$AJ$4:$AJ$267,0)))</f>
        <v>0.33474999999999999</v>
      </c>
      <c r="V46" s="418">
        <f t="array" ref="V46">IF(G$1="","",INDEX('Raw data'!$AN$4:$AN$267,MATCH("Grower"&amp;'Wide data'!$A$1&amp;'Wide data'!$A46,'Raw data'!$AI$4:$AI$267&amp;'Raw data'!$AJ$2&amp;'Raw data'!$AJ$4:$AJ$267,0)))</f>
        <v>1.5128205128205128</v>
      </c>
      <c r="W46" s="418">
        <f t="array" ref="W46">IF(H$1="","",INDEX('Raw data'!$AN$4:$AN$267,MATCH("Finisher"&amp;'Wide data'!$A$1&amp;'Wide data'!$A46,'Raw data'!$AI$4:$AI$267&amp;'Raw data'!$AJ$2&amp;'Raw data'!$AJ$4:$AJ$267,0)))</f>
        <v>2.3512820512820509</v>
      </c>
      <c r="X46" s="418">
        <f t="array" ref="X46">IF(H$1="","",INDEX('Raw data'!$AP$4:$AP$267,MATCH("Starter"&amp;'Wide data'!$A$1&amp;'Wide data'!$A46,'Raw data'!$AI$4:$AI$267&amp;'Raw data'!$AJ$2&amp;'Raw data'!$AJ$4:$AJ$267,0)))</f>
        <v>0.28925000000000001</v>
      </c>
      <c r="Y46" s="418">
        <f t="array" ref="Y46">IF(J$1="","",INDEX('Raw data'!$AP$4:$AP$267,MATCH("Grower"&amp;'Wide data'!$A$1&amp;'Wide data'!$A46,'Raw data'!$AI$4:$AI$267&amp;'Raw data'!$AJ$2&amp;'Raw data'!$AJ$4:$AJ$267,0)))</f>
        <v>1.1780705128205127</v>
      </c>
      <c r="Z46" s="418">
        <f t="array" ref="Z46">IF(K$1="","",INDEX('Raw data'!$AP$4:$AP$267,MATCH("Finisher"&amp;'Wide data'!$A$1&amp;'Wide data'!$A46,'Raw data'!$AI$4:$AI$267&amp;'Raw data'!$AJ$2&amp;'Raw data'!$AJ$4:$AJ$267,0)))</f>
        <v>0.83846153846153815</v>
      </c>
      <c r="AA46" s="418">
        <f t="array" ref="AA46">IF(K$1="","",INDEX('Raw data'!$AR$4:$AR$267,MATCH("Starter"&amp;'Wide data'!$A$1&amp;'Wide data'!$A46,'Raw data'!$AI$4:$AI$267&amp;'Raw data'!$AJ$2&amp;'Raw data'!$AJ$4:$AJ$267,0)))</f>
        <v>0.38500000000000006</v>
      </c>
      <c r="AB46" s="418">
        <f t="array" ref="AB46">IF(M$1="","",INDEX('Raw data'!$AR$4:$AR$267,MATCH("Grower"&amp;'Wide data'!$A$1&amp;'Wide data'!$A46,'Raw data'!$AI$4:$AI$267&amp;'Raw data'!$AJ$2&amp;'Raw data'!$AJ$4:$AJ$267,0)))</f>
        <v>2.2952980769230766</v>
      </c>
      <c r="AC46" s="418">
        <f t="array" ref="AC46">IF(N$1="","",INDEX('Raw data'!$AR$4:$AR$267,MATCH("Finisher"&amp;'Wide data'!$A$1&amp;'Wide data'!$A46,'Raw data'!$AI$4:$AI$267&amp;'Raw data'!$AJ$2&amp;'Raw data'!$AJ$4:$AJ$267,0)))</f>
        <v>1.4384615384615385</v>
      </c>
      <c r="AD46" s="418">
        <f t="array" ref="AD46">IF(N$1="","",INDEX('Raw data'!$AS$4:$AS$267,MATCH("Starter"&amp;'Wide data'!$A$1&amp;'Wide data'!$A46,'Raw data'!$AI$4:$AI$267&amp;'Raw data'!$AJ$2&amp;'Raw data'!$AJ$4:$AJ$267,0)))</f>
        <v>1.1501120238984319</v>
      </c>
      <c r="AE46" s="418">
        <f t="array" ref="AE46">IF(P$1="","",INDEX('Raw data'!$AS$4:$AS$267,MATCH("Grower"&amp;'Wide data'!$A$1&amp;'Wide data'!$A46,'Raw data'!$AI$4:$AI$267&amp;'Raw data'!$AJ$2&amp;'Raw data'!$AJ$4:$AJ$267,0)))</f>
        <v>1.9051635520177124</v>
      </c>
      <c r="AF46" s="418">
        <f t="array" ref="AF46">IF(Q$1="","",INDEX('Raw data'!$AS$4:$AS$267,MATCH("Finisher"&amp;'Wide data'!$A$1&amp;'Wide data'!$A46,'Raw data'!$AI$4:$AI$267&amp;'Raw data'!$AJ$2&amp;'Raw data'!$AJ$4:$AJ$267,0)))</f>
        <v>1.71559633027523</v>
      </c>
    </row>
    <row r="47" spans="1:32" x14ac:dyDescent="0.25">
      <c r="A47" s="24">
        <f>'Raw data'!L49</f>
        <v>46</v>
      </c>
      <c r="B47" s="24" t="str">
        <f>INDEX('Raw data'!$B$4:$B$69, 'Wide data'!A47)</f>
        <v>T1</v>
      </c>
      <c r="C47" s="24" t="str">
        <f>INDEX('Raw data'!$C$4:$C$69, 'Wide data'!A47)</f>
        <v>R10</v>
      </c>
      <c r="D47" s="24">
        <f t="array" ref="D47">INDEX('Raw data'!$F$4:$F$69,MATCH($A$1&amp;'Wide data'!$A47,'Raw data'!$A$3&amp;'Raw data'!$A$4:$A$69,0))</f>
        <v>4.5499999999999999E-2</v>
      </c>
      <c r="E47" s="24">
        <f t="array" ref="E47">IF(E$1="","",INDEX('Raw data'!$Q$4:$Q$267,MATCH("14 days"&amp;'Wide data'!$A$1&amp;'Wide data'!$A47,'Raw data'!$K$4:$K$267&amp;'Raw data'!$L$2&amp;'Raw data'!$L$4:$L$267,0)))</f>
        <v>0.36769230769230765</v>
      </c>
      <c r="F47" s="24">
        <f t="array" ref="F47">IF(F$1="","",INDEX('Raw data'!$Q$4:$Q$267,MATCH("23 days"&amp;'Wide data'!$A$1&amp;'Wide data'!$A47,'Raw data'!$K$4:$K$267&amp;'Raw data'!$L$2&amp;'Raw data'!$L$4:$L$267,0)))</f>
        <v>1.0192307692307692</v>
      </c>
      <c r="G47" s="24">
        <f t="array" ref="G47">IF(G$1="","",INDEX('Raw data'!$Q$4:$Q$267,MATCH("32 days"&amp;'Wide data'!$A$1&amp;'Wide data'!$A47,'Raw data'!$K$4:$K$267&amp;'Raw data'!$L$2&amp;'Raw data'!$L$4:$L$267,0)))</f>
        <v>1.5407894736842105</v>
      </c>
      <c r="H47" s="24">
        <f t="array" ref="H47">IF(H$1="","",INDEX('Raw data'!$Q$4:$Q$267,MATCH("39 days"&amp;'Wide data'!$A$1&amp;'Wide data'!$A47,'Raw data'!$K$4:$K$267&amp;'Raw data'!$L$2&amp;'Raw data'!$L$4:$L$267,0)))</f>
        <v>2.4166666666666665</v>
      </c>
      <c r="I47" s="24">
        <f t="array" ref="I47">IF(I$1="","",INDEX('Raw data'!$S$4:$S$267,MATCH("14 days"&amp;'Wide data'!$A$1&amp;'Wide data'!$A47,'Raw data'!$K$4:$K$267&amp;'Raw data'!$L$2&amp;'Raw data'!$L$4:$L$267,0)))</f>
        <v>0.32219230769230767</v>
      </c>
      <c r="J47" s="24">
        <f t="array" ref="J47">IF(J$1="","",INDEX('Raw data'!$S$4:$S$267,MATCH("23 days"&amp;'Wide data'!$A$1&amp;'Wide data'!$A47,'Raw data'!$K$4:$K$267&amp;'Raw data'!$L$2&amp;'Raw data'!$L$4:$L$267,0)))</f>
        <v>0.65153846153846151</v>
      </c>
      <c r="K47" s="24">
        <f t="array" ref="K47">IF(K$1="","",INDEX('Raw data'!$S$4:$S$267,MATCH("32 days"&amp;'Wide data'!$A$1&amp;'Wide data'!$A47,'Raw data'!$K$4:$K$267&amp;'Raw data'!$L$2&amp;'Raw data'!$L$4:$L$267,0)))</f>
        <v>0.52155870445344132</v>
      </c>
      <c r="L47" s="24">
        <f t="array" ref="L47">IF(L$1="","",INDEX('Raw data'!$S$4:$S$267,MATCH("39 days"&amp;'Wide data'!$A$1&amp;'Wide data'!$A47,'Raw data'!$K$4:$K$267&amp;'Raw data'!$L$2&amp;'Raw data'!$L$4:$L$267,0)))</f>
        <v>0.87587719298245603</v>
      </c>
      <c r="M47" s="24">
        <f t="array" ref="M47">IF(M$1="","",INDEX('Raw data'!$V$4:$V$267,MATCH("14 days"&amp;'Wide data'!$A$1&amp;'Wide data'!$A47,'Raw data'!$K$4:$K$267&amp;'Raw data'!$L$2&amp;'Raw data'!$L$4:$L$267,0)))</f>
        <v>0.4333333333333334</v>
      </c>
      <c r="N47" s="24">
        <f t="array" ref="N47">IF(N$1="","",INDEX('Raw data'!$V$4:$V$267,MATCH("23 days"&amp;'Wide data'!$A$1&amp;'Wide data'!$A47,'Raw data'!$K$4:$K$267&amp;'Raw data'!$L$2&amp;'Raw data'!$L$4:$L$267,0)))</f>
        <v>0.87910256410256404</v>
      </c>
      <c r="O47" s="24">
        <f t="array" ref="O47">IF(O$1="","",INDEX('Raw data'!$V$4:$V$267,MATCH("32 days"&amp;'Wide data'!$A$1&amp;'Wide data'!$A47,'Raw data'!$K$4:$K$267&amp;'Raw data'!$L$2&amp;'Raw data'!$L$4:$L$267,0)))</f>
        <v>1.454342105263158</v>
      </c>
      <c r="P47" s="24">
        <f t="array" ref="P47">IF(P$1="","",INDEX('Raw data'!$V$4:$V$267,MATCH("39 days"&amp;'Wide data'!$A$1&amp;'Wide data'!$A47,'Raw data'!$K$4:$K$267&amp;'Raw data'!$L$2&amp;'Raw data'!$L$4:$L$267,0)))</f>
        <v>1.5305555555555557</v>
      </c>
      <c r="Q47" s="24">
        <f t="array" ref="Q47">IF(Q$1="","",INDEX('Raw data'!$W$4:$W$267,MATCH("14 days"&amp;'Wide data'!$A$1&amp;'Wide data'!$A47,'Raw data'!$K$4:$K$267&amp;'Raw data'!$L$2&amp;'Raw data'!$L$4:$L$267,0)))</f>
        <v>1.1599176389842143</v>
      </c>
      <c r="R47" s="24">
        <f t="array" ref="R47">IF(R$1="","",INDEX('Raw data'!$W$4:$W$267,MATCH("23 days"&amp;'Wide data'!$A$1&amp;'Wide data'!$A47,'Raw data'!$K$4:$K$267&amp;'Raw data'!$L$2&amp;'Raw data'!$L$4:$L$267,0)))</f>
        <v>1.2802651325662833</v>
      </c>
      <c r="S47" s="24">
        <f t="array" ref="S47">IF(S$1="","",INDEX('Raw data'!$W$4:$W$267,MATCH("32 days"&amp;'Wide data'!$A$1&amp;'Wide data'!$A47,'Raw data'!$K$4:$K$267&amp;'Raw data'!$L$2&amp;'Raw data'!$L$4:$L$267,0)))</f>
        <v>1.7896772024209819</v>
      </c>
      <c r="T47" s="24">
        <f t="array" ref="T47">IF(T$1="","",INDEX('Raw data'!$W$4:$W$267,MATCH("39 days"&amp;'Wide data'!$A$1&amp;'Wide data'!$A47,'Raw data'!$K$4:$K$267&amp;'Raw data'!$L$2&amp;'Raw data'!$L$4:$L$267,0)))</f>
        <v>1.7479226175019476</v>
      </c>
      <c r="U47" s="418">
        <f t="array" ref="U47">IF(E$1="","",INDEX('Raw data'!$AN$4:$AN$267,MATCH("Starter"&amp;'Wide data'!$A$1&amp;'Wide data'!$A47,'Raw data'!$AI$4:$AI$267&amp;'Raw data'!$AJ$2&amp;'Raw data'!$AJ$4:$AJ$267,0)))</f>
        <v>0.36769230769230765</v>
      </c>
      <c r="V47" s="418">
        <f t="array" ref="V47">IF(G$1="","",INDEX('Raw data'!$AN$4:$AN$267,MATCH("Grower"&amp;'Wide data'!$A$1&amp;'Wide data'!$A47,'Raw data'!$AI$4:$AI$267&amp;'Raw data'!$AJ$2&amp;'Raw data'!$AJ$4:$AJ$267,0)))</f>
        <v>1.5407894736842105</v>
      </c>
      <c r="W47" s="418">
        <f t="array" ref="W47">IF(H$1="","",INDEX('Raw data'!$AN$4:$AN$267,MATCH("Finisher"&amp;'Wide data'!$A$1&amp;'Wide data'!$A47,'Raw data'!$AI$4:$AI$267&amp;'Raw data'!$AJ$2&amp;'Raw data'!$AJ$4:$AJ$267,0)))</f>
        <v>2.4166666666666665</v>
      </c>
      <c r="X47" s="418">
        <f t="array" ref="X47">IF(H$1="","",INDEX('Raw data'!$AP$4:$AP$267,MATCH("Starter"&amp;'Wide data'!$A$1&amp;'Wide data'!$A47,'Raw data'!$AI$4:$AI$267&amp;'Raw data'!$AJ$2&amp;'Raw data'!$AJ$4:$AJ$267,0)))</f>
        <v>0.32219230769230767</v>
      </c>
      <c r="Y47" s="418">
        <f t="array" ref="Y47">IF(J$1="","",INDEX('Raw data'!$AP$4:$AP$267,MATCH("Grower"&amp;'Wide data'!$A$1&amp;'Wide data'!$A47,'Raw data'!$AI$4:$AI$267&amp;'Raw data'!$AJ$2&amp;'Raw data'!$AJ$4:$AJ$267,0)))</f>
        <v>1.1730971659919027</v>
      </c>
      <c r="Z47" s="418">
        <f t="array" ref="Z47">IF(K$1="","",INDEX('Raw data'!$AP$4:$AP$267,MATCH("Finisher"&amp;'Wide data'!$A$1&amp;'Wide data'!$A47,'Raw data'!$AI$4:$AI$267&amp;'Raw data'!$AJ$2&amp;'Raw data'!$AJ$4:$AJ$267,0)))</f>
        <v>0.87587719298245603</v>
      </c>
      <c r="AA47" s="418">
        <f t="array" ref="AA47">IF(K$1="","",INDEX('Raw data'!$AR$4:$AR$267,MATCH("Starter"&amp;'Wide data'!$A$1&amp;'Wide data'!$A47,'Raw data'!$AI$4:$AI$267&amp;'Raw data'!$AJ$2&amp;'Raw data'!$AJ$4:$AJ$267,0)))</f>
        <v>0.4333333333333334</v>
      </c>
      <c r="AB47" s="418">
        <f t="array" ref="AB47">IF(M$1="","",INDEX('Raw data'!$AR$4:$AR$267,MATCH("Grower"&amp;'Wide data'!$A$1&amp;'Wide data'!$A47,'Raw data'!$AI$4:$AI$267&amp;'Raw data'!$AJ$2&amp;'Raw data'!$AJ$4:$AJ$267,0)))</f>
        <v>2.333444669365722</v>
      </c>
      <c r="AC47" s="418">
        <f t="array" ref="AC47">IF(N$1="","",INDEX('Raw data'!$AR$4:$AR$267,MATCH("Finisher"&amp;'Wide data'!$A$1&amp;'Wide data'!$A47,'Raw data'!$AI$4:$AI$267&amp;'Raw data'!$AJ$2&amp;'Raw data'!$AJ$4:$AJ$267,0)))</f>
        <v>1.5305555555555557</v>
      </c>
      <c r="AD47" s="418">
        <f t="array" ref="AD47">IF(N$1="","",INDEX('Raw data'!$AS$4:$AS$267,MATCH("Starter"&amp;'Wide data'!$A$1&amp;'Wide data'!$A47,'Raw data'!$AI$4:$AI$267&amp;'Raw data'!$AJ$2&amp;'Raw data'!$AJ$4:$AJ$267,0)))</f>
        <v>1.1599176389842143</v>
      </c>
      <c r="AE47" s="418">
        <f t="array" ref="AE47">IF(P$1="","",INDEX('Raw data'!$AS$4:$AS$267,MATCH("Grower"&amp;'Wide data'!$A$1&amp;'Wide data'!$A47,'Raw data'!$AI$4:$AI$267&amp;'Raw data'!$AJ$2&amp;'Raw data'!$AJ$4:$AJ$267,0)))</f>
        <v>1.9497387284785956</v>
      </c>
      <c r="AF47" s="418">
        <f t="array" ref="AF47">IF(Q$1="","",INDEX('Raw data'!$AS$4:$AS$267,MATCH("Finisher"&amp;'Wide data'!$A$1&amp;'Wide data'!$A47,'Raw data'!$AI$4:$AI$267&amp;'Raw data'!$AJ$2&amp;'Raw data'!$AJ$4:$AJ$267,0)))</f>
        <v>1.5294688277042923</v>
      </c>
    </row>
    <row r="48" spans="1:32" x14ac:dyDescent="0.25">
      <c r="A48" s="24">
        <f>'Raw data'!L50</f>
        <v>47</v>
      </c>
      <c r="B48" s="24" t="str">
        <f>INDEX('Raw data'!$B$4:$B$69, 'Wide data'!A48)</f>
        <v>T6</v>
      </c>
      <c r="C48" s="24" t="str">
        <f>INDEX('Raw data'!$C$4:$C$69, 'Wide data'!A48)</f>
        <v>R7</v>
      </c>
      <c r="D48" s="24">
        <f t="array" ref="D48">INDEX('Raw data'!$F$4:$F$69,MATCH($A$1&amp;'Wide data'!$A48,'Raw data'!$A$3&amp;'Raw data'!$A$4:$A$69,0))</f>
        <v>4.5350000000000001E-2</v>
      </c>
      <c r="E48" s="24">
        <f t="array" ref="E48">IF(E$1="","",INDEX('Raw data'!$Q$4:$Q$267,MATCH("14 days"&amp;'Wide data'!$A$1&amp;'Wide data'!$A48,'Raw data'!$K$4:$K$267&amp;'Raw data'!$L$2&amp;'Raw data'!$L$4:$L$267,0)))</f>
        <v>0.33724999999999999</v>
      </c>
      <c r="F48" s="24">
        <f t="array" ref="F48">IF(F$1="","",INDEX('Raw data'!$Q$4:$Q$267,MATCH("23 days"&amp;'Wide data'!$A$1&amp;'Wide data'!$A48,'Raw data'!$K$4:$K$267&amp;'Raw data'!$L$2&amp;'Raw data'!$L$4:$L$267,0)))</f>
        <v>0.9375</v>
      </c>
      <c r="G48" s="24">
        <f t="array" ref="G48">IF(G$1="","",INDEX('Raw data'!$Q$4:$Q$267,MATCH("32 days"&amp;'Wide data'!$A$1&amp;'Wide data'!$A48,'Raw data'!$K$4:$K$267&amp;'Raw data'!$L$2&amp;'Raw data'!$L$4:$L$267,0)))</f>
        <v>1.4371794871794872</v>
      </c>
      <c r="H48" s="24">
        <f t="array" ref="H48">IF(H$1="","",INDEX('Raw data'!$Q$4:$Q$267,MATCH("39 days"&amp;'Wide data'!$A$1&amp;'Wide data'!$A48,'Raw data'!$K$4:$K$267&amp;'Raw data'!$L$2&amp;'Raw data'!$L$4:$L$267,0)))</f>
        <v>2.2328947368421055</v>
      </c>
      <c r="I48" s="24">
        <f t="array" ref="I48">IF(I$1="","",INDEX('Raw data'!$S$4:$S$267,MATCH("14 days"&amp;'Wide data'!$A$1&amp;'Wide data'!$A48,'Raw data'!$K$4:$K$267&amp;'Raw data'!$L$2&amp;'Raw data'!$L$4:$L$267,0)))</f>
        <v>0.29189999999999999</v>
      </c>
      <c r="J48" s="24">
        <f t="array" ref="J48">IF(J$1="","",INDEX('Raw data'!$S$4:$S$267,MATCH("23 days"&amp;'Wide data'!$A$1&amp;'Wide data'!$A48,'Raw data'!$K$4:$K$267&amp;'Raw data'!$L$2&amp;'Raw data'!$L$4:$L$267,0)))</f>
        <v>0.60024999999999995</v>
      </c>
      <c r="K48" s="24">
        <f t="array" ref="K48">IF(K$1="","",INDEX('Raw data'!$S$4:$S$267,MATCH("32 days"&amp;'Wide data'!$A$1&amp;'Wide data'!$A48,'Raw data'!$K$4:$K$267&amp;'Raw data'!$L$2&amp;'Raw data'!$L$4:$L$267,0)))</f>
        <v>0.49967948717948718</v>
      </c>
      <c r="L48" s="24">
        <f t="array" ref="L48">IF(L$1="","",INDEX('Raw data'!$S$4:$S$267,MATCH("39 days"&amp;'Wide data'!$A$1&amp;'Wide data'!$A48,'Raw data'!$K$4:$K$267&amp;'Raw data'!$L$2&amp;'Raw data'!$L$4:$L$267,0)))</f>
        <v>0.79571524966261831</v>
      </c>
      <c r="M48" s="24">
        <f t="array" ref="M48">IF(M$1="","",INDEX('Raw data'!$V$4:$V$267,MATCH("14 days"&amp;'Wide data'!$A$1&amp;'Wide data'!$A48,'Raw data'!$K$4:$K$267&amp;'Raw data'!$L$2&amp;'Raw data'!$L$4:$L$267,0)))</f>
        <v>0.38750000000000001</v>
      </c>
      <c r="N48" s="24">
        <f t="array" ref="N48">IF(N$1="","",INDEX('Raw data'!$V$4:$V$267,MATCH("23 days"&amp;'Wide data'!$A$1&amp;'Wide data'!$A48,'Raw data'!$K$4:$K$267&amp;'Raw data'!$L$2&amp;'Raw data'!$L$4:$L$267,0)))</f>
        <v>0.79962500000000003</v>
      </c>
      <c r="O48" s="24">
        <f t="array" ref="O48">IF(O$1="","",INDEX('Raw data'!$V$4:$V$267,MATCH("32 days"&amp;'Wide data'!$A$1&amp;'Wide data'!$A48,'Raw data'!$K$4:$K$267&amp;'Raw data'!$L$2&amp;'Raw data'!$L$4:$L$267,0)))</f>
        <v>1.3914102564102564</v>
      </c>
      <c r="P48" s="24">
        <f t="array" ref="P48">IF(P$1="","",INDEX('Raw data'!$V$4:$V$267,MATCH("39 days"&amp;'Wide data'!$A$1&amp;'Wide data'!$A48,'Raw data'!$K$4:$K$267&amp;'Raw data'!$L$2&amp;'Raw data'!$L$4:$L$267,0)))</f>
        <v>1.375</v>
      </c>
      <c r="Q48" s="24">
        <f t="array" ref="Q48">IF(Q$1="","",INDEX('Raw data'!$W$4:$W$267,MATCH("14 days"&amp;'Wide data'!$A$1&amp;'Wide data'!$A48,'Raw data'!$K$4:$K$267&amp;'Raw data'!$L$2&amp;'Raw data'!$L$4:$L$267,0)))</f>
        <v>1.1489992587101556</v>
      </c>
      <c r="R48" s="24">
        <f t="array" ref="R48">IF(R$1="","",INDEX('Raw data'!$W$4:$W$267,MATCH("23 days"&amp;'Wide data'!$A$1&amp;'Wide data'!$A48,'Raw data'!$K$4:$K$267&amp;'Raw data'!$L$2&amp;'Raw data'!$L$4:$L$267,0)))</f>
        <v>1.2662666666666667</v>
      </c>
      <c r="S48" s="24">
        <f t="array" ref="S48">IF(S$1="","",INDEX('Raw data'!$W$4:$W$267,MATCH("32 days"&amp;'Wide data'!$A$1&amp;'Wide data'!$A48,'Raw data'!$K$4:$K$267&amp;'Raw data'!$L$2&amp;'Raw data'!$L$4:$L$267,0)))</f>
        <v>1.7835232252410167</v>
      </c>
      <c r="T48" s="24">
        <f t="array" ref="T48">IF(T$1="","",INDEX('Raw data'!$W$4:$W$267,MATCH("39 days"&amp;'Wide data'!$A$1&amp;'Wide data'!$A48,'Raw data'!$K$4:$K$267&amp;'Raw data'!$L$2&amp;'Raw data'!$L$4:$L$267,0)))</f>
        <v>1.7414904444193147</v>
      </c>
      <c r="U48" s="418">
        <f t="array" ref="U48">IF(E$1="","",INDEX('Raw data'!$AN$4:$AN$267,MATCH("Starter"&amp;'Wide data'!$A$1&amp;'Wide data'!$A48,'Raw data'!$AI$4:$AI$267&amp;'Raw data'!$AJ$2&amp;'Raw data'!$AJ$4:$AJ$267,0)))</f>
        <v>0.33724999999999999</v>
      </c>
      <c r="V48" s="418">
        <f t="array" ref="V48">IF(G$1="","",INDEX('Raw data'!$AN$4:$AN$267,MATCH("Grower"&amp;'Wide data'!$A$1&amp;'Wide data'!$A48,'Raw data'!$AI$4:$AI$267&amp;'Raw data'!$AJ$2&amp;'Raw data'!$AJ$4:$AJ$267,0)))</f>
        <v>1.4371794871794872</v>
      </c>
      <c r="W48" s="418">
        <f t="array" ref="W48">IF(H$1="","",INDEX('Raw data'!$AN$4:$AN$267,MATCH("Finisher"&amp;'Wide data'!$A$1&amp;'Wide data'!$A48,'Raw data'!$AI$4:$AI$267&amp;'Raw data'!$AJ$2&amp;'Raw data'!$AJ$4:$AJ$267,0)))</f>
        <v>2.2328947368421055</v>
      </c>
      <c r="X48" s="418">
        <f t="array" ref="X48">IF(H$1="","",INDEX('Raw data'!$AP$4:$AP$267,MATCH("Starter"&amp;'Wide data'!$A$1&amp;'Wide data'!$A48,'Raw data'!$AI$4:$AI$267&amp;'Raw data'!$AJ$2&amp;'Raw data'!$AJ$4:$AJ$267,0)))</f>
        <v>0.29189999999999999</v>
      </c>
      <c r="Y48" s="418">
        <f t="array" ref="Y48">IF(J$1="","",INDEX('Raw data'!$AP$4:$AP$267,MATCH("Grower"&amp;'Wide data'!$A$1&amp;'Wide data'!$A48,'Raw data'!$AI$4:$AI$267&amp;'Raw data'!$AJ$2&amp;'Raw data'!$AJ$4:$AJ$267,0)))</f>
        <v>1.0999294871794871</v>
      </c>
      <c r="Z48" s="418">
        <f t="array" ref="Z48">IF(K$1="","",INDEX('Raw data'!$AP$4:$AP$267,MATCH("Finisher"&amp;'Wide data'!$A$1&amp;'Wide data'!$A48,'Raw data'!$AI$4:$AI$267&amp;'Raw data'!$AJ$2&amp;'Raw data'!$AJ$4:$AJ$267,0)))</f>
        <v>0.79571524966261831</v>
      </c>
      <c r="AA48" s="418">
        <f t="array" ref="AA48">IF(K$1="","",INDEX('Raw data'!$AR$4:$AR$267,MATCH("Starter"&amp;'Wide data'!$A$1&amp;'Wide data'!$A48,'Raw data'!$AI$4:$AI$267&amp;'Raw data'!$AJ$2&amp;'Raw data'!$AJ$4:$AJ$267,0)))</f>
        <v>0.38750000000000001</v>
      </c>
      <c r="AB48" s="418">
        <f t="array" ref="AB48">IF(M$1="","",INDEX('Raw data'!$AR$4:$AR$267,MATCH("Grower"&amp;'Wide data'!$A$1&amp;'Wide data'!$A48,'Raw data'!$AI$4:$AI$267&amp;'Raw data'!$AJ$2&amp;'Raw data'!$AJ$4:$AJ$267,0)))</f>
        <v>2.1910352564102564</v>
      </c>
      <c r="AC48" s="418">
        <f t="array" ref="AC48">IF(N$1="","",INDEX('Raw data'!$AR$4:$AR$267,MATCH("Finisher"&amp;'Wide data'!$A$1&amp;'Wide data'!$A48,'Raw data'!$AI$4:$AI$267&amp;'Raw data'!$AJ$2&amp;'Raw data'!$AJ$4:$AJ$267,0)))</f>
        <v>1.375</v>
      </c>
      <c r="AD48" s="418">
        <f t="array" ref="AD48">IF(N$1="","",INDEX('Raw data'!$AS$4:$AS$267,MATCH("Starter"&amp;'Wide data'!$A$1&amp;'Wide data'!$A48,'Raw data'!$AI$4:$AI$267&amp;'Raw data'!$AJ$2&amp;'Raw data'!$AJ$4:$AJ$267,0)))</f>
        <v>1.1489992587101556</v>
      </c>
      <c r="AE48" s="418">
        <f t="array" ref="AE48">IF(P$1="","",INDEX('Raw data'!$AS$4:$AS$267,MATCH("Grower"&amp;'Wide data'!$A$1&amp;'Wide data'!$A48,'Raw data'!$AI$4:$AI$267&amp;'Raw data'!$AJ$2&amp;'Raw data'!$AJ$4:$AJ$267,0)))</f>
        <v>1.9383111410753413</v>
      </c>
      <c r="AF48" s="418">
        <f t="array" ref="AF48">IF(Q$1="","",INDEX('Raw data'!$AS$4:$AS$267,MATCH("Finisher"&amp;'Wide data'!$A$1&amp;'Wide data'!$A48,'Raw data'!$AI$4:$AI$267&amp;'Raw data'!$AJ$2&amp;'Raw data'!$AJ$4:$AJ$267,0)))</f>
        <v>1.5921538906295167</v>
      </c>
    </row>
    <row r="49" spans="1:32" x14ac:dyDescent="0.25">
      <c r="A49" s="24">
        <f>'Raw data'!L51</f>
        <v>48</v>
      </c>
      <c r="B49" s="24" t="str">
        <f>INDEX('Raw data'!$B$4:$B$69, 'Wide data'!A49)</f>
        <v>T4</v>
      </c>
      <c r="C49" s="24" t="str">
        <f>INDEX('Raw data'!$C$4:$C$69, 'Wide data'!A49)</f>
        <v>R7</v>
      </c>
      <c r="D49" s="24">
        <f t="array" ref="D49">INDEX('Raw data'!$F$4:$F$69,MATCH($A$1&amp;'Wide data'!$A49,'Raw data'!$A$3&amp;'Raw data'!$A$4:$A$69,0))</f>
        <v>4.5425E-2</v>
      </c>
      <c r="E49" s="24">
        <f t="array" ref="E49">IF(E$1="","",INDEX('Raw data'!$Q$4:$Q$267,MATCH("14 days"&amp;'Wide data'!$A$1&amp;'Wide data'!$A49,'Raw data'!$K$4:$K$267&amp;'Raw data'!$L$2&amp;'Raw data'!$L$4:$L$267,0)))</f>
        <v>0.34447368421052632</v>
      </c>
      <c r="F49" s="24">
        <f t="array" ref="F49">IF(F$1="","",INDEX('Raw data'!$Q$4:$Q$267,MATCH("23 days"&amp;'Wide data'!$A$1&amp;'Wide data'!$A49,'Raw data'!$K$4:$K$267&amp;'Raw data'!$L$2&amp;'Raw data'!$L$4:$L$267,0)))</f>
        <v>0.96184210526315783</v>
      </c>
      <c r="G49" s="24">
        <f t="array" ref="G49">IF(G$1="","",INDEX('Raw data'!$Q$4:$Q$267,MATCH("32 days"&amp;'Wide data'!$A$1&amp;'Wide data'!$A49,'Raw data'!$K$4:$K$267&amp;'Raw data'!$L$2&amp;'Raw data'!$L$4:$L$267,0)))</f>
        <v>1.419736842105263</v>
      </c>
      <c r="H49" s="24">
        <f t="array" ref="H49">IF(H$1="","",INDEX('Raw data'!$Q$4:$Q$267,MATCH("39 days"&amp;'Wide data'!$A$1&amp;'Wide data'!$A49,'Raw data'!$K$4:$K$267&amp;'Raw data'!$L$2&amp;'Raw data'!$L$4:$L$267,0)))</f>
        <v>2.2216216216216211</v>
      </c>
      <c r="I49" s="24">
        <f t="array" ref="I49">IF(I$1="","",INDEX('Raw data'!$S$4:$S$267,MATCH("14 days"&amp;'Wide data'!$A$1&amp;'Wide data'!$A49,'Raw data'!$K$4:$K$267&amp;'Raw data'!$L$2&amp;'Raw data'!$L$4:$L$267,0)))</f>
        <v>0.29904868421052633</v>
      </c>
      <c r="J49" s="24">
        <f t="array" ref="J49">IF(J$1="","",INDEX('Raw data'!$S$4:$S$267,MATCH("23 days"&amp;'Wide data'!$A$1&amp;'Wide data'!$A49,'Raw data'!$K$4:$K$267&amp;'Raw data'!$L$2&amp;'Raw data'!$L$4:$L$267,0)))</f>
        <v>0.61736842105263157</v>
      </c>
      <c r="K49" s="24">
        <f t="array" ref="K49">IF(K$1="","",INDEX('Raw data'!$S$4:$S$267,MATCH("32 days"&amp;'Wide data'!$A$1&amp;'Wide data'!$A49,'Raw data'!$K$4:$K$267&amp;'Raw data'!$L$2&amp;'Raw data'!$L$4:$L$267,0)))</f>
        <v>0.45789473684210513</v>
      </c>
      <c r="L49" s="24">
        <f t="array" ref="L49">IF(L$1="","",INDEX('Raw data'!$S$4:$S$267,MATCH("39 days"&amp;'Wide data'!$A$1&amp;'Wide data'!$A49,'Raw data'!$K$4:$K$267&amp;'Raw data'!$L$2&amp;'Raw data'!$L$4:$L$267,0)))</f>
        <v>0.80188477951635817</v>
      </c>
      <c r="M49" s="24">
        <f t="array" ref="M49">IF(M$1="","",INDEX('Raw data'!$V$4:$V$267,MATCH("14 days"&amp;'Wide data'!$A$1&amp;'Wide data'!$A49,'Raw data'!$K$4:$K$267&amp;'Raw data'!$L$2&amp;'Raw data'!$L$4:$L$267,0)))</f>
        <v>0.41842105263157903</v>
      </c>
      <c r="N49" s="24">
        <f t="array" ref="N49">IF(N$1="","",INDEX('Raw data'!$V$4:$V$267,MATCH("23 days"&amp;'Wide data'!$A$1&amp;'Wide data'!$A49,'Raw data'!$K$4:$K$267&amp;'Raw data'!$L$2&amp;'Raw data'!$L$4:$L$267,0)))</f>
        <v>0.84039473684210531</v>
      </c>
      <c r="O49" s="24">
        <f t="array" ref="O49">IF(O$1="","",INDEX('Raw data'!$V$4:$V$267,MATCH("32 days"&amp;'Wide data'!$A$1&amp;'Wide data'!$A49,'Raw data'!$K$4:$K$267&amp;'Raw data'!$L$2&amp;'Raw data'!$L$4:$L$267,0)))</f>
        <v>1.3925000000000001</v>
      </c>
      <c r="P49" s="24">
        <f t="array" ref="P49">IF(P$1="","",INDEX('Raw data'!$V$4:$V$267,MATCH("39 days"&amp;'Wide data'!$A$1&amp;'Wide data'!$A49,'Raw data'!$K$4:$K$267&amp;'Raw data'!$L$2&amp;'Raw data'!$L$4:$L$267,0)))</f>
        <v>1.3905405405405407</v>
      </c>
      <c r="Q49" s="24">
        <f t="array" ref="Q49">IF(Q$1="","",INDEX('Raw data'!$W$4:$W$267,MATCH("14 days"&amp;'Wide data'!$A$1&amp;'Wide data'!$A49,'Raw data'!$K$4:$K$267&amp;'Raw data'!$L$2&amp;'Raw data'!$L$4:$L$267,0)))</f>
        <v>1.1656891495601174</v>
      </c>
      <c r="R49" s="24">
        <f t="array" ref="R49">IF(R$1="","",INDEX('Raw data'!$W$4:$W$267,MATCH("23 days"&amp;'Wide data'!$A$1&amp;'Wide data'!$A49,'Raw data'!$K$4:$K$267&amp;'Raw data'!$L$2&amp;'Raw data'!$L$4:$L$267,0)))</f>
        <v>1.2893530997304585</v>
      </c>
      <c r="S49" s="24">
        <f t="array" ref="S49">IF(S$1="","",INDEX('Raw data'!$W$4:$W$267,MATCH("32 days"&amp;'Wide data'!$A$1&amp;'Wide data'!$A49,'Raw data'!$K$4:$K$267&amp;'Raw data'!$L$2&amp;'Raw data'!$L$4:$L$267,0)))</f>
        <v>1.8486238532110093</v>
      </c>
      <c r="T49" s="24">
        <f t="array" ref="T49">IF(T$1="","",INDEX('Raw data'!$W$4:$W$267,MATCH("39 days"&amp;'Wide data'!$A$1&amp;'Wide data'!$A49,'Raw data'!$K$4:$K$267&amp;'Raw data'!$L$2&amp;'Raw data'!$L$4:$L$267,0)))</f>
        <v>1.7995436111472392</v>
      </c>
      <c r="U49" s="418">
        <f t="array" ref="U49">IF(E$1="","",INDEX('Raw data'!$AN$4:$AN$267,MATCH("Starter"&amp;'Wide data'!$A$1&amp;'Wide data'!$A49,'Raw data'!$AI$4:$AI$267&amp;'Raw data'!$AJ$2&amp;'Raw data'!$AJ$4:$AJ$267,0)))</f>
        <v>0.34447368421052632</v>
      </c>
      <c r="V49" s="418">
        <f t="array" ref="V49">IF(G$1="","",INDEX('Raw data'!$AN$4:$AN$267,MATCH("Grower"&amp;'Wide data'!$A$1&amp;'Wide data'!$A49,'Raw data'!$AI$4:$AI$267&amp;'Raw data'!$AJ$2&amp;'Raw data'!$AJ$4:$AJ$267,0)))</f>
        <v>1.419736842105263</v>
      </c>
      <c r="W49" s="418">
        <f t="array" ref="W49">IF(H$1="","",INDEX('Raw data'!$AN$4:$AN$267,MATCH("Finisher"&amp;'Wide data'!$A$1&amp;'Wide data'!$A49,'Raw data'!$AI$4:$AI$267&amp;'Raw data'!$AJ$2&amp;'Raw data'!$AJ$4:$AJ$267,0)))</f>
        <v>2.2216216216216211</v>
      </c>
      <c r="X49" s="418">
        <f t="array" ref="X49">IF(H$1="","",INDEX('Raw data'!$AP$4:$AP$267,MATCH("Starter"&amp;'Wide data'!$A$1&amp;'Wide data'!$A49,'Raw data'!$AI$4:$AI$267&amp;'Raw data'!$AJ$2&amp;'Raw data'!$AJ$4:$AJ$267,0)))</f>
        <v>0.29904868421052633</v>
      </c>
      <c r="Y49" s="418">
        <f t="array" ref="Y49">IF(J$1="","",INDEX('Raw data'!$AP$4:$AP$267,MATCH("Grower"&amp;'Wide data'!$A$1&amp;'Wide data'!$A49,'Raw data'!$AI$4:$AI$267&amp;'Raw data'!$AJ$2&amp;'Raw data'!$AJ$4:$AJ$267,0)))</f>
        <v>1.0752631578947367</v>
      </c>
      <c r="Z49" s="418">
        <f t="array" ref="Z49">IF(K$1="","",INDEX('Raw data'!$AP$4:$AP$267,MATCH("Finisher"&amp;'Wide data'!$A$1&amp;'Wide data'!$A49,'Raw data'!$AI$4:$AI$267&amp;'Raw data'!$AJ$2&amp;'Raw data'!$AJ$4:$AJ$267,0)))</f>
        <v>0.80188477951635817</v>
      </c>
      <c r="AA49" s="418">
        <f t="array" ref="AA49">IF(K$1="","",INDEX('Raw data'!$AR$4:$AR$267,MATCH("Starter"&amp;'Wide data'!$A$1&amp;'Wide data'!$A49,'Raw data'!$AI$4:$AI$267&amp;'Raw data'!$AJ$2&amp;'Raw data'!$AJ$4:$AJ$267,0)))</f>
        <v>0.41842105263157903</v>
      </c>
      <c r="AB49" s="418">
        <f t="array" ref="AB49">IF(M$1="","",INDEX('Raw data'!$AR$4:$AR$267,MATCH("Grower"&amp;'Wide data'!$A$1&amp;'Wide data'!$A49,'Raw data'!$AI$4:$AI$267&amp;'Raw data'!$AJ$2&amp;'Raw data'!$AJ$4:$AJ$267,0)))</f>
        <v>2.2328947368421055</v>
      </c>
      <c r="AC49" s="418">
        <f t="array" ref="AC49">IF(N$1="","",INDEX('Raw data'!$AR$4:$AR$267,MATCH("Finisher"&amp;'Wide data'!$A$1&amp;'Wide data'!$A49,'Raw data'!$AI$4:$AI$267&amp;'Raw data'!$AJ$2&amp;'Raw data'!$AJ$4:$AJ$267,0)))</f>
        <v>1.3905405405405407</v>
      </c>
      <c r="AD49" s="418">
        <f t="array" ref="AD49">IF(N$1="","",INDEX('Raw data'!$AS$4:$AS$267,MATCH("Starter"&amp;'Wide data'!$A$1&amp;'Wide data'!$A49,'Raw data'!$AI$4:$AI$267&amp;'Raw data'!$AJ$2&amp;'Raw data'!$AJ$4:$AJ$267,0)))</f>
        <v>1.1656891495601174</v>
      </c>
      <c r="AE49" s="418">
        <f t="array" ref="AE49">IF(P$1="","",INDEX('Raw data'!$AS$4:$AS$267,MATCH("Grower"&amp;'Wide data'!$A$1&amp;'Wide data'!$A49,'Raw data'!$AI$4:$AI$267&amp;'Raw data'!$AJ$2&amp;'Raw data'!$AJ$4:$AJ$267,0)))</f>
        <v>2.0766030347528144</v>
      </c>
      <c r="AF49" s="418">
        <f t="array" ref="AF49">IF(Q$1="","",INDEX('Raw data'!$AS$4:$AS$267,MATCH("Finisher"&amp;'Wide data'!$A$1&amp;'Wide data'!$A49,'Raw data'!$AI$4:$AI$267&amp;'Raw data'!$AJ$2&amp;'Raw data'!$AJ$4:$AJ$267,0)))</f>
        <v>1.6335025516427775</v>
      </c>
    </row>
    <row r="50" spans="1:32" x14ac:dyDescent="0.25">
      <c r="A50" s="24">
        <f>'Raw data'!L52</f>
        <v>49</v>
      </c>
      <c r="B50" s="24" t="str">
        <f>INDEX('Raw data'!$B$4:$B$69, 'Wide data'!A50)</f>
        <v>T5</v>
      </c>
      <c r="C50" s="24" t="str">
        <f>INDEX('Raw data'!$C$4:$C$69, 'Wide data'!A50)</f>
        <v>R7</v>
      </c>
      <c r="D50" s="24">
        <f t="array" ref="D50">INDEX('Raw data'!$F$4:$F$69,MATCH($A$1&amp;'Wide data'!$A50,'Raw data'!$A$3&amp;'Raw data'!$A$4:$A$69,0))</f>
        <v>4.5524999999999996E-2</v>
      </c>
      <c r="E50" s="24">
        <f t="array" ref="E50">IF(E$1="","",INDEX('Raw data'!$Q$4:$Q$267,MATCH("14 days"&amp;'Wide data'!$A$1&amp;'Wide data'!$A50,'Raw data'!$K$4:$K$267&amp;'Raw data'!$L$2&amp;'Raw data'!$L$4:$L$267,0)))</f>
        <v>0.34974358974358971</v>
      </c>
      <c r="F50" s="24">
        <f t="array" ref="F50">IF(F$1="","",INDEX('Raw data'!$Q$4:$Q$267,MATCH("23 days"&amp;'Wide data'!$A$1&amp;'Wide data'!$A50,'Raw data'!$K$4:$K$267&amp;'Raw data'!$L$2&amp;'Raw data'!$L$4:$L$267,0)))</f>
        <v>0.96666666666666679</v>
      </c>
      <c r="G50" s="24">
        <f t="array" ref="G50">IF(G$1="","",INDEX('Raw data'!$Q$4:$Q$267,MATCH("32 days"&amp;'Wide data'!$A$1&amp;'Wide data'!$A50,'Raw data'!$K$4:$K$267&amp;'Raw data'!$L$2&amp;'Raw data'!$L$4:$L$267,0)))</f>
        <v>1.4342105263157894</v>
      </c>
      <c r="H50" s="24">
        <f t="array" ref="H50">IF(H$1="","",INDEX('Raw data'!$Q$4:$Q$267,MATCH("39 days"&amp;'Wide data'!$A$1&amp;'Wide data'!$A50,'Raw data'!$K$4:$K$267&amp;'Raw data'!$L$2&amp;'Raw data'!$L$4:$L$267,0)))</f>
        <v>2.2434210526315788</v>
      </c>
      <c r="I50" s="24">
        <f t="array" ref="I50">IF(I$1="","",INDEX('Raw data'!$S$4:$S$267,MATCH("14 days"&amp;'Wide data'!$A$1&amp;'Wide data'!$A50,'Raw data'!$K$4:$K$267&amp;'Raw data'!$L$2&amp;'Raw data'!$L$4:$L$267,0)))</f>
        <v>0.30421858974358973</v>
      </c>
      <c r="J50" s="24">
        <f t="array" ref="J50">IF(J$1="","",INDEX('Raw data'!$S$4:$S$267,MATCH("23 days"&amp;'Wide data'!$A$1&amp;'Wide data'!$A50,'Raw data'!$K$4:$K$267&amp;'Raw data'!$L$2&amp;'Raw data'!$L$4:$L$267,0)))</f>
        <v>0.61692307692307713</v>
      </c>
      <c r="K50" s="24">
        <f t="array" ref="K50">IF(K$1="","",INDEX('Raw data'!$S$4:$S$267,MATCH("32 days"&amp;'Wide data'!$A$1&amp;'Wide data'!$A50,'Raw data'!$K$4:$K$267&amp;'Raw data'!$L$2&amp;'Raw data'!$L$4:$L$267,0)))</f>
        <v>0.4675438596491226</v>
      </c>
      <c r="L50" s="24">
        <f t="array" ref="L50">IF(L$1="","",INDEX('Raw data'!$S$4:$S$267,MATCH("39 days"&amp;'Wide data'!$A$1&amp;'Wide data'!$A50,'Raw data'!$K$4:$K$267&amp;'Raw data'!$L$2&amp;'Raw data'!$L$4:$L$267,0)))</f>
        <v>0.80921052631578938</v>
      </c>
      <c r="M50" s="24">
        <f t="array" ref="M50">IF(M$1="","",INDEX('Raw data'!$V$4:$V$267,MATCH("14 days"&amp;'Wide data'!$A$1&amp;'Wide data'!$A50,'Raw data'!$K$4:$K$267&amp;'Raw data'!$L$2&amp;'Raw data'!$L$4:$L$267,0)))</f>
        <v>0.40769230769230763</v>
      </c>
      <c r="N50" s="24">
        <f t="array" ref="N50">IF(N$1="","",INDEX('Raw data'!$V$4:$V$267,MATCH("23 days"&amp;'Wide data'!$A$1&amp;'Wide data'!$A50,'Raw data'!$K$4:$K$267&amp;'Raw data'!$L$2&amp;'Raw data'!$L$4:$L$267,0)))</f>
        <v>0.841923076923077</v>
      </c>
      <c r="O50" s="24">
        <f t="array" ref="O50">IF(O$1="","",INDEX('Raw data'!$V$4:$V$267,MATCH("32 days"&amp;'Wide data'!$A$1&amp;'Wide data'!$A50,'Raw data'!$K$4:$K$267&amp;'Raw data'!$L$2&amp;'Raw data'!$L$4:$L$267,0)))</f>
        <v>1.4135526315789473</v>
      </c>
      <c r="P50" s="24">
        <f t="array" ref="P50">IF(P$1="","",INDEX('Raw data'!$V$4:$V$267,MATCH("39 days"&amp;'Wide data'!$A$1&amp;'Wide data'!$A50,'Raw data'!$K$4:$K$267&amp;'Raw data'!$L$2&amp;'Raw data'!$L$4:$L$267,0)))</f>
        <v>1.3736842105263158</v>
      </c>
      <c r="Q50" s="24">
        <f t="array" ref="Q50">IF(Q$1="","",INDEX('Raw data'!$W$4:$W$267,MATCH("14 days"&amp;'Wide data'!$A$1&amp;'Wide data'!$A50,'Raw data'!$K$4:$K$267&amp;'Raw data'!$L$2&amp;'Raw data'!$L$4:$L$267,0)))</f>
        <v>1.1600758791770027</v>
      </c>
      <c r="R50" s="24">
        <f t="array" ref="R50">IF(R$1="","",INDEX('Raw data'!$W$4:$W$267,MATCH("23 days"&amp;'Wide data'!$A$1&amp;'Wide data'!$A50,'Raw data'!$K$4:$K$267&amp;'Raw data'!$L$2&amp;'Raw data'!$L$4:$L$267,0)))</f>
        <v>1.2904464332997934</v>
      </c>
      <c r="S50" s="24">
        <f t="array" ref="S50">IF(S$1="","",INDEX('Raw data'!$W$4:$W$267,MATCH("32 days"&amp;'Wide data'!$A$1&amp;'Wide data'!$A50,'Raw data'!$K$4:$K$267&amp;'Raw data'!$L$2&amp;'Raw data'!$L$4:$L$267,0)))</f>
        <v>1.8420957997698504</v>
      </c>
      <c r="T50" s="24">
        <f t="array" ref="T50">IF(T$1="","",INDEX('Raw data'!$W$4:$W$267,MATCH("39 days"&amp;'Wide data'!$A$1&amp;'Wide data'!$A50,'Raw data'!$K$4:$K$267&amp;'Raw data'!$L$2&amp;'Raw data'!$L$4:$L$267,0)))</f>
        <v>1.7906352036681101</v>
      </c>
      <c r="U50" s="418">
        <f t="array" ref="U50">IF(E$1="","",INDEX('Raw data'!$AN$4:$AN$267,MATCH("Starter"&amp;'Wide data'!$A$1&amp;'Wide data'!$A50,'Raw data'!$AI$4:$AI$267&amp;'Raw data'!$AJ$2&amp;'Raw data'!$AJ$4:$AJ$267,0)))</f>
        <v>0.34974358974358971</v>
      </c>
      <c r="V50" s="418">
        <f t="array" ref="V50">IF(G$1="","",INDEX('Raw data'!$AN$4:$AN$267,MATCH("Grower"&amp;'Wide data'!$A$1&amp;'Wide data'!$A50,'Raw data'!$AI$4:$AI$267&amp;'Raw data'!$AJ$2&amp;'Raw data'!$AJ$4:$AJ$267,0)))</f>
        <v>1.4342105263157894</v>
      </c>
      <c r="W50" s="418">
        <f t="array" ref="W50">IF(H$1="","",INDEX('Raw data'!$AN$4:$AN$267,MATCH("Finisher"&amp;'Wide data'!$A$1&amp;'Wide data'!$A50,'Raw data'!$AI$4:$AI$267&amp;'Raw data'!$AJ$2&amp;'Raw data'!$AJ$4:$AJ$267,0)))</f>
        <v>2.2434210526315788</v>
      </c>
      <c r="X50" s="418">
        <f t="array" ref="X50">IF(H$1="","",INDEX('Raw data'!$AP$4:$AP$267,MATCH("Starter"&amp;'Wide data'!$A$1&amp;'Wide data'!$A50,'Raw data'!$AI$4:$AI$267&amp;'Raw data'!$AJ$2&amp;'Raw data'!$AJ$4:$AJ$267,0)))</f>
        <v>0.30421858974358973</v>
      </c>
      <c r="Y50" s="418">
        <f t="array" ref="Y50">IF(J$1="","",INDEX('Raw data'!$AP$4:$AP$267,MATCH("Grower"&amp;'Wide data'!$A$1&amp;'Wide data'!$A50,'Raw data'!$AI$4:$AI$267&amp;'Raw data'!$AJ$2&amp;'Raw data'!$AJ$4:$AJ$267,0)))</f>
        <v>1.0844669365721997</v>
      </c>
      <c r="Z50" s="418">
        <f t="array" ref="Z50">IF(K$1="","",INDEX('Raw data'!$AP$4:$AP$267,MATCH("Finisher"&amp;'Wide data'!$A$1&amp;'Wide data'!$A50,'Raw data'!$AI$4:$AI$267&amp;'Raw data'!$AJ$2&amp;'Raw data'!$AJ$4:$AJ$267,0)))</f>
        <v>0.80921052631578938</v>
      </c>
      <c r="AA50" s="418">
        <f t="array" ref="AA50">IF(K$1="","",INDEX('Raw data'!$AR$4:$AR$267,MATCH("Starter"&amp;'Wide data'!$A$1&amp;'Wide data'!$A50,'Raw data'!$AI$4:$AI$267&amp;'Raw data'!$AJ$2&amp;'Raw data'!$AJ$4:$AJ$267,0)))</f>
        <v>0.40769230769230763</v>
      </c>
      <c r="AB50" s="418">
        <f t="array" ref="AB50">IF(M$1="","",INDEX('Raw data'!$AR$4:$AR$267,MATCH("Grower"&amp;'Wide data'!$A$1&amp;'Wide data'!$A50,'Raw data'!$AI$4:$AI$267&amp;'Raw data'!$AJ$2&amp;'Raw data'!$AJ$4:$AJ$267,0)))</f>
        <v>2.2554757085020243</v>
      </c>
      <c r="AC50" s="418">
        <f t="array" ref="AC50">IF(N$1="","",INDEX('Raw data'!$AR$4:$AR$267,MATCH("Finisher"&amp;'Wide data'!$A$1&amp;'Wide data'!$A50,'Raw data'!$AI$4:$AI$267&amp;'Raw data'!$AJ$2&amp;'Raw data'!$AJ$4:$AJ$267,0)))</f>
        <v>1.3736842105263158</v>
      </c>
      <c r="AD50" s="418">
        <f t="array" ref="AD50">IF(N$1="","",INDEX('Raw data'!$AS$4:$AS$267,MATCH("Starter"&amp;'Wide data'!$A$1&amp;'Wide data'!$A50,'Raw data'!$AI$4:$AI$267&amp;'Raw data'!$AJ$2&amp;'Raw data'!$AJ$4:$AJ$267,0)))</f>
        <v>1.1600758791770027</v>
      </c>
      <c r="AE50" s="418">
        <f t="array" ref="AE50">IF(P$1="","",INDEX('Raw data'!$AS$4:$AS$267,MATCH("Grower"&amp;'Wide data'!$A$1&amp;'Wide data'!$A50,'Raw data'!$AI$4:$AI$267&amp;'Raw data'!$AJ$2&amp;'Raw data'!$AJ$4:$AJ$267,0)))</f>
        <v>2.0185804244732957</v>
      </c>
      <c r="AF50" s="418">
        <f t="array" ref="AF50">IF(Q$1="","",INDEX('Raw data'!$AS$4:$AS$267,MATCH("Finisher"&amp;'Wide data'!$A$1&amp;'Wide data'!$A50,'Raw data'!$AI$4:$AI$267&amp;'Raw data'!$AJ$2&amp;'Raw data'!$AJ$4:$AJ$267,0)))</f>
        <v>1.6975609756097565</v>
      </c>
    </row>
    <row r="51" spans="1:32" x14ac:dyDescent="0.25">
      <c r="A51" s="24">
        <f>'Raw data'!L53</f>
        <v>50</v>
      </c>
      <c r="B51" s="24" t="str">
        <f>INDEX('Raw data'!$B$4:$B$69, 'Wide data'!A51)</f>
        <v>T1</v>
      </c>
      <c r="C51" s="24" t="str">
        <f>INDEX('Raw data'!$C$4:$C$69, 'Wide data'!A51)</f>
        <v>R7</v>
      </c>
      <c r="D51" s="24">
        <f t="array" ref="D51">INDEX('Raw data'!$F$4:$F$69,MATCH($A$1&amp;'Wide data'!$A51,'Raw data'!$A$3&amp;'Raw data'!$A$4:$A$69,0))</f>
        <v>4.5975000000000002E-2</v>
      </c>
      <c r="E51" s="24">
        <f t="array" ref="E51">IF(E$1="","",INDEX('Raw data'!$Q$4:$Q$267,MATCH("14 days"&amp;'Wide data'!$A$1&amp;'Wide data'!$A51,'Raw data'!$K$4:$K$267&amp;'Raw data'!$L$2&amp;'Raw data'!$L$4:$L$267,0)))</f>
        <v>0.3707894736842105</v>
      </c>
      <c r="F51" s="24">
        <f t="array" ref="F51">IF(F$1="","",INDEX('Raw data'!$Q$4:$Q$267,MATCH("23 days"&amp;'Wide data'!$A$1&amp;'Wide data'!$A51,'Raw data'!$K$4:$K$267&amp;'Raw data'!$L$2&amp;'Raw data'!$L$4:$L$267,0)))</f>
        <v>0.98684210526315785</v>
      </c>
      <c r="G51" s="24">
        <f t="array" ref="G51">IF(G$1="","",INDEX('Raw data'!$Q$4:$Q$267,MATCH("32 days"&amp;'Wide data'!$A$1&amp;'Wide data'!$A51,'Raw data'!$K$4:$K$267&amp;'Raw data'!$L$2&amp;'Raw data'!$L$4:$L$267,0)))</f>
        <v>1.5270270270270268</v>
      </c>
      <c r="H51" s="24">
        <f t="array" ref="H51">IF(H$1="","",INDEX('Raw data'!$Q$4:$Q$267,MATCH("39 days"&amp;'Wide data'!$A$1&amp;'Wide data'!$A51,'Raw data'!$K$4:$K$267&amp;'Raw data'!$L$2&amp;'Raw data'!$L$4:$L$267,0)))</f>
        <v>2.3763888888888887</v>
      </c>
      <c r="I51" s="24">
        <f t="array" ref="I51">IF(I$1="","",INDEX('Raw data'!$S$4:$S$267,MATCH("14 days"&amp;'Wide data'!$A$1&amp;'Wide data'!$A51,'Raw data'!$K$4:$K$267&amp;'Raw data'!$L$2&amp;'Raw data'!$L$4:$L$267,0)))</f>
        <v>0.32481447368421051</v>
      </c>
      <c r="J51" s="24">
        <f t="array" ref="J51">IF(J$1="","",INDEX('Raw data'!$S$4:$S$267,MATCH("23 days"&amp;'Wide data'!$A$1&amp;'Wide data'!$A51,'Raw data'!$K$4:$K$267&amp;'Raw data'!$L$2&amp;'Raw data'!$L$4:$L$267,0)))</f>
        <v>0.61605263157894741</v>
      </c>
      <c r="K51" s="24">
        <f t="array" ref="K51">IF(K$1="","",INDEX('Raw data'!$S$4:$S$267,MATCH("32 days"&amp;'Wide data'!$A$1&amp;'Wide data'!$A51,'Raw data'!$K$4:$K$267&amp;'Raw data'!$L$2&amp;'Raw data'!$L$4:$L$267,0)))</f>
        <v>0.5401849217638689</v>
      </c>
      <c r="L51" s="24">
        <f t="array" ref="L51">IF(L$1="","",INDEX('Raw data'!$S$4:$S$267,MATCH("39 days"&amp;'Wide data'!$A$1&amp;'Wide data'!$A51,'Raw data'!$K$4:$K$267&amp;'Raw data'!$L$2&amp;'Raw data'!$L$4:$L$267,0)))</f>
        <v>0.84936186186186191</v>
      </c>
      <c r="M51" s="24">
        <f t="array" ref="M51">IF(M$1="","",INDEX('Raw data'!$V$4:$V$267,MATCH("14 days"&amp;'Wide data'!$A$1&amp;'Wide data'!$A51,'Raw data'!$K$4:$K$267&amp;'Raw data'!$L$2&amp;'Raw data'!$L$4:$L$267,0)))</f>
        <v>0.43157894736842101</v>
      </c>
      <c r="N51" s="24">
        <f t="array" ref="N51">IF(N$1="","",INDEX('Raw data'!$V$4:$V$267,MATCH("23 days"&amp;'Wide data'!$A$1&amp;'Wide data'!$A51,'Raw data'!$K$4:$K$267&amp;'Raw data'!$L$2&amp;'Raw data'!$L$4:$L$267,0)))</f>
        <v>0.8377631578947371</v>
      </c>
      <c r="O51" s="24">
        <f t="array" ref="O51">IF(O$1="","",INDEX('Raw data'!$V$4:$V$267,MATCH("32 days"&amp;'Wide data'!$A$1&amp;'Wide data'!$A51,'Raw data'!$K$4:$K$267&amp;'Raw data'!$L$2&amp;'Raw data'!$L$4:$L$267,0)))</f>
        <v>1.46527027027027</v>
      </c>
      <c r="P51" s="24">
        <f t="array" ref="P51">IF(P$1="","",INDEX('Raw data'!$V$4:$V$267,MATCH("39 days"&amp;'Wide data'!$A$1&amp;'Wide data'!$A51,'Raw data'!$K$4:$K$267&amp;'Raw data'!$L$2&amp;'Raw data'!$L$4:$L$267,0)))</f>
        <v>1.4944444444444445</v>
      </c>
      <c r="Q51" s="24">
        <f t="array" ref="Q51">IF(Q$1="","",INDEX('Raw data'!$W$4:$W$267,MATCH("14 days"&amp;'Wide data'!$A$1&amp;'Wide data'!$A51,'Raw data'!$K$4:$K$267&amp;'Raw data'!$L$2&amp;'Raw data'!$L$4:$L$267,0)))</f>
        <v>1.127302722023646</v>
      </c>
      <c r="R51" s="24">
        <f t="array" ref="R51">IF(R$1="","",INDEX('Raw data'!$W$4:$W$267,MATCH("23 days"&amp;'Wide data'!$A$1&amp;'Wide data'!$A51,'Raw data'!$K$4:$K$267&amp;'Raw data'!$L$2&amp;'Raw data'!$L$4:$L$267,0)))</f>
        <v>1.2707466146793827</v>
      </c>
      <c r="S51" s="24">
        <f t="array" ref="S51">IF(S$1="","",INDEX('Raw data'!$W$4:$W$267,MATCH("32 days"&amp;'Wide data'!$A$1&amp;'Wide data'!$A51,'Raw data'!$K$4:$K$267&amp;'Raw data'!$L$2&amp;'Raw data'!$L$4:$L$267,0)))</f>
        <v>1.7676593395217226</v>
      </c>
      <c r="T51" s="24">
        <f t="array" ref="T51">IF(T$1="","",INDEX('Raw data'!$W$4:$W$267,MATCH("39 days"&amp;'Wide data'!$A$1&amp;'Wide data'!$A51,'Raw data'!$K$4:$K$267&amp;'Raw data'!$L$2&amp;'Raw data'!$L$4:$L$267,0)))</f>
        <v>1.7479192768927869</v>
      </c>
      <c r="U51" s="418">
        <f t="array" ref="U51">IF(E$1="","",INDEX('Raw data'!$AN$4:$AN$267,MATCH("Starter"&amp;'Wide data'!$A$1&amp;'Wide data'!$A51,'Raw data'!$AI$4:$AI$267&amp;'Raw data'!$AJ$2&amp;'Raw data'!$AJ$4:$AJ$267,0)))</f>
        <v>0.3707894736842105</v>
      </c>
      <c r="V51" s="418">
        <f t="array" ref="V51">IF(G$1="","",INDEX('Raw data'!$AN$4:$AN$267,MATCH("Grower"&amp;'Wide data'!$A$1&amp;'Wide data'!$A51,'Raw data'!$AI$4:$AI$267&amp;'Raw data'!$AJ$2&amp;'Raw data'!$AJ$4:$AJ$267,0)))</f>
        <v>1.5270270270270268</v>
      </c>
      <c r="W51" s="418">
        <f t="array" ref="W51">IF(H$1="","",INDEX('Raw data'!$AN$4:$AN$267,MATCH("Finisher"&amp;'Wide data'!$A$1&amp;'Wide data'!$A51,'Raw data'!$AI$4:$AI$267&amp;'Raw data'!$AJ$2&amp;'Raw data'!$AJ$4:$AJ$267,0)))</f>
        <v>2.3763888888888887</v>
      </c>
      <c r="X51" s="418">
        <f t="array" ref="X51">IF(H$1="","",INDEX('Raw data'!$AP$4:$AP$267,MATCH("Starter"&amp;'Wide data'!$A$1&amp;'Wide data'!$A51,'Raw data'!$AI$4:$AI$267&amp;'Raw data'!$AJ$2&amp;'Raw data'!$AJ$4:$AJ$267,0)))</f>
        <v>0.32481447368421051</v>
      </c>
      <c r="Y51" s="418">
        <f t="array" ref="Y51">IF(J$1="","",INDEX('Raw data'!$AP$4:$AP$267,MATCH("Grower"&amp;'Wide data'!$A$1&amp;'Wide data'!$A51,'Raw data'!$AI$4:$AI$267&amp;'Raw data'!$AJ$2&amp;'Raw data'!$AJ$4:$AJ$267,0)))</f>
        <v>1.1562375533428164</v>
      </c>
      <c r="Z51" s="418">
        <f t="array" ref="Z51">IF(K$1="","",INDEX('Raw data'!$AP$4:$AP$267,MATCH("Finisher"&amp;'Wide data'!$A$1&amp;'Wide data'!$A51,'Raw data'!$AI$4:$AI$267&amp;'Raw data'!$AJ$2&amp;'Raw data'!$AJ$4:$AJ$267,0)))</f>
        <v>0.84936186186186191</v>
      </c>
      <c r="AA51" s="418">
        <f t="array" ref="AA51">IF(K$1="","",INDEX('Raw data'!$AR$4:$AR$267,MATCH("Starter"&amp;'Wide data'!$A$1&amp;'Wide data'!$A51,'Raw data'!$AI$4:$AI$267&amp;'Raw data'!$AJ$2&amp;'Raw data'!$AJ$4:$AJ$267,0)))</f>
        <v>0.43157894736842101</v>
      </c>
      <c r="AB51" s="418">
        <f t="array" ref="AB51">IF(M$1="","",INDEX('Raw data'!$AR$4:$AR$267,MATCH("Grower"&amp;'Wide data'!$A$1&amp;'Wide data'!$A51,'Raw data'!$AI$4:$AI$267&amp;'Raw data'!$AJ$2&amp;'Raw data'!$AJ$4:$AJ$267,0)))</f>
        <v>2.3030334281650071</v>
      </c>
      <c r="AC51" s="418">
        <f t="array" ref="AC51">IF(N$1="","",INDEX('Raw data'!$AR$4:$AR$267,MATCH("Finisher"&amp;'Wide data'!$A$1&amp;'Wide data'!$A51,'Raw data'!$AI$4:$AI$267&amp;'Raw data'!$AJ$2&amp;'Raw data'!$AJ$4:$AJ$267,0)))</f>
        <v>1.4944444444444445</v>
      </c>
      <c r="AD51" s="418">
        <f t="array" ref="AD51">IF(N$1="","",INDEX('Raw data'!$AS$4:$AS$267,MATCH("Starter"&amp;'Wide data'!$A$1&amp;'Wide data'!$A51,'Raw data'!$AI$4:$AI$267&amp;'Raw data'!$AJ$2&amp;'Raw data'!$AJ$4:$AJ$267,0)))</f>
        <v>1.127302722023646</v>
      </c>
      <c r="AE51" s="418">
        <f t="array" ref="AE51">IF(P$1="","",INDEX('Raw data'!$AS$4:$AS$267,MATCH("Grower"&amp;'Wide data'!$A$1&amp;'Wide data'!$A51,'Raw data'!$AI$4:$AI$267&amp;'Raw data'!$AJ$2&amp;'Raw data'!$AJ$4:$AJ$267,0)))</f>
        <v>1.9382009151907442</v>
      </c>
      <c r="AF51" s="418">
        <f t="array" ref="AF51">IF(Q$1="","",INDEX('Raw data'!$AS$4:$AS$267,MATCH("Finisher"&amp;'Wide data'!$A$1&amp;'Wide data'!$A51,'Raw data'!$AI$4:$AI$267&amp;'Raw data'!$AJ$2&amp;'Raw data'!$AJ$4:$AJ$267,0)))</f>
        <v>1.6322306934151551</v>
      </c>
    </row>
    <row r="52" spans="1:32" x14ac:dyDescent="0.25">
      <c r="A52" s="24">
        <f>'Raw data'!L54</f>
        <v>51</v>
      </c>
      <c r="B52" s="24" t="str">
        <f>INDEX('Raw data'!$B$4:$B$69, 'Wide data'!A52)</f>
        <v>T3</v>
      </c>
      <c r="C52" s="24" t="str">
        <f>INDEX('Raw data'!$C$4:$C$69, 'Wide data'!A52)</f>
        <v>R7</v>
      </c>
      <c r="D52" s="24">
        <f t="array" ref="D52">INDEX('Raw data'!$F$4:$F$69,MATCH($A$1&amp;'Wide data'!$A52,'Raw data'!$A$3&amp;'Raw data'!$A$4:$A$69,0))</f>
        <v>4.5675E-2</v>
      </c>
      <c r="E52" s="24">
        <f t="array" ref="E52">IF(E$1="","",INDEX('Raw data'!$Q$4:$Q$267,MATCH("14 days"&amp;'Wide data'!$A$1&amp;'Wide data'!$A52,'Raw data'!$K$4:$K$267&amp;'Raw data'!$L$2&amp;'Raw data'!$L$4:$L$267,0)))</f>
        <v>0.36099999999999999</v>
      </c>
      <c r="F52" s="24">
        <f t="array" ref="F52">IF(F$1="","",INDEX('Raw data'!$Q$4:$Q$267,MATCH("23 days"&amp;'Wide data'!$A$1&amp;'Wide data'!$A52,'Raw data'!$K$4:$K$267&amp;'Raw data'!$L$2&amp;'Raw data'!$L$4:$L$267,0)))</f>
        <v>0.9375</v>
      </c>
      <c r="G52" s="24">
        <f t="array" ref="G52">IF(G$1="","",INDEX('Raw data'!$Q$4:$Q$267,MATCH("32 days"&amp;'Wide data'!$A$1&amp;'Wide data'!$A52,'Raw data'!$K$4:$K$267&amp;'Raw data'!$L$2&amp;'Raw data'!$L$4:$L$267,0)))</f>
        <v>1.4462499999999998</v>
      </c>
      <c r="H52" s="24">
        <f t="array" ref="H52">IF(H$1="","",INDEX('Raw data'!$Q$4:$Q$267,MATCH("39 days"&amp;'Wide data'!$A$1&amp;'Wide data'!$A52,'Raw data'!$K$4:$K$267&amp;'Raw data'!$L$2&amp;'Raw data'!$L$4:$L$267,0)))</f>
        <v>2.2602564102564102</v>
      </c>
      <c r="I52" s="24">
        <f t="array" ref="I52">IF(I$1="","",INDEX('Raw data'!$S$4:$S$267,MATCH("14 days"&amp;'Wide data'!$A$1&amp;'Wide data'!$A52,'Raw data'!$K$4:$K$267&amp;'Raw data'!$L$2&amp;'Raw data'!$L$4:$L$267,0)))</f>
        <v>0.31532499999999997</v>
      </c>
      <c r="J52" s="24">
        <f t="array" ref="J52">IF(J$1="","",INDEX('Raw data'!$S$4:$S$267,MATCH("23 days"&amp;'Wide data'!$A$1&amp;'Wide data'!$A52,'Raw data'!$K$4:$K$267&amp;'Raw data'!$L$2&amp;'Raw data'!$L$4:$L$267,0)))</f>
        <v>0.57650000000000001</v>
      </c>
      <c r="K52" s="24">
        <f t="array" ref="K52">IF(K$1="","",INDEX('Raw data'!$S$4:$S$267,MATCH("32 days"&amp;'Wide data'!$A$1&amp;'Wide data'!$A52,'Raw data'!$K$4:$K$267&amp;'Raw data'!$L$2&amp;'Raw data'!$L$4:$L$267,0)))</f>
        <v>0.50874999999999981</v>
      </c>
      <c r="L52" s="24">
        <f t="array" ref="L52">IF(L$1="","",INDEX('Raw data'!$S$4:$S$267,MATCH("39 days"&amp;'Wide data'!$A$1&amp;'Wide data'!$A52,'Raw data'!$K$4:$K$267&amp;'Raw data'!$L$2&amp;'Raw data'!$L$4:$L$267,0)))</f>
        <v>0.81400641025641041</v>
      </c>
      <c r="M52" s="24">
        <f t="array" ref="M52">IF(M$1="","",INDEX('Raw data'!$V$4:$V$267,MATCH("14 days"&amp;'Wide data'!$A$1&amp;'Wide data'!$A52,'Raw data'!$K$4:$K$267&amp;'Raw data'!$L$2&amp;'Raw data'!$L$4:$L$267,0)))</f>
        <v>0.40625</v>
      </c>
      <c r="N52" s="24">
        <f t="array" ref="N52">IF(N$1="","",INDEX('Raw data'!$V$4:$V$267,MATCH("23 days"&amp;'Wide data'!$A$1&amp;'Wide data'!$A52,'Raw data'!$K$4:$K$267&amp;'Raw data'!$L$2&amp;'Raw data'!$L$4:$L$267,0)))</f>
        <v>0.80837500000000007</v>
      </c>
      <c r="O52" s="24">
        <f t="array" ref="O52">IF(O$1="","",INDEX('Raw data'!$V$4:$V$267,MATCH("32 days"&amp;'Wide data'!$A$1&amp;'Wide data'!$A52,'Raw data'!$K$4:$K$267&amp;'Raw data'!$L$2&amp;'Raw data'!$L$4:$L$267,0)))</f>
        <v>1.386625</v>
      </c>
      <c r="P52" s="24">
        <f t="array" ref="P52">IF(P$1="","",INDEX('Raw data'!$V$4:$V$267,MATCH("39 days"&amp;'Wide data'!$A$1&amp;'Wide data'!$A52,'Raw data'!$K$4:$K$267&amp;'Raw data'!$L$2&amp;'Raw data'!$L$4:$L$267,0)))</f>
        <v>1.382051282051282</v>
      </c>
      <c r="Q52" s="24">
        <f t="array" ref="Q52">IF(Q$1="","",INDEX('Raw data'!$W$4:$W$267,MATCH("14 days"&amp;'Wide data'!$A$1&amp;'Wide data'!$A52,'Raw data'!$K$4:$K$267&amp;'Raw data'!$L$2&amp;'Raw data'!$L$4:$L$267,0)))</f>
        <v>1.1253462603878117</v>
      </c>
      <c r="R52" s="24">
        <f t="array" ref="R52">IF(R$1="","",INDEX('Raw data'!$W$4:$W$267,MATCH("23 days"&amp;'Wide data'!$A$1&amp;'Wide data'!$A52,'Raw data'!$K$4:$K$267&amp;'Raw data'!$L$2&amp;'Raw data'!$L$4:$L$267,0)))</f>
        <v>1.2956000000000001</v>
      </c>
      <c r="S52" s="24">
        <f t="array" ref="S52">IF(S$1="","",INDEX('Raw data'!$W$4:$W$267,MATCH("32 days"&amp;'Wide data'!$A$1&amp;'Wide data'!$A52,'Raw data'!$K$4:$K$267&amp;'Raw data'!$L$2&amp;'Raw data'!$L$4:$L$267,0)))</f>
        <v>1.7986171132238551</v>
      </c>
      <c r="T52" s="24">
        <f t="array" ref="T52">IF(T$1="","",INDEX('Raw data'!$W$4:$W$267,MATCH("39 days"&amp;'Wide data'!$A$1&amp;'Wide data'!$A52,'Raw data'!$K$4:$K$267&amp;'Raw data'!$L$2&amp;'Raw data'!$L$4:$L$267,0)))</f>
        <v>1.752449212812462</v>
      </c>
      <c r="U52" s="418">
        <f t="array" ref="U52">IF(E$1="","",INDEX('Raw data'!$AN$4:$AN$267,MATCH("Starter"&amp;'Wide data'!$A$1&amp;'Wide data'!$A52,'Raw data'!$AI$4:$AI$267&amp;'Raw data'!$AJ$2&amp;'Raw data'!$AJ$4:$AJ$267,0)))</f>
        <v>0.36099999999999999</v>
      </c>
      <c r="V52" s="418">
        <f t="array" ref="V52">IF(G$1="","",INDEX('Raw data'!$AN$4:$AN$267,MATCH("Grower"&amp;'Wide data'!$A$1&amp;'Wide data'!$A52,'Raw data'!$AI$4:$AI$267&amp;'Raw data'!$AJ$2&amp;'Raw data'!$AJ$4:$AJ$267,0)))</f>
        <v>1.4462499999999998</v>
      </c>
      <c r="W52" s="418">
        <f t="array" ref="W52">IF(H$1="","",INDEX('Raw data'!$AN$4:$AN$267,MATCH("Finisher"&amp;'Wide data'!$A$1&amp;'Wide data'!$A52,'Raw data'!$AI$4:$AI$267&amp;'Raw data'!$AJ$2&amp;'Raw data'!$AJ$4:$AJ$267,0)))</f>
        <v>2.2602564102564102</v>
      </c>
      <c r="X52" s="418">
        <f t="array" ref="X52">IF(H$1="","",INDEX('Raw data'!$AP$4:$AP$267,MATCH("Starter"&amp;'Wide data'!$A$1&amp;'Wide data'!$A52,'Raw data'!$AI$4:$AI$267&amp;'Raw data'!$AJ$2&amp;'Raw data'!$AJ$4:$AJ$267,0)))</f>
        <v>0.31532499999999997</v>
      </c>
      <c r="Y52" s="418">
        <f t="array" ref="Y52">IF(J$1="","",INDEX('Raw data'!$AP$4:$AP$267,MATCH("Grower"&amp;'Wide data'!$A$1&amp;'Wide data'!$A52,'Raw data'!$AI$4:$AI$267&amp;'Raw data'!$AJ$2&amp;'Raw data'!$AJ$4:$AJ$267,0)))</f>
        <v>1.0852499999999998</v>
      </c>
      <c r="Z52" s="418">
        <f t="array" ref="Z52">IF(K$1="","",INDEX('Raw data'!$AP$4:$AP$267,MATCH("Finisher"&amp;'Wide data'!$A$1&amp;'Wide data'!$A52,'Raw data'!$AI$4:$AI$267&amp;'Raw data'!$AJ$2&amp;'Raw data'!$AJ$4:$AJ$267,0)))</f>
        <v>0.81400641025641041</v>
      </c>
      <c r="AA52" s="418">
        <f t="array" ref="AA52">IF(K$1="","",INDEX('Raw data'!$AR$4:$AR$267,MATCH("Starter"&amp;'Wide data'!$A$1&amp;'Wide data'!$A52,'Raw data'!$AI$4:$AI$267&amp;'Raw data'!$AJ$2&amp;'Raw data'!$AJ$4:$AJ$267,0)))</f>
        <v>0.40625</v>
      </c>
      <c r="AB52" s="418">
        <f t="array" ref="AB52">IF(M$1="","",INDEX('Raw data'!$AR$4:$AR$267,MATCH("Grower"&amp;'Wide data'!$A$1&amp;'Wide data'!$A52,'Raw data'!$AI$4:$AI$267&amp;'Raw data'!$AJ$2&amp;'Raw data'!$AJ$4:$AJ$267,0)))</f>
        <v>2.1950000000000003</v>
      </c>
      <c r="AC52" s="418">
        <f t="array" ref="AC52">IF(N$1="","",INDEX('Raw data'!$AR$4:$AR$267,MATCH("Finisher"&amp;'Wide data'!$A$1&amp;'Wide data'!$A52,'Raw data'!$AI$4:$AI$267&amp;'Raw data'!$AJ$2&amp;'Raw data'!$AJ$4:$AJ$267,0)))</f>
        <v>1.382051282051282</v>
      </c>
      <c r="AD52" s="418">
        <f t="array" ref="AD52">IF(N$1="","",INDEX('Raw data'!$AS$4:$AS$267,MATCH("Starter"&amp;'Wide data'!$A$1&amp;'Wide data'!$A52,'Raw data'!$AI$4:$AI$267&amp;'Raw data'!$AJ$2&amp;'Raw data'!$AJ$4:$AJ$267,0)))</f>
        <v>1.1253462603878117</v>
      </c>
      <c r="AE52" s="418">
        <f t="array" ref="AE52">IF(P$1="","",INDEX('Raw data'!$AS$4:$AS$267,MATCH("Grower"&amp;'Wide data'!$A$1&amp;'Wide data'!$A52,'Raw data'!$AI$4:$AI$267&amp;'Raw data'!$AJ$2&amp;'Raw data'!$AJ$4:$AJ$267,0)))</f>
        <v>2.0225754434462111</v>
      </c>
      <c r="AF52" s="418">
        <f t="array" ref="AF52">IF(Q$1="","",INDEX('Raw data'!$AS$4:$AS$267,MATCH("Finisher"&amp;'Wide data'!$A$1&amp;'Wide data'!$A52,'Raw data'!$AI$4:$AI$267&amp;'Raw data'!$AJ$2&amp;'Raw data'!$AJ$4:$AJ$267,0)))</f>
        <v>1.5981142844435876</v>
      </c>
    </row>
    <row r="53" spans="1:32" x14ac:dyDescent="0.25">
      <c r="A53" s="24">
        <f>'Raw data'!L55</f>
        <v>52</v>
      </c>
      <c r="B53" s="24" t="str">
        <f>INDEX('Raw data'!$B$4:$B$69, 'Wide data'!A53)</f>
        <v>T2</v>
      </c>
      <c r="C53" s="24" t="str">
        <f>INDEX('Raw data'!$C$4:$C$69, 'Wide data'!A53)</f>
        <v>R7</v>
      </c>
      <c r="D53" s="24">
        <f t="array" ref="D53">INDEX('Raw data'!$F$4:$F$69,MATCH($A$1&amp;'Wide data'!$A53,'Raw data'!$A$3&amp;'Raw data'!$A$4:$A$69,0))</f>
        <v>4.5524999999999996E-2</v>
      </c>
      <c r="E53" s="24">
        <f t="array" ref="E53">IF(E$1="","",INDEX('Raw data'!$Q$4:$Q$267,MATCH("14 days"&amp;'Wide data'!$A$1&amp;'Wide data'!$A53,'Raw data'!$K$4:$K$267&amp;'Raw data'!$L$2&amp;'Raw data'!$L$4:$L$267,0)))</f>
        <v>0.38179487179487176</v>
      </c>
      <c r="F53" s="24">
        <f t="array" ref="F53">IF(F$1="","",INDEX('Raw data'!$Q$4:$Q$267,MATCH("23 days"&amp;'Wide data'!$A$1&amp;'Wide data'!$A53,'Raw data'!$K$4:$K$267&amp;'Raw data'!$L$2&amp;'Raw data'!$L$4:$L$267,0)))</f>
        <v>0.98076923076923073</v>
      </c>
      <c r="G53" s="24">
        <f t="array" ref="G53">IF(G$1="","",INDEX('Raw data'!$Q$4:$Q$267,MATCH("32 days"&amp;'Wide data'!$A$1&amp;'Wide data'!$A53,'Raw data'!$K$4:$K$267&amp;'Raw data'!$L$2&amp;'Raw data'!$L$4:$L$267,0)))</f>
        <v>1.5513157894736842</v>
      </c>
      <c r="H53" s="24">
        <f t="array" ref="H53">IF(H$1="","",INDEX('Raw data'!$Q$4:$Q$267,MATCH("39 days"&amp;'Wide data'!$A$1&amp;'Wide data'!$A53,'Raw data'!$K$4:$K$267&amp;'Raw data'!$L$2&amp;'Raw data'!$L$4:$L$267,0)))</f>
        <v>2.3736842105263154</v>
      </c>
      <c r="I53" s="24">
        <f t="array" ref="I53">IF(I$1="","",INDEX('Raw data'!$S$4:$S$267,MATCH("14 days"&amp;'Wide data'!$A$1&amp;'Wide data'!$A53,'Raw data'!$K$4:$K$267&amp;'Raw data'!$L$2&amp;'Raw data'!$L$4:$L$267,0)))</f>
        <v>0.33626987179487178</v>
      </c>
      <c r="J53" s="24">
        <f t="array" ref="J53">IF(J$1="","",INDEX('Raw data'!$S$4:$S$267,MATCH("23 days"&amp;'Wide data'!$A$1&amp;'Wide data'!$A53,'Raw data'!$K$4:$K$267&amp;'Raw data'!$L$2&amp;'Raw data'!$L$4:$L$267,0)))</f>
        <v>0.59897435897435902</v>
      </c>
      <c r="K53" s="24">
        <f t="array" ref="K53">IF(K$1="","",INDEX('Raw data'!$S$4:$S$267,MATCH("32 days"&amp;'Wide data'!$A$1&amp;'Wide data'!$A53,'Raw data'!$K$4:$K$267&amp;'Raw data'!$L$2&amp;'Raw data'!$L$4:$L$267,0)))</f>
        <v>0.57054655870445348</v>
      </c>
      <c r="L53" s="24">
        <f t="array" ref="L53">IF(L$1="","",INDEX('Raw data'!$S$4:$S$267,MATCH("39 days"&amp;'Wide data'!$A$1&amp;'Wide data'!$A53,'Raw data'!$K$4:$K$267&amp;'Raw data'!$L$2&amp;'Raw data'!$L$4:$L$267,0)))</f>
        <v>0.82236842105263119</v>
      </c>
      <c r="M53" s="24">
        <f t="array" ref="M53">IF(M$1="","",INDEX('Raw data'!$V$4:$V$267,MATCH("14 days"&amp;'Wide data'!$A$1&amp;'Wide data'!$A53,'Raw data'!$K$4:$K$267&amp;'Raw data'!$L$2&amp;'Raw data'!$L$4:$L$267,0)))</f>
        <v>0.43461538461538457</v>
      </c>
      <c r="N53" s="24">
        <f t="array" ref="N53">IF(N$1="","",INDEX('Raw data'!$V$4:$V$267,MATCH("23 days"&amp;'Wide data'!$A$1&amp;'Wide data'!$A53,'Raw data'!$K$4:$K$267&amp;'Raw data'!$L$2&amp;'Raw data'!$L$4:$L$267,0)))</f>
        <v>0.84961538461538455</v>
      </c>
      <c r="O53" s="24">
        <f t="array" ref="O53">IF(O$1="","",INDEX('Raw data'!$V$4:$V$267,MATCH("32 days"&amp;'Wide data'!$A$1&amp;'Wide data'!$A53,'Raw data'!$K$4:$K$267&amp;'Raw data'!$L$2&amp;'Raw data'!$L$4:$L$267,0)))</f>
        <v>1.4293421052631581</v>
      </c>
      <c r="P53" s="24">
        <f t="array" ref="P53">IF(P$1="","",INDEX('Raw data'!$V$4:$V$267,MATCH("39 days"&amp;'Wide data'!$A$1&amp;'Wide data'!$A53,'Raw data'!$K$4:$K$267&amp;'Raw data'!$L$2&amp;'Raw data'!$L$4:$L$267,0)))</f>
        <v>1.4052631578947368</v>
      </c>
      <c r="Q53" s="24">
        <f t="array" ref="Q53">IF(Q$1="","",INDEX('Raw data'!$W$4:$W$267,MATCH("14 days"&amp;'Wide data'!$A$1&amp;'Wide data'!$A53,'Raw data'!$K$4:$K$267&amp;'Raw data'!$L$2&amp;'Raw data'!$L$4:$L$267,0)))</f>
        <v>1.119550858652576</v>
      </c>
      <c r="R53" s="24">
        <f t="array" ref="R53">IF(R$1="","",INDEX('Raw data'!$W$4:$W$267,MATCH("23 days"&amp;'Wide data'!$A$1&amp;'Wide data'!$A53,'Raw data'!$K$4:$K$267&amp;'Raw data'!$L$2&amp;'Raw data'!$L$4:$L$267,0)))</f>
        <v>1.3009090909090908</v>
      </c>
      <c r="S53" s="24">
        <f t="array" ref="S53">IF(S$1="","",INDEX('Raw data'!$W$4:$W$267,MATCH("32 days"&amp;'Wide data'!$A$1&amp;'Wide data'!$A53,'Raw data'!$K$4:$K$267&amp;'Raw data'!$L$2&amp;'Raw data'!$L$4:$L$267,0)))</f>
        <v>1.7342192691029903</v>
      </c>
      <c r="T53" s="24">
        <f t="array" ref="T53">IF(T$1="","",INDEX('Raw data'!$W$4:$W$267,MATCH("39 days"&amp;'Wide data'!$A$1&amp;'Wide data'!$A53,'Raw data'!$K$4:$K$267&amp;'Raw data'!$L$2&amp;'Raw data'!$L$4:$L$267,0)))</f>
        <v>1.7255330781848004</v>
      </c>
      <c r="U53" s="418">
        <f t="array" ref="U53">IF(E$1="","",INDEX('Raw data'!$AN$4:$AN$267,MATCH("Starter"&amp;'Wide data'!$A$1&amp;'Wide data'!$A53,'Raw data'!$AI$4:$AI$267&amp;'Raw data'!$AJ$2&amp;'Raw data'!$AJ$4:$AJ$267,0)))</f>
        <v>0.38179487179487176</v>
      </c>
      <c r="V53" s="418">
        <f t="array" ref="V53">IF(G$1="","",INDEX('Raw data'!$AN$4:$AN$267,MATCH("Grower"&amp;'Wide data'!$A$1&amp;'Wide data'!$A53,'Raw data'!$AI$4:$AI$267&amp;'Raw data'!$AJ$2&amp;'Raw data'!$AJ$4:$AJ$267,0)))</f>
        <v>1.5513157894736842</v>
      </c>
      <c r="W53" s="418">
        <f t="array" ref="W53">IF(H$1="","",INDEX('Raw data'!$AN$4:$AN$267,MATCH("Finisher"&amp;'Wide data'!$A$1&amp;'Wide data'!$A53,'Raw data'!$AI$4:$AI$267&amp;'Raw data'!$AJ$2&amp;'Raw data'!$AJ$4:$AJ$267,0)))</f>
        <v>2.3736842105263154</v>
      </c>
      <c r="X53" s="418">
        <f t="array" ref="X53">IF(H$1="","",INDEX('Raw data'!$AP$4:$AP$267,MATCH("Starter"&amp;'Wide data'!$A$1&amp;'Wide data'!$A53,'Raw data'!$AI$4:$AI$267&amp;'Raw data'!$AJ$2&amp;'Raw data'!$AJ$4:$AJ$267,0)))</f>
        <v>0.33626987179487178</v>
      </c>
      <c r="Y53" s="418">
        <f t="array" ref="Y53">IF(J$1="","",INDEX('Raw data'!$AP$4:$AP$267,MATCH("Grower"&amp;'Wide data'!$A$1&amp;'Wide data'!$A53,'Raw data'!$AI$4:$AI$267&amp;'Raw data'!$AJ$2&amp;'Raw data'!$AJ$4:$AJ$267,0)))</f>
        <v>1.1695209176788124</v>
      </c>
      <c r="Z53" s="418">
        <f t="array" ref="Z53">IF(K$1="","",INDEX('Raw data'!$AP$4:$AP$267,MATCH("Finisher"&amp;'Wide data'!$A$1&amp;'Wide data'!$A53,'Raw data'!$AI$4:$AI$267&amp;'Raw data'!$AJ$2&amp;'Raw data'!$AJ$4:$AJ$267,0)))</f>
        <v>0.82236842105263119</v>
      </c>
      <c r="AA53" s="418">
        <f t="array" ref="AA53">IF(K$1="","",INDEX('Raw data'!$AR$4:$AR$267,MATCH("Starter"&amp;'Wide data'!$A$1&amp;'Wide data'!$A53,'Raw data'!$AI$4:$AI$267&amp;'Raw data'!$AJ$2&amp;'Raw data'!$AJ$4:$AJ$267,0)))</f>
        <v>0.43461538461538457</v>
      </c>
      <c r="AB53" s="418">
        <f t="array" ref="AB53">IF(M$1="","",INDEX('Raw data'!$AR$4:$AR$267,MATCH("Grower"&amp;'Wide data'!$A$1&amp;'Wide data'!$A53,'Raw data'!$AI$4:$AI$267&amp;'Raw data'!$AJ$2&amp;'Raw data'!$AJ$4:$AJ$267,0)))</f>
        <v>2.2789574898785427</v>
      </c>
      <c r="AC53" s="418">
        <f t="array" ref="AC53">IF(N$1="","",INDEX('Raw data'!$AR$4:$AR$267,MATCH("Finisher"&amp;'Wide data'!$A$1&amp;'Wide data'!$A53,'Raw data'!$AI$4:$AI$267&amp;'Raw data'!$AJ$2&amp;'Raw data'!$AJ$4:$AJ$267,0)))</f>
        <v>1.4052631578947368</v>
      </c>
      <c r="AD53" s="418">
        <f t="array" ref="AD53">IF(N$1="","",INDEX('Raw data'!$AS$4:$AS$267,MATCH("Starter"&amp;'Wide data'!$A$1&amp;'Wide data'!$A53,'Raw data'!$AI$4:$AI$267&amp;'Raw data'!$AJ$2&amp;'Raw data'!$AJ$4:$AJ$267,0)))</f>
        <v>1.119550858652576</v>
      </c>
      <c r="AE53" s="418">
        <f t="array" ref="AE53">IF(P$1="","",INDEX('Raw data'!$AS$4:$AS$267,MATCH("Grower"&amp;'Wide data'!$A$1&amp;'Wide data'!$A53,'Raw data'!$AI$4:$AI$267&amp;'Raw data'!$AJ$2&amp;'Raw data'!$AJ$4:$AJ$267,0)))</f>
        <v>1.8994035386697408</v>
      </c>
      <c r="AF53" s="418">
        <f t="array" ref="AF53">IF(Q$1="","",INDEX('Raw data'!$AS$4:$AS$267,MATCH("Finisher"&amp;'Wide data'!$A$1&amp;'Wide data'!$A53,'Raw data'!$AI$4:$AI$267&amp;'Raw data'!$AJ$2&amp;'Raw data'!$AJ$4:$AJ$267,0)))</f>
        <v>1.7088000000000008</v>
      </c>
    </row>
    <row r="54" spans="1:32" x14ac:dyDescent="0.25">
      <c r="A54" s="24">
        <f>'Raw data'!L56</f>
        <v>53</v>
      </c>
      <c r="B54" s="24" t="str">
        <f>INDEX('Raw data'!$B$4:$B$69, 'Wide data'!A54)</f>
        <v>T5</v>
      </c>
      <c r="C54" s="24" t="str">
        <f>INDEX('Raw data'!$C$4:$C$69, 'Wide data'!A54)</f>
        <v>R8</v>
      </c>
      <c r="D54" s="24">
        <f t="array" ref="D54">INDEX('Raw data'!$F$4:$F$69,MATCH($A$1&amp;'Wide data'!$A54,'Raw data'!$A$3&amp;'Raw data'!$A$4:$A$69,0))</f>
        <v>4.5624999999999999E-2</v>
      </c>
      <c r="E54" s="24">
        <f t="array" ref="E54">IF(E$1="","",INDEX('Raw data'!$Q$4:$Q$267,MATCH("14 days"&amp;'Wide data'!$A$1&amp;'Wide data'!$A54,'Raw data'!$K$4:$K$267&amp;'Raw data'!$L$2&amp;'Raw data'!$L$4:$L$267,0)))</f>
        <v>0.34717948717948716</v>
      </c>
      <c r="F54" s="24">
        <f t="array" ref="F54">IF(F$1="","",INDEX('Raw data'!$Q$4:$Q$267,MATCH("23 days"&amp;'Wide data'!$A$1&amp;'Wide data'!$A54,'Raw data'!$K$4:$K$267&amp;'Raw data'!$L$2&amp;'Raw data'!$L$4:$L$267,0)))</f>
        <v>0.96153846153846156</v>
      </c>
      <c r="G54" s="24">
        <f t="array" ref="G54">IF(G$1="","",INDEX('Raw data'!$Q$4:$Q$267,MATCH("32 days"&amp;'Wide data'!$A$1&amp;'Wide data'!$A54,'Raw data'!$K$4:$K$267&amp;'Raw data'!$L$2&amp;'Raw data'!$L$4:$L$267,0)))</f>
        <v>1.4487179487179487</v>
      </c>
      <c r="H54" s="24">
        <f t="array" ref="H54">IF(H$1="","",INDEX('Raw data'!$Q$4:$Q$267,MATCH("39 days"&amp;'Wide data'!$A$1&amp;'Wide data'!$A54,'Raw data'!$K$4:$K$267&amp;'Raw data'!$L$2&amp;'Raw data'!$L$4:$L$267,0)))</f>
        <v>2.3179487179487182</v>
      </c>
      <c r="I54" s="24">
        <f t="array" ref="I54">IF(I$1="","",INDEX('Raw data'!$S$4:$S$267,MATCH("14 days"&amp;'Wide data'!$A$1&amp;'Wide data'!$A54,'Raw data'!$K$4:$K$267&amp;'Raw data'!$L$2&amp;'Raw data'!$L$4:$L$267,0)))</f>
        <v>0.30155448717948719</v>
      </c>
      <c r="J54" s="24">
        <f t="array" ref="J54">IF(J$1="","",INDEX('Raw data'!$S$4:$S$267,MATCH("23 days"&amp;'Wide data'!$A$1&amp;'Wide data'!$A54,'Raw data'!$K$4:$K$267&amp;'Raw data'!$L$2&amp;'Raw data'!$L$4:$L$267,0)))</f>
        <v>0.61435897435897435</v>
      </c>
      <c r="K54" s="24">
        <f t="array" ref="K54">IF(K$1="","",INDEX('Raw data'!$S$4:$S$267,MATCH("32 days"&amp;'Wide data'!$A$1&amp;'Wide data'!$A54,'Raw data'!$K$4:$K$267&amp;'Raw data'!$L$2&amp;'Raw data'!$L$4:$L$267,0)))</f>
        <v>0.48717948717948711</v>
      </c>
      <c r="L54" s="24">
        <f t="array" ref="L54">IF(L$1="","",INDEX('Raw data'!$S$4:$S$267,MATCH("39 days"&amp;'Wide data'!$A$1&amp;'Wide data'!$A54,'Raw data'!$K$4:$K$267&amp;'Raw data'!$L$2&amp;'Raw data'!$L$4:$L$267,0)))</f>
        <v>0.86923076923076947</v>
      </c>
      <c r="M54" s="24">
        <f t="array" ref="M54">IF(M$1="","",INDEX('Raw data'!$V$4:$V$267,MATCH("14 days"&amp;'Wide data'!$A$1&amp;'Wide data'!$A54,'Raw data'!$K$4:$K$267&amp;'Raw data'!$L$2&amp;'Raw data'!$L$4:$L$267,0)))</f>
        <v>0.40128205128205124</v>
      </c>
      <c r="N54" s="24">
        <f t="array" ref="N54">IF(N$1="","",INDEX('Raw data'!$V$4:$V$267,MATCH("23 days"&amp;'Wide data'!$A$1&amp;'Wide data'!$A54,'Raw data'!$K$4:$K$267&amp;'Raw data'!$L$2&amp;'Raw data'!$L$4:$L$267,0)))</f>
        <v>0.82910256410256411</v>
      </c>
      <c r="O54" s="24">
        <f t="array" ref="O54">IF(O$1="","",INDEX('Raw data'!$V$4:$V$267,MATCH("32 days"&amp;'Wide data'!$A$1&amp;'Wide data'!$A54,'Raw data'!$K$4:$K$267&amp;'Raw data'!$L$2&amp;'Raw data'!$L$4:$L$267,0)))</f>
        <v>1.3926923076923077</v>
      </c>
      <c r="P54" s="24">
        <f t="array" ref="P54">IF(P$1="","",INDEX('Raw data'!$V$4:$V$267,MATCH("39 days"&amp;'Wide data'!$A$1&amp;'Wide data'!$A54,'Raw data'!$K$4:$K$267&amp;'Raw data'!$L$2&amp;'Raw data'!$L$4:$L$267,0)))</f>
        <v>1.4217948717948719</v>
      </c>
      <c r="Q54" s="24">
        <f t="array" ref="Q54">IF(Q$1="","",INDEX('Raw data'!$W$4:$W$267,MATCH("14 days"&amp;'Wide data'!$A$1&amp;'Wide data'!$A54,'Raw data'!$K$4:$K$267&amp;'Raw data'!$L$2&amp;'Raw data'!$L$4:$L$267,0)))</f>
        <v>1.1348803480783176</v>
      </c>
      <c r="R54" s="24">
        <f t="array" ref="R54">IF(R$1="","",INDEX('Raw data'!$W$4:$W$267,MATCH("23 days"&amp;'Wide data'!$A$1&amp;'Wide data'!$A54,'Raw data'!$K$4:$K$267&amp;'Raw data'!$L$2&amp;'Raw data'!$L$4:$L$267,0)))</f>
        <v>1.2711258278145696</v>
      </c>
      <c r="S54" s="24">
        <f t="array" ref="S54">IF(S$1="","",INDEX('Raw data'!$W$4:$W$267,MATCH("32 days"&amp;'Wide data'!$A$1&amp;'Wide data'!$A54,'Raw data'!$K$4:$K$267&amp;'Raw data'!$L$2&amp;'Raw data'!$L$4:$L$267,0)))</f>
        <v>1.8026431718061675</v>
      </c>
      <c r="T54" s="24">
        <f t="array" ref="T54">IF(T$1="","",INDEX('Raw data'!$W$4:$W$267,MATCH("39 days"&amp;'Wide data'!$A$1&amp;'Wide data'!$A54,'Raw data'!$K$4:$K$267&amp;'Raw data'!$L$2&amp;'Raw data'!$L$4:$L$267,0)))</f>
        <v>1.7402095973524543</v>
      </c>
      <c r="U54" s="418">
        <f t="array" ref="U54">IF(E$1="","",INDEX('Raw data'!$AN$4:$AN$267,MATCH("Starter"&amp;'Wide data'!$A$1&amp;'Wide data'!$A54,'Raw data'!$AI$4:$AI$267&amp;'Raw data'!$AJ$2&amp;'Raw data'!$AJ$4:$AJ$267,0)))</f>
        <v>0.34717948717948716</v>
      </c>
      <c r="V54" s="418">
        <f t="array" ref="V54">IF(G$1="","",INDEX('Raw data'!$AN$4:$AN$267,MATCH("Grower"&amp;'Wide data'!$A$1&amp;'Wide data'!$A54,'Raw data'!$AI$4:$AI$267&amp;'Raw data'!$AJ$2&amp;'Raw data'!$AJ$4:$AJ$267,0)))</f>
        <v>1.4487179487179487</v>
      </c>
      <c r="W54" s="418">
        <f t="array" ref="W54">IF(H$1="","",INDEX('Raw data'!$AN$4:$AN$267,MATCH("Finisher"&amp;'Wide data'!$A$1&amp;'Wide data'!$A54,'Raw data'!$AI$4:$AI$267&amp;'Raw data'!$AJ$2&amp;'Raw data'!$AJ$4:$AJ$267,0)))</f>
        <v>2.3179487179487182</v>
      </c>
      <c r="X54" s="418">
        <f t="array" ref="X54">IF(H$1="","",INDEX('Raw data'!$AP$4:$AP$267,MATCH("Starter"&amp;'Wide data'!$A$1&amp;'Wide data'!$A54,'Raw data'!$AI$4:$AI$267&amp;'Raw data'!$AJ$2&amp;'Raw data'!$AJ$4:$AJ$267,0)))</f>
        <v>0.30155448717948719</v>
      </c>
      <c r="Y54" s="418">
        <f t="array" ref="Y54">IF(J$1="","",INDEX('Raw data'!$AP$4:$AP$267,MATCH("Grower"&amp;'Wide data'!$A$1&amp;'Wide data'!$A54,'Raw data'!$AI$4:$AI$267&amp;'Raw data'!$AJ$2&amp;'Raw data'!$AJ$4:$AJ$267,0)))</f>
        <v>1.1015384615384614</v>
      </c>
      <c r="Z54" s="418">
        <f t="array" ref="Z54">IF(K$1="","",INDEX('Raw data'!$AP$4:$AP$267,MATCH("Finisher"&amp;'Wide data'!$A$1&amp;'Wide data'!$A54,'Raw data'!$AI$4:$AI$267&amp;'Raw data'!$AJ$2&amp;'Raw data'!$AJ$4:$AJ$267,0)))</f>
        <v>0.86923076923076947</v>
      </c>
      <c r="AA54" s="418">
        <f t="array" ref="AA54">IF(K$1="","",INDEX('Raw data'!$AR$4:$AR$267,MATCH("Starter"&amp;'Wide data'!$A$1&amp;'Wide data'!$A54,'Raw data'!$AI$4:$AI$267&amp;'Raw data'!$AJ$2&amp;'Raw data'!$AJ$4:$AJ$267,0)))</f>
        <v>0.40128205128205124</v>
      </c>
      <c r="AB54" s="418">
        <f t="array" ref="AB54">IF(M$1="","",INDEX('Raw data'!$AR$4:$AR$267,MATCH("Grower"&amp;'Wide data'!$A$1&amp;'Wide data'!$A54,'Raw data'!$AI$4:$AI$267&amp;'Raw data'!$AJ$2&amp;'Raw data'!$AJ$4:$AJ$267,0)))</f>
        <v>2.2217948717948719</v>
      </c>
      <c r="AC54" s="418">
        <f t="array" ref="AC54">IF(N$1="","",INDEX('Raw data'!$AR$4:$AR$267,MATCH("Finisher"&amp;'Wide data'!$A$1&amp;'Wide data'!$A54,'Raw data'!$AI$4:$AI$267&amp;'Raw data'!$AJ$2&amp;'Raw data'!$AJ$4:$AJ$267,0)))</f>
        <v>1.4217948717948719</v>
      </c>
      <c r="AD54" s="418">
        <f t="array" ref="AD54">IF(N$1="","",INDEX('Raw data'!$AS$4:$AS$267,MATCH("Starter"&amp;'Wide data'!$A$1&amp;'Wide data'!$A54,'Raw data'!$AI$4:$AI$267&amp;'Raw data'!$AJ$2&amp;'Raw data'!$AJ$4:$AJ$267,0)))</f>
        <v>1.1348803480783176</v>
      </c>
      <c r="AE54" s="418">
        <f t="array" ref="AE54">IF(P$1="","",INDEX('Raw data'!$AS$4:$AS$267,MATCH("Grower"&amp;'Wide data'!$A$1&amp;'Wide data'!$A54,'Raw data'!$AI$4:$AI$267&amp;'Raw data'!$AJ$2&amp;'Raw data'!$AJ$4:$AJ$267,0)))</f>
        <v>2.0169925512104285</v>
      </c>
      <c r="AF54" s="418">
        <f t="array" ref="AF54">IF(Q$1="","",INDEX('Raw data'!$AS$4:$AS$267,MATCH("Finisher"&amp;'Wide data'!$A$1&amp;'Wide data'!$A54,'Raw data'!$AI$4:$AI$267&amp;'Raw data'!$AJ$2&amp;'Raw data'!$AJ$4:$AJ$267,0)))</f>
        <v>1.6356932153392325</v>
      </c>
    </row>
    <row r="55" spans="1:32" x14ac:dyDescent="0.25">
      <c r="A55" s="24">
        <f>'Raw data'!L57</f>
        <v>54</v>
      </c>
      <c r="B55" s="24" t="str">
        <f>INDEX('Raw data'!$B$4:$B$69, 'Wide data'!A55)</f>
        <v>T4</v>
      </c>
      <c r="C55" s="24" t="str">
        <f>INDEX('Raw data'!$C$4:$C$69, 'Wide data'!A55)</f>
        <v>R8</v>
      </c>
      <c r="D55" s="24">
        <f t="array" ref="D55">INDEX('Raw data'!$F$4:$F$69,MATCH($A$1&amp;'Wide data'!$A55,'Raw data'!$A$3&amp;'Raw data'!$A$4:$A$69,0))</f>
        <v>4.5475000000000002E-2</v>
      </c>
      <c r="E55" s="24">
        <f t="array" ref="E55">IF(E$1="","",INDEX('Raw data'!$Q$4:$Q$267,MATCH("14 days"&amp;'Wide data'!$A$1&amp;'Wide data'!$A55,'Raw data'!$K$4:$K$267&amp;'Raw data'!$L$2&amp;'Raw data'!$L$4:$L$267,0)))</f>
        <v>0.36552631578947364</v>
      </c>
      <c r="F55" s="24">
        <f t="array" ref="F55">IF(F$1="","",INDEX('Raw data'!$Q$4:$Q$267,MATCH("23 days"&amp;'Wide data'!$A$1&amp;'Wide data'!$A55,'Raw data'!$K$4:$K$267&amp;'Raw data'!$L$2&amp;'Raw data'!$L$4:$L$267,0)))</f>
        <v>0.98918918918918908</v>
      </c>
      <c r="G55" s="24">
        <f t="array" ref="G55">IF(G$1="","",INDEX('Raw data'!$Q$4:$Q$267,MATCH("32 days"&amp;'Wide data'!$A$1&amp;'Wide data'!$A55,'Raw data'!$K$4:$K$267&amp;'Raw data'!$L$2&amp;'Raw data'!$L$4:$L$267,0)))</f>
        <v>1.4930555555555556</v>
      </c>
      <c r="H55" s="24">
        <f t="array" ref="H55">IF(H$1="","",INDEX('Raw data'!$Q$4:$Q$267,MATCH("39 days"&amp;'Wide data'!$A$1&amp;'Wide data'!$A55,'Raw data'!$K$4:$K$267&amp;'Raw data'!$L$2&amp;'Raw data'!$L$4:$L$267,0)))</f>
        <v>2.3277777777777775</v>
      </c>
      <c r="I55" s="24">
        <f t="array" ref="I55">IF(I$1="","",INDEX('Raw data'!$S$4:$S$267,MATCH("14 days"&amp;'Wide data'!$A$1&amp;'Wide data'!$A55,'Raw data'!$K$4:$K$267&amp;'Raw data'!$L$2&amp;'Raw data'!$L$4:$L$267,0)))</f>
        <v>0.32005131578947366</v>
      </c>
      <c r="J55" s="24">
        <f t="array" ref="J55">IF(J$1="","",INDEX('Raw data'!$S$4:$S$267,MATCH("23 days"&amp;'Wide data'!$A$1&amp;'Wide data'!$A55,'Raw data'!$K$4:$K$267&amp;'Raw data'!$L$2&amp;'Raw data'!$L$4:$L$267,0)))</f>
        <v>0.62366287339971538</v>
      </c>
      <c r="K55" s="24">
        <f t="array" ref="K55">IF(K$1="","",INDEX('Raw data'!$S$4:$S$267,MATCH("32 days"&amp;'Wide data'!$A$1&amp;'Wide data'!$A55,'Raw data'!$K$4:$K$267&amp;'Raw data'!$L$2&amp;'Raw data'!$L$4:$L$267,0)))</f>
        <v>0.5038663663663665</v>
      </c>
      <c r="L55" s="24">
        <f t="array" ref="L55">IF(L$1="","",INDEX('Raw data'!$S$4:$S$267,MATCH("39 days"&amp;'Wide data'!$A$1&amp;'Wide data'!$A55,'Raw data'!$K$4:$K$267&amp;'Raw data'!$L$2&amp;'Raw data'!$L$4:$L$267,0)))</f>
        <v>0.83472222222222192</v>
      </c>
      <c r="M55" s="24">
        <f t="array" ref="M55">IF(M$1="","",INDEX('Raw data'!$V$4:$V$267,MATCH("14 days"&amp;'Wide data'!$A$1&amp;'Wide data'!$A55,'Raw data'!$K$4:$K$267&amp;'Raw data'!$L$2&amp;'Raw data'!$L$4:$L$267,0)))</f>
        <v>0.41842105263157903</v>
      </c>
      <c r="N55" s="24">
        <f t="array" ref="N55">IF(N$1="","",INDEX('Raw data'!$V$4:$V$267,MATCH("23 days"&amp;'Wide data'!$A$1&amp;'Wide data'!$A55,'Raw data'!$K$4:$K$267&amp;'Raw data'!$L$2&amp;'Raw data'!$L$4:$L$267,0)))</f>
        <v>0.84283783783783794</v>
      </c>
      <c r="O55" s="24">
        <f t="array" ref="O55">IF(O$1="","",INDEX('Raw data'!$V$4:$V$267,MATCH("32 days"&amp;'Wide data'!$A$1&amp;'Wide data'!$A55,'Raw data'!$K$4:$K$267&amp;'Raw data'!$L$2&amp;'Raw data'!$L$4:$L$267,0)))</f>
        <v>1.4226388888888888</v>
      </c>
      <c r="P55" s="24">
        <f t="array" ref="P55">IF(P$1="","",INDEX('Raw data'!$V$4:$V$267,MATCH("39 days"&amp;'Wide data'!$A$1&amp;'Wide data'!$A55,'Raw data'!$K$4:$K$267&amp;'Raw data'!$L$2&amp;'Raw data'!$L$4:$L$267,0)))</f>
        <v>1.4249999999999998</v>
      </c>
      <c r="Q55" s="24">
        <f t="array" ref="Q55">IF(Q$1="","",INDEX('Raw data'!$W$4:$W$267,MATCH("14 days"&amp;'Wide data'!$A$1&amp;'Wide data'!$A55,'Raw data'!$K$4:$K$267&amp;'Raw data'!$L$2&amp;'Raw data'!$L$4:$L$267,0)))</f>
        <v>1.1126662001399583</v>
      </c>
      <c r="R55" s="24">
        <f t="array" ref="R55">IF(R$1="","",INDEX('Raw data'!$W$4:$W$267,MATCH("23 days"&amp;'Wide data'!$A$1&amp;'Wide data'!$A55,'Raw data'!$K$4:$K$267&amp;'Raw data'!$L$2&amp;'Raw data'!$L$4:$L$267,0)))</f>
        <v>1.2572763684913222</v>
      </c>
      <c r="S55" s="24">
        <f t="array" ref="S55">IF(S$1="","",INDEX('Raw data'!$W$4:$W$267,MATCH("32 days"&amp;'Wide data'!$A$1&amp;'Wide data'!$A55,'Raw data'!$K$4:$K$267&amp;'Raw data'!$L$2&amp;'Raw data'!$L$4:$L$267,0)))</f>
        <v>1.7695769576957696</v>
      </c>
      <c r="T55" s="24">
        <f t="array" ref="T55">IF(T$1="","",INDEX('Raw data'!$W$4:$W$267,MATCH("39 days"&amp;'Wide data'!$A$1&amp;'Wide data'!$A55,'Raw data'!$K$4:$K$267&amp;'Raw data'!$L$2&amp;'Raw data'!$L$4:$L$267,0)))</f>
        <v>1.747663551401869</v>
      </c>
      <c r="U55" s="418">
        <f t="array" ref="U55">IF(E$1="","",INDEX('Raw data'!$AN$4:$AN$267,MATCH("Starter"&amp;'Wide data'!$A$1&amp;'Wide data'!$A55,'Raw data'!$AI$4:$AI$267&amp;'Raw data'!$AJ$2&amp;'Raw data'!$AJ$4:$AJ$267,0)))</f>
        <v>0.36552631578947364</v>
      </c>
      <c r="V55" s="418">
        <f t="array" ref="V55">IF(G$1="","",INDEX('Raw data'!$AN$4:$AN$267,MATCH("Grower"&amp;'Wide data'!$A$1&amp;'Wide data'!$A55,'Raw data'!$AI$4:$AI$267&amp;'Raw data'!$AJ$2&amp;'Raw data'!$AJ$4:$AJ$267,0)))</f>
        <v>1.4930555555555556</v>
      </c>
      <c r="W55" s="418">
        <f t="array" ref="W55">IF(H$1="","",INDEX('Raw data'!$AN$4:$AN$267,MATCH("Finisher"&amp;'Wide data'!$A$1&amp;'Wide data'!$A55,'Raw data'!$AI$4:$AI$267&amp;'Raw data'!$AJ$2&amp;'Raw data'!$AJ$4:$AJ$267,0)))</f>
        <v>2.3277777777777775</v>
      </c>
      <c r="X55" s="418">
        <f t="array" ref="X55">IF(H$1="","",INDEX('Raw data'!$AP$4:$AP$267,MATCH("Starter"&amp;'Wide data'!$A$1&amp;'Wide data'!$A55,'Raw data'!$AI$4:$AI$267&amp;'Raw data'!$AJ$2&amp;'Raw data'!$AJ$4:$AJ$267,0)))</f>
        <v>0.32005131578947366</v>
      </c>
      <c r="Y55" s="418">
        <f t="array" ref="Y55">IF(J$1="","",INDEX('Raw data'!$AP$4:$AP$267,MATCH("Grower"&amp;'Wide data'!$A$1&amp;'Wide data'!$A55,'Raw data'!$AI$4:$AI$267&amp;'Raw data'!$AJ$2&amp;'Raw data'!$AJ$4:$AJ$267,0)))</f>
        <v>1.1275292397660819</v>
      </c>
      <c r="Z55" s="418">
        <f t="array" ref="Z55">IF(K$1="","",INDEX('Raw data'!$AP$4:$AP$267,MATCH("Finisher"&amp;'Wide data'!$A$1&amp;'Wide data'!$A55,'Raw data'!$AI$4:$AI$267&amp;'Raw data'!$AJ$2&amp;'Raw data'!$AJ$4:$AJ$267,0)))</f>
        <v>0.83472222222222192</v>
      </c>
      <c r="AA55" s="418">
        <f t="array" ref="AA55">IF(K$1="","",INDEX('Raw data'!$AR$4:$AR$267,MATCH("Starter"&amp;'Wide data'!$A$1&amp;'Wide data'!$A55,'Raw data'!$AI$4:$AI$267&amp;'Raw data'!$AJ$2&amp;'Raw data'!$AJ$4:$AJ$267,0)))</f>
        <v>0.41842105263157903</v>
      </c>
      <c r="AB55" s="418">
        <f t="array" ref="AB55">IF(M$1="","",INDEX('Raw data'!$AR$4:$AR$267,MATCH("Grower"&amp;'Wide data'!$A$1&amp;'Wide data'!$A55,'Raw data'!$AI$4:$AI$267&amp;'Raw data'!$AJ$2&amp;'Raw data'!$AJ$4:$AJ$267,0)))</f>
        <v>2.2654767267267268</v>
      </c>
      <c r="AC55" s="418">
        <f t="array" ref="AC55">IF(N$1="","",INDEX('Raw data'!$AR$4:$AR$267,MATCH("Finisher"&amp;'Wide data'!$A$1&amp;'Wide data'!$A55,'Raw data'!$AI$4:$AI$267&amp;'Raw data'!$AJ$2&amp;'Raw data'!$AJ$4:$AJ$267,0)))</f>
        <v>1.4249999999999998</v>
      </c>
      <c r="AD55" s="418">
        <f t="array" ref="AD55">IF(N$1="","",INDEX('Raw data'!$AS$4:$AS$267,MATCH("Starter"&amp;'Wide data'!$A$1&amp;'Wide data'!$A55,'Raw data'!$AI$4:$AI$267&amp;'Raw data'!$AJ$2&amp;'Raw data'!$AJ$4:$AJ$267,0)))</f>
        <v>1.1126662001399583</v>
      </c>
      <c r="AE55" s="418">
        <f t="array" ref="AE55">IF(P$1="","",INDEX('Raw data'!$AS$4:$AS$267,MATCH("Grower"&amp;'Wide data'!$A$1&amp;'Wide data'!$A55,'Raw data'!$AI$4:$AI$267&amp;'Raw data'!$AJ$2&amp;'Raw data'!$AJ$4:$AJ$267,0)))</f>
        <v>1.9336043670260623</v>
      </c>
      <c r="AF55" s="418">
        <f t="array" ref="AF55">IF(Q$1="","",INDEX('Raw data'!$AS$4:$AS$267,MATCH("Finisher"&amp;'Wide data'!$A$1&amp;'Wide data'!$A55,'Raw data'!$AI$4:$AI$267&amp;'Raw data'!$AJ$2&amp;'Raw data'!$AJ$4:$AJ$267,0)))</f>
        <v>1.7071547420965063</v>
      </c>
    </row>
    <row r="56" spans="1:32" x14ac:dyDescent="0.25">
      <c r="A56" s="24">
        <f>'Raw data'!L58</f>
        <v>55</v>
      </c>
      <c r="B56" s="24" t="str">
        <f>INDEX('Raw data'!$B$4:$B$69, 'Wide data'!A56)</f>
        <v>T6</v>
      </c>
      <c r="C56" s="24" t="str">
        <f>INDEX('Raw data'!$C$4:$C$69, 'Wide data'!A56)</f>
        <v>R8</v>
      </c>
      <c r="D56" s="24">
        <f t="array" ref="D56">INDEX('Raw data'!$F$4:$F$69,MATCH($A$1&amp;'Wide data'!$A56,'Raw data'!$A$3&amp;'Raw data'!$A$4:$A$69,0))</f>
        <v>4.5499999999999999E-2</v>
      </c>
      <c r="E56" s="24">
        <f t="array" ref="E56">IF(E$1="","",INDEX('Raw data'!$Q$4:$Q$267,MATCH("14 days"&amp;'Wide data'!$A$1&amp;'Wide data'!$A56,'Raw data'!$K$4:$K$267&amp;'Raw data'!$L$2&amp;'Raw data'!$L$4:$L$267,0)))</f>
        <v>0.35349999999999998</v>
      </c>
      <c r="F56" s="24">
        <f t="array" ref="F56">IF(F$1="","",INDEX('Raw data'!$Q$4:$Q$267,MATCH("23 days"&amp;'Wide data'!$A$1&amp;'Wide data'!$A56,'Raw data'!$K$4:$K$267&amp;'Raw data'!$L$2&amp;'Raw data'!$L$4:$L$267,0)))</f>
        <v>0.97564102564102562</v>
      </c>
      <c r="G56" s="24">
        <f t="array" ref="G56">IF(G$1="","",INDEX('Raw data'!$Q$4:$Q$267,MATCH("32 days"&amp;'Wide data'!$A$1&amp;'Wide data'!$A56,'Raw data'!$K$4:$K$267&amp;'Raw data'!$L$2&amp;'Raw data'!$L$4:$L$267,0)))</f>
        <v>1.4434210526315789</v>
      </c>
      <c r="H56" s="24">
        <f t="array" ref="H56">IF(H$1="","",INDEX('Raw data'!$Q$4:$Q$267,MATCH("39 days"&amp;'Wide data'!$A$1&amp;'Wide data'!$A56,'Raw data'!$K$4:$K$267&amp;'Raw data'!$L$2&amp;'Raw data'!$L$4:$L$267,0)))</f>
        <v>2.2675675675675677</v>
      </c>
      <c r="I56" s="24">
        <f t="array" ref="I56">IF(I$1="","",INDEX('Raw data'!$S$4:$S$267,MATCH("14 days"&amp;'Wide data'!$A$1&amp;'Wide data'!$A56,'Raw data'!$K$4:$K$267&amp;'Raw data'!$L$2&amp;'Raw data'!$L$4:$L$267,0)))</f>
        <v>0.308</v>
      </c>
      <c r="J56" s="24">
        <f t="array" ref="J56">IF(J$1="","",INDEX('Raw data'!$S$4:$S$267,MATCH("23 days"&amp;'Wide data'!$A$1&amp;'Wide data'!$A56,'Raw data'!$K$4:$K$267&amp;'Raw data'!$L$2&amp;'Raw data'!$L$4:$L$267,0)))</f>
        <v>0.62214102564102558</v>
      </c>
      <c r="K56" s="24">
        <f t="array" ref="K56">IF(K$1="","",INDEX('Raw data'!$S$4:$S$267,MATCH("32 days"&amp;'Wide data'!$A$1&amp;'Wide data'!$A56,'Raw data'!$K$4:$K$267&amp;'Raw data'!$L$2&amp;'Raw data'!$L$4:$L$267,0)))</f>
        <v>0.46778002699055332</v>
      </c>
      <c r="L56" s="24">
        <f t="array" ref="L56">IF(L$1="","",INDEX('Raw data'!$S$4:$S$267,MATCH("39 days"&amp;'Wide data'!$A$1&amp;'Wide data'!$A56,'Raw data'!$K$4:$K$267&amp;'Raw data'!$L$2&amp;'Raw data'!$L$4:$L$267,0)))</f>
        <v>0.82414651493598878</v>
      </c>
      <c r="M56" s="24">
        <f t="array" ref="M56">IF(M$1="","",INDEX('Raw data'!$V$4:$V$267,MATCH("14 days"&amp;'Wide data'!$A$1&amp;'Wide data'!$A56,'Raw data'!$K$4:$K$267&amp;'Raw data'!$L$2&amp;'Raw data'!$L$4:$L$267,0)))</f>
        <v>0.41000000000000003</v>
      </c>
      <c r="N56" s="24">
        <f t="array" ref="N56">IF(N$1="","",INDEX('Raw data'!$V$4:$V$267,MATCH("23 days"&amp;'Wide data'!$A$1&amp;'Wide data'!$A56,'Raw data'!$K$4:$K$267&amp;'Raw data'!$L$2&amp;'Raw data'!$L$4:$L$267,0)))</f>
        <v>0.85987179487179477</v>
      </c>
      <c r="O56" s="24">
        <f t="array" ref="O56">IF(O$1="","",INDEX('Raw data'!$V$4:$V$267,MATCH("32 days"&amp;'Wide data'!$A$1&amp;'Wide data'!$A56,'Raw data'!$K$4:$K$267&amp;'Raw data'!$L$2&amp;'Raw data'!$L$4:$L$267,0)))</f>
        <v>1.3832894736842107</v>
      </c>
      <c r="P56" s="24">
        <f t="array" ref="P56">IF(P$1="","",INDEX('Raw data'!$V$4:$V$267,MATCH("39 days"&amp;'Wide data'!$A$1&amp;'Wide data'!$A56,'Raw data'!$K$4:$K$267&amp;'Raw data'!$L$2&amp;'Raw data'!$L$4:$L$267,0)))</f>
        <v>1.4081081081081082</v>
      </c>
      <c r="Q56" s="24">
        <f t="array" ref="Q56">IF(Q$1="","",INDEX('Raw data'!$W$4:$W$267,MATCH("14 days"&amp;'Wide data'!$A$1&amp;'Wide data'!$A56,'Raw data'!$K$4:$K$267&amp;'Raw data'!$L$2&amp;'Raw data'!$L$4:$L$267,0)))</f>
        <v>1.1598302687411601</v>
      </c>
      <c r="R56" s="24">
        <f t="array" ref="R56">IF(R$1="","",INDEX('Raw data'!$W$4:$W$267,MATCH("23 days"&amp;'Wide data'!$A$1&amp;'Wide data'!$A56,'Raw data'!$K$4:$K$267&amp;'Raw data'!$L$2&amp;'Raw data'!$L$4:$L$267,0)))</f>
        <v>1.2976871101871104</v>
      </c>
      <c r="S56" s="24">
        <f t="array" ref="S56">IF(S$1="","",INDEX('Raw data'!$W$4:$W$267,MATCH("32 days"&amp;'Wide data'!$A$1&amp;'Wide data'!$A56,'Raw data'!$K$4:$K$267&amp;'Raw data'!$L$2&amp;'Raw data'!$L$4:$L$267,0)))</f>
        <v>1.8196342978874491</v>
      </c>
      <c r="T56" s="24">
        <f t="array" ref="T56">IF(T$1="","",INDEX('Raw data'!$W$4:$W$267,MATCH("39 days"&amp;'Wide data'!$A$1&amp;'Wide data'!$A56,'Raw data'!$K$4:$K$267&amp;'Raw data'!$L$2&amp;'Raw data'!$L$4:$L$267,0)))</f>
        <v>1.7738918912716715</v>
      </c>
      <c r="U56" s="418">
        <f t="array" ref="U56">IF(E$1="","",INDEX('Raw data'!$AN$4:$AN$267,MATCH("Starter"&amp;'Wide data'!$A$1&amp;'Wide data'!$A56,'Raw data'!$AI$4:$AI$267&amp;'Raw data'!$AJ$2&amp;'Raw data'!$AJ$4:$AJ$267,0)))</f>
        <v>0.35349999999999998</v>
      </c>
      <c r="V56" s="418">
        <f t="array" ref="V56">IF(G$1="","",INDEX('Raw data'!$AN$4:$AN$267,MATCH("Grower"&amp;'Wide data'!$A$1&amp;'Wide data'!$A56,'Raw data'!$AI$4:$AI$267&amp;'Raw data'!$AJ$2&amp;'Raw data'!$AJ$4:$AJ$267,0)))</f>
        <v>1.4434210526315789</v>
      </c>
      <c r="W56" s="418">
        <f t="array" ref="W56">IF(H$1="","",INDEX('Raw data'!$AN$4:$AN$267,MATCH("Finisher"&amp;'Wide data'!$A$1&amp;'Wide data'!$A56,'Raw data'!$AI$4:$AI$267&amp;'Raw data'!$AJ$2&amp;'Raw data'!$AJ$4:$AJ$267,0)))</f>
        <v>2.2675675675675677</v>
      </c>
      <c r="X56" s="418">
        <f t="array" ref="X56">IF(H$1="","",INDEX('Raw data'!$AP$4:$AP$267,MATCH("Starter"&amp;'Wide data'!$A$1&amp;'Wide data'!$A56,'Raw data'!$AI$4:$AI$267&amp;'Raw data'!$AJ$2&amp;'Raw data'!$AJ$4:$AJ$267,0)))</f>
        <v>0.308</v>
      </c>
      <c r="Y56" s="418">
        <f t="array" ref="Y56">IF(J$1="","",INDEX('Raw data'!$AP$4:$AP$267,MATCH("Grower"&amp;'Wide data'!$A$1&amp;'Wide data'!$A56,'Raw data'!$AI$4:$AI$267&amp;'Raw data'!$AJ$2&amp;'Raw data'!$AJ$4:$AJ$267,0)))</f>
        <v>1.089921052631579</v>
      </c>
      <c r="Z56" s="418">
        <f t="array" ref="Z56">IF(K$1="","",INDEX('Raw data'!$AP$4:$AP$267,MATCH("Finisher"&amp;'Wide data'!$A$1&amp;'Wide data'!$A56,'Raw data'!$AI$4:$AI$267&amp;'Raw data'!$AJ$2&amp;'Raw data'!$AJ$4:$AJ$267,0)))</f>
        <v>0.82414651493598878</v>
      </c>
      <c r="AA56" s="418">
        <f t="array" ref="AA56">IF(K$1="","",INDEX('Raw data'!$AR$4:$AR$267,MATCH("Starter"&amp;'Wide data'!$A$1&amp;'Wide data'!$A56,'Raw data'!$AI$4:$AI$267&amp;'Raw data'!$AJ$2&amp;'Raw data'!$AJ$4:$AJ$267,0)))</f>
        <v>0.41000000000000003</v>
      </c>
      <c r="AB56" s="418">
        <f t="array" ref="AB56">IF(M$1="","",INDEX('Raw data'!$AR$4:$AR$267,MATCH("Grower"&amp;'Wide data'!$A$1&amp;'Wide data'!$A56,'Raw data'!$AI$4:$AI$267&amp;'Raw data'!$AJ$2&amp;'Raw data'!$AJ$4:$AJ$267,0)))</f>
        <v>2.2431612685560056</v>
      </c>
      <c r="AC56" s="418">
        <f t="array" ref="AC56">IF(N$1="","",INDEX('Raw data'!$AR$4:$AR$267,MATCH("Finisher"&amp;'Wide data'!$A$1&amp;'Wide data'!$A56,'Raw data'!$AI$4:$AI$267&amp;'Raw data'!$AJ$2&amp;'Raw data'!$AJ$4:$AJ$267,0)))</f>
        <v>1.4081081081081082</v>
      </c>
      <c r="AD56" s="418">
        <f t="array" ref="AD56">IF(N$1="","",INDEX('Raw data'!$AS$4:$AS$267,MATCH("Starter"&amp;'Wide data'!$A$1&amp;'Wide data'!$A56,'Raw data'!$AI$4:$AI$267&amp;'Raw data'!$AJ$2&amp;'Raw data'!$AJ$4:$AJ$267,0)))</f>
        <v>1.1598302687411601</v>
      </c>
      <c r="AE56" s="418">
        <f t="array" ref="AE56">IF(P$1="","",INDEX('Raw data'!$AS$4:$AS$267,MATCH("Grower"&amp;'Wide data'!$A$1&amp;'Wide data'!$A56,'Raw data'!$AI$4:$AI$267&amp;'Raw data'!$AJ$2&amp;'Raw data'!$AJ$4:$AJ$267,0)))</f>
        <v>1.9784397846747661</v>
      </c>
      <c r="AF56" s="418">
        <f t="array" ref="AF56">IF(Q$1="","",INDEX('Raw data'!$AS$4:$AS$267,MATCH("Finisher"&amp;'Wide data'!$A$1&amp;'Wide data'!$A56,'Raw data'!$AI$4:$AI$267&amp;'Raw data'!$AJ$2&amp;'Raw data'!$AJ$4:$AJ$267,0)))</f>
        <v>1.6146817124532262</v>
      </c>
    </row>
    <row r="57" spans="1:32" x14ac:dyDescent="0.25">
      <c r="A57" s="24">
        <f>'Raw data'!L59</f>
        <v>56</v>
      </c>
      <c r="B57" s="24" t="str">
        <f>INDEX('Raw data'!$B$4:$B$69, 'Wide data'!A57)</f>
        <v>T3</v>
      </c>
      <c r="C57" s="24" t="str">
        <f>INDEX('Raw data'!$C$4:$C$69, 'Wide data'!A57)</f>
        <v>R8</v>
      </c>
      <c r="D57" s="24">
        <f t="array" ref="D57">INDEX('Raw data'!$F$4:$F$69,MATCH($A$1&amp;'Wide data'!$A57,'Raw data'!$A$3&amp;'Raw data'!$A$4:$A$69,0))</f>
        <v>4.5475000000000002E-2</v>
      </c>
      <c r="E57" s="24">
        <f t="array" ref="E57">IF(E$1="","",INDEX('Raw data'!$Q$4:$Q$267,MATCH("14 days"&amp;'Wide data'!$A$1&amp;'Wide data'!$A57,'Raw data'!$K$4:$K$267&amp;'Raw data'!$L$2&amp;'Raw data'!$L$4:$L$267,0)))</f>
        <v>0.35230769230769232</v>
      </c>
      <c r="F57" s="24">
        <f t="array" ref="F57">IF(F$1="","",INDEX('Raw data'!$Q$4:$Q$267,MATCH("23 days"&amp;'Wide data'!$A$1&amp;'Wide data'!$A57,'Raw data'!$K$4:$K$267&amp;'Raw data'!$L$2&amp;'Raw data'!$L$4:$L$267,0)))</f>
        <v>0.97631578947368403</v>
      </c>
      <c r="G57" s="24">
        <f t="array" ref="G57">IF(G$1="","",INDEX('Raw data'!$Q$4:$Q$267,MATCH("32 days"&amp;'Wide data'!$A$1&amp;'Wide data'!$A57,'Raw data'!$K$4:$K$267&amp;'Raw data'!$L$2&amp;'Raw data'!$L$4:$L$267,0)))</f>
        <v>1.4907894736842104</v>
      </c>
      <c r="H57" s="24">
        <f t="array" ref="H57">IF(H$1="","",INDEX('Raw data'!$Q$4:$Q$267,MATCH("39 days"&amp;'Wide data'!$A$1&amp;'Wide data'!$A57,'Raw data'!$K$4:$K$267&amp;'Raw data'!$L$2&amp;'Raw data'!$L$4:$L$267,0)))</f>
        <v>2.3094594594594597</v>
      </c>
      <c r="I57" s="24">
        <f t="array" ref="I57">IF(I$1="","",INDEX('Raw data'!$S$4:$S$267,MATCH("14 days"&amp;'Wide data'!$A$1&amp;'Wide data'!$A57,'Raw data'!$K$4:$K$267&amp;'Raw data'!$L$2&amp;'Raw data'!$L$4:$L$267,0)))</f>
        <v>0.30683269230769233</v>
      </c>
      <c r="J57" s="24">
        <f t="array" ref="J57">IF(J$1="","",INDEX('Raw data'!$S$4:$S$267,MATCH("23 days"&amp;'Wide data'!$A$1&amp;'Wide data'!$A57,'Raw data'!$K$4:$K$267&amp;'Raw data'!$L$2&amp;'Raw data'!$L$4:$L$267,0)))</f>
        <v>0.6240080971659917</v>
      </c>
      <c r="K57" s="24">
        <f t="array" ref="K57">IF(K$1="","",INDEX('Raw data'!$S$4:$S$267,MATCH("32 days"&amp;'Wide data'!$A$1&amp;'Wide data'!$A57,'Raw data'!$K$4:$K$267&amp;'Raw data'!$L$2&amp;'Raw data'!$L$4:$L$267,0)))</f>
        <v>0.51447368421052642</v>
      </c>
      <c r="L57" s="24">
        <f t="array" ref="L57">IF(L$1="","",INDEX('Raw data'!$S$4:$S$267,MATCH("39 days"&amp;'Wide data'!$A$1&amp;'Wide data'!$A57,'Raw data'!$K$4:$K$267&amp;'Raw data'!$L$2&amp;'Raw data'!$L$4:$L$267,0)))</f>
        <v>0.8186699857752493</v>
      </c>
      <c r="M57" s="24">
        <f t="array" ref="M57">IF(M$1="","",INDEX('Raw data'!$V$4:$V$267,MATCH("14 days"&amp;'Wide data'!$A$1&amp;'Wide data'!$A57,'Raw data'!$K$4:$K$267&amp;'Raw data'!$L$2&amp;'Raw data'!$L$4:$L$267,0)))</f>
        <v>0.3897435897435898</v>
      </c>
      <c r="N57" s="24">
        <f t="array" ref="N57">IF(N$1="","",INDEX('Raw data'!$V$4:$V$267,MATCH("23 days"&amp;'Wide data'!$A$1&amp;'Wide data'!$A57,'Raw data'!$K$4:$K$267&amp;'Raw data'!$L$2&amp;'Raw data'!$L$4:$L$267,0)))</f>
        <v>0.8364473684210525</v>
      </c>
      <c r="O57" s="24">
        <f t="array" ref="O57">IF(O$1="","",INDEX('Raw data'!$V$4:$V$267,MATCH("32 days"&amp;'Wide data'!$A$1&amp;'Wide data'!$A57,'Raw data'!$K$4:$K$267&amp;'Raw data'!$L$2&amp;'Raw data'!$L$4:$L$267,0)))</f>
        <v>1.4332894736842106</v>
      </c>
      <c r="P57" s="24">
        <f t="array" ref="P57">IF(P$1="","",INDEX('Raw data'!$V$4:$V$267,MATCH("39 days"&amp;'Wide data'!$A$1&amp;'Wide data'!$A57,'Raw data'!$K$4:$K$267&amp;'Raw data'!$L$2&amp;'Raw data'!$L$4:$L$267,0)))</f>
        <v>1.4337837837837837</v>
      </c>
      <c r="Q57" s="24">
        <f t="array" ref="Q57">IF(Q$1="","",INDEX('Raw data'!$W$4:$W$267,MATCH("14 days"&amp;'Wide data'!$A$1&amp;'Wide data'!$A57,'Raw data'!$K$4:$K$267&amp;'Raw data'!$L$2&amp;'Raw data'!$L$4:$L$267,0)))</f>
        <v>1.0864903502501788</v>
      </c>
      <c r="R57" s="24">
        <f t="array" ref="R57">IF(R$1="","",INDEX('Raw data'!$W$4:$W$267,MATCH("23 days"&amp;'Wide data'!$A$1&amp;'Wide data'!$A57,'Raw data'!$K$4:$K$267&amp;'Raw data'!$L$2&amp;'Raw data'!$L$4:$L$267,0)))</f>
        <v>1.2429894179894181</v>
      </c>
      <c r="S57" s="24">
        <f t="array" ref="S57">IF(S$1="","",INDEX('Raw data'!$W$4:$W$267,MATCH("32 days"&amp;'Wide data'!$A$1&amp;'Wide data'!$A57,'Raw data'!$K$4:$K$267&amp;'Raw data'!$L$2&amp;'Raw data'!$L$4:$L$267,0)))</f>
        <v>1.7689625108979947</v>
      </c>
      <c r="T57" s="24">
        <f t="array" ref="T57">IF(T$1="","",INDEX('Raw data'!$W$4:$W$267,MATCH("39 days"&amp;'Wide data'!$A$1&amp;'Wide data'!$A57,'Raw data'!$K$4:$K$267&amp;'Raw data'!$L$2&amp;'Raw data'!$L$4:$L$267,0)))</f>
        <v>1.7345323498703309</v>
      </c>
      <c r="U57" s="418">
        <f t="array" ref="U57">IF(E$1="","",INDEX('Raw data'!$AN$4:$AN$267,MATCH("Starter"&amp;'Wide data'!$A$1&amp;'Wide data'!$A57,'Raw data'!$AI$4:$AI$267&amp;'Raw data'!$AJ$2&amp;'Raw data'!$AJ$4:$AJ$267,0)))</f>
        <v>0.35230769230769232</v>
      </c>
      <c r="V57" s="418">
        <f t="array" ref="V57">IF(G$1="","",INDEX('Raw data'!$AN$4:$AN$267,MATCH("Grower"&amp;'Wide data'!$A$1&amp;'Wide data'!$A57,'Raw data'!$AI$4:$AI$267&amp;'Raw data'!$AJ$2&amp;'Raw data'!$AJ$4:$AJ$267,0)))</f>
        <v>1.4907894736842104</v>
      </c>
      <c r="W57" s="418">
        <f t="array" ref="W57">IF(H$1="","",INDEX('Raw data'!$AN$4:$AN$267,MATCH("Finisher"&amp;'Wide data'!$A$1&amp;'Wide data'!$A57,'Raw data'!$AI$4:$AI$267&amp;'Raw data'!$AJ$2&amp;'Raw data'!$AJ$4:$AJ$267,0)))</f>
        <v>2.3094594594594597</v>
      </c>
      <c r="X57" s="418">
        <f t="array" ref="X57">IF(H$1="","",INDEX('Raw data'!$AP$4:$AP$267,MATCH("Starter"&amp;'Wide data'!$A$1&amp;'Wide data'!$A57,'Raw data'!$AI$4:$AI$267&amp;'Raw data'!$AJ$2&amp;'Raw data'!$AJ$4:$AJ$267,0)))</f>
        <v>0.30683269230769233</v>
      </c>
      <c r="Y57" s="418">
        <f t="array" ref="Y57">IF(J$1="","",INDEX('Raw data'!$AP$4:$AP$267,MATCH("Grower"&amp;'Wide data'!$A$1&amp;'Wide data'!$A57,'Raw data'!$AI$4:$AI$267&amp;'Raw data'!$AJ$2&amp;'Raw data'!$AJ$4:$AJ$267,0)))</f>
        <v>1.1384817813765182</v>
      </c>
      <c r="Z57" s="418">
        <f t="array" ref="Z57">IF(K$1="","",INDEX('Raw data'!$AP$4:$AP$267,MATCH("Finisher"&amp;'Wide data'!$A$1&amp;'Wide data'!$A57,'Raw data'!$AI$4:$AI$267&amp;'Raw data'!$AJ$2&amp;'Raw data'!$AJ$4:$AJ$267,0)))</f>
        <v>0.8186699857752493</v>
      </c>
      <c r="AA57" s="418">
        <f t="array" ref="AA57">IF(K$1="","",INDEX('Raw data'!$AR$4:$AR$267,MATCH("Starter"&amp;'Wide data'!$A$1&amp;'Wide data'!$A57,'Raw data'!$AI$4:$AI$267&amp;'Raw data'!$AJ$2&amp;'Raw data'!$AJ$4:$AJ$267,0)))</f>
        <v>0.3897435897435898</v>
      </c>
      <c r="AB57" s="418">
        <f t="array" ref="AB57">IF(M$1="","",INDEX('Raw data'!$AR$4:$AR$267,MATCH("Grower"&amp;'Wide data'!$A$1&amp;'Wide data'!$A57,'Raw data'!$AI$4:$AI$267&amp;'Raw data'!$AJ$2&amp;'Raw data'!$AJ$4:$AJ$267,0)))</f>
        <v>2.2697368421052628</v>
      </c>
      <c r="AC57" s="418">
        <f t="array" ref="AC57">IF(N$1="","",INDEX('Raw data'!$AR$4:$AR$267,MATCH("Finisher"&amp;'Wide data'!$A$1&amp;'Wide data'!$A57,'Raw data'!$AI$4:$AI$267&amp;'Raw data'!$AJ$2&amp;'Raw data'!$AJ$4:$AJ$267,0)))</f>
        <v>1.4337837837837837</v>
      </c>
      <c r="AD57" s="418">
        <f t="array" ref="AD57">IF(N$1="","",INDEX('Raw data'!$AS$4:$AS$267,MATCH("Starter"&amp;'Wide data'!$A$1&amp;'Wide data'!$A57,'Raw data'!$AI$4:$AI$267&amp;'Raw data'!$AJ$2&amp;'Raw data'!$AJ$4:$AJ$267,0)))</f>
        <v>1.0864903502501788</v>
      </c>
      <c r="AE57" s="418">
        <f t="array" ref="AE57">IF(P$1="","",INDEX('Raw data'!$AS$4:$AS$267,MATCH("Grower"&amp;'Wide data'!$A$1&amp;'Wide data'!$A57,'Raw data'!$AI$4:$AI$267&amp;'Raw data'!$AJ$2&amp;'Raw data'!$AJ$4:$AJ$267,0)))</f>
        <v>1.9731284975187415</v>
      </c>
      <c r="AF57" s="418">
        <f t="array" ref="AF57">IF(Q$1="","",INDEX('Raw data'!$AS$4:$AS$267,MATCH("Finisher"&amp;'Wide data'!$A$1&amp;'Wide data'!$A57,'Raw data'!$AI$4:$AI$267&amp;'Raw data'!$AJ$2&amp;'Raw data'!$AJ$4:$AJ$267,0)))</f>
        <v>1.5972281645860464</v>
      </c>
    </row>
    <row r="58" spans="1:32" x14ac:dyDescent="0.25">
      <c r="A58" s="24">
        <f>'Raw data'!L60</f>
        <v>57</v>
      </c>
      <c r="B58" s="24" t="str">
        <f>INDEX('Raw data'!$B$4:$B$69, 'Wide data'!A58)</f>
        <v>T2</v>
      </c>
      <c r="C58" s="24" t="str">
        <f>INDEX('Raw data'!$C$4:$C$69, 'Wide data'!A58)</f>
        <v>R8</v>
      </c>
      <c r="D58" s="24">
        <f t="array" ref="D58">INDEX('Raw data'!$F$4:$F$69,MATCH($A$1&amp;'Wide data'!$A58,'Raw data'!$A$3&amp;'Raw data'!$A$4:$A$69,0))</f>
        <v>4.5824999999999998E-2</v>
      </c>
      <c r="E58" s="24">
        <f t="array" ref="E58">IF(E$1="","",INDEX('Raw data'!$Q$4:$Q$267,MATCH("14 days"&amp;'Wide data'!$A$1&amp;'Wide data'!$A58,'Raw data'!$K$4:$K$267&amp;'Raw data'!$L$2&amp;'Raw data'!$L$4:$L$267,0)))</f>
        <v>0.36189189189189186</v>
      </c>
      <c r="F58" s="24">
        <f t="array" ref="F58">IF(F$1="","",INDEX('Raw data'!$Q$4:$Q$267,MATCH("23 days"&amp;'Wide data'!$A$1&amp;'Wide data'!$A58,'Raw data'!$K$4:$K$267&amp;'Raw data'!$L$2&amp;'Raw data'!$L$4:$L$267,0)))</f>
        <v>0.98243243243243228</v>
      </c>
      <c r="G58" s="24">
        <f t="array" ref="G58">IF(G$1="","",INDEX('Raw data'!$Q$4:$Q$267,MATCH("32 days"&amp;'Wide data'!$A$1&amp;'Wide data'!$A58,'Raw data'!$K$4:$K$267&amp;'Raw data'!$L$2&amp;'Raw data'!$L$4:$L$267,0)))</f>
        <v>1.4319444444444445</v>
      </c>
      <c r="H58" s="24">
        <f t="array" ref="H58">IF(H$1="","",INDEX('Raw data'!$Q$4:$Q$267,MATCH("39 days"&amp;'Wide data'!$A$1&amp;'Wide data'!$A58,'Raw data'!$K$4:$K$267&amp;'Raw data'!$L$2&amp;'Raw data'!$L$4:$L$267,0)))</f>
        <v>2.2085714285714291</v>
      </c>
      <c r="I58" s="24">
        <f t="array" ref="I58">IF(I$1="","",INDEX('Raw data'!$S$4:$S$267,MATCH("14 days"&amp;'Wide data'!$A$1&amp;'Wide data'!$A58,'Raw data'!$K$4:$K$267&amp;'Raw data'!$L$2&amp;'Raw data'!$L$4:$L$267,0)))</f>
        <v>0.31606689189189185</v>
      </c>
      <c r="J58" s="24">
        <f t="array" ref="J58">IF(J$1="","",INDEX('Raw data'!$S$4:$S$267,MATCH("23 days"&amp;'Wide data'!$A$1&amp;'Wide data'!$A58,'Raw data'!$K$4:$K$267&amp;'Raw data'!$L$2&amp;'Raw data'!$L$4:$L$267,0)))</f>
        <v>0.62054054054054042</v>
      </c>
      <c r="K58" s="24">
        <f t="array" ref="K58">IF(K$1="","",INDEX('Raw data'!$S$4:$S$267,MATCH("32 days"&amp;'Wide data'!$A$1&amp;'Wide data'!$A58,'Raw data'!$K$4:$K$267&amp;'Raw data'!$L$2&amp;'Raw data'!$L$4:$L$267,0)))</f>
        <v>0.44951201201201219</v>
      </c>
      <c r="L58" s="24">
        <f t="array" ref="L58">IF(L$1="","",INDEX('Raw data'!$S$4:$S$267,MATCH("39 days"&amp;'Wide data'!$A$1&amp;'Wide data'!$A58,'Raw data'!$K$4:$K$267&amp;'Raw data'!$L$2&amp;'Raw data'!$L$4:$L$267,0)))</f>
        <v>0.77662698412698461</v>
      </c>
      <c r="M58" s="24">
        <f t="array" ref="M58">IF(M$1="","",INDEX('Raw data'!$V$4:$V$267,MATCH("14 days"&amp;'Wide data'!$A$1&amp;'Wide data'!$A58,'Raw data'!$K$4:$K$267&amp;'Raw data'!$L$2&amp;'Raw data'!$L$4:$L$267,0)))</f>
        <v>0.44054054054054054</v>
      </c>
      <c r="N58" s="24">
        <f t="array" ref="N58">IF(N$1="","",INDEX('Raw data'!$V$4:$V$267,MATCH("23 days"&amp;'Wide data'!$A$1&amp;'Wide data'!$A58,'Raw data'!$K$4:$K$267&amp;'Raw data'!$L$2&amp;'Raw data'!$L$4:$L$267,0)))</f>
        <v>0.84013513513513538</v>
      </c>
      <c r="O58" s="24">
        <f t="array" ref="O58">IF(O$1="","",INDEX('Raw data'!$V$4:$V$267,MATCH("32 days"&amp;'Wide data'!$A$1&amp;'Wide data'!$A58,'Raw data'!$K$4:$K$267&amp;'Raw data'!$L$2&amp;'Raw data'!$L$4:$L$267,0)))</f>
        <v>1.3823611111111109</v>
      </c>
      <c r="P58" s="24">
        <f t="array" ref="P58">IF(P$1="","",INDEX('Raw data'!$V$4:$V$267,MATCH("39 days"&amp;'Wide data'!$A$1&amp;'Wide data'!$A58,'Raw data'!$K$4:$K$267&amp;'Raw data'!$L$2&amp;'Raw data'!$L$4:$L$267,0)))</f>
        <v>1.4</v>
      </c>
      <c r="Q58" s="24">
        <f t="array" ref="Q58">IF(Q$1="","",INDEX('Raw data'!$W$4:$W$267,MATCH("14 days"&amp;'Wide data'!$A$1&amp;'Wide data'!$A58,'Raw data'!$K$4:$K$267&amp;'Raw data'!$L$2&amp;'Raw data'!$L$4:$L$267,0)))</f>
        <v>1.1707247001364651</v>
      </c>
      <c r="R58" s="24">
        <f t="array" ref="R58">IF(R$1="","",INDEX('Raw data'!$W$4:$W$267,MATCH("23 days"&amp;'Wide data'!$A$1&amp;'Wide data'!$A58,'Raw data'!$K$4:$K$267&amp;'Raw data'!$L$2&amp;'Raw data'!$L$4:$L$267,0)))</f>
        <v>1.2847382262831117</v>
      </c>
      <c r="S58" s="24">
        <f t="array" ref="S58">IF(S$1="","",INDEX('Raw data'!$W$4:$W$267,MATCH("32 days"&amp;'Wide data'!$A$1&amp;'Wide data'!$A58,'Raw data'!$K$4:$K$267&amp;'Raw data'!$L$2&amp;'Raw data'!$L$4:$L$267,0)))</f>
        <v>1.8249957732985178</v>
      </c>
      <c r="T58" s="24">
        <f t="array" ref="T58">IF(T$1="","",INDEX('Raw data'!$W$4:$W$267,MATCH("39 days"&amp;'Wide data'!$A$1&amp;'Wide data'!$A58,'Raw data'!$K$4:$K$267&amp;'Raw data'!$L$2&amp;'Raw data'!$L$4:$L$267,0)))</f>
        <v>1.7957633991104116</v>
      </c>
      <c r="U58" s="418">
        <f t="array" ref="U58">IF(E$1="","",INDEX('Raw data'!$AN$4:$AN$267,MATCH("Starter"&amp;'Wide data'!$A$1&amp;'Wide data'!$A58,'Raw data'!$AI$4:$AI$267&amp;'Raw data'!$AJ$2&amp;'Raw data'!$AJ$4:$AJ$267,0)))</f>
        <v>0.36189189189189186</v>
      </c>
      <c r="V58" s="418">
        <f t="array" ref="V58">IF(G$1="","",INDEX('Raw data'!$AN$4:$AN$267,MATCH("Grower"&amp;'Wide data'!$A$1&amp;'Wide data'!$A58,'Raw data'!$AI$4:$AI$267&amp;'Raw data'!$AJ$2&amp;'Raw data'!$AJ$4:$AJ$267,0)))</f>
        <v>1.4319444444444445</v>
      </c>
      <c r="W58" s="418">
        <f t="array" ref="W58">IF(H$1="","",INDEX('Raw data'!$AN$4:$AN$267,MATCH("Finisher"&amp;'Wide data'!$A$1&amp;'Wide data'!$A58,'Raw data'!$AI$4:$AI$267&amp;'Raw data'!$AJ$2&amp;'Raw data'!$AJ$4:$AJ$267,0)))</f>
        <v>2.2085714285714291</v>
      </c>
      <c r="X58" s="418">
        <f t="array" ref="X58">IF(H$1="","",INDEX('Raw data'!$AP$4:$AP$267,MATCH("Starter"&amp;'Wide data'!$A$1&amp;'Wide data'!$A58,'Raw data'!$AI$4:$AI$267&amp;'Raw data'!$AJ$2&amp;'Raw data'!$AJ$4:$AJ$267,0)))</f>
        <v>0.31606689189189185</v>
      </c>
      <c r="Y58" s="418">
        <f t="array" ref="Y58">IF(J$1="","",INDEX('Raw data'!$AP$4:$AP$267,MATCH("Grower"&amp;'Wide data'!$A$1&amp;'Wide data'!$A58,'Raw data'!$AI$4:$AI$267&amp;'Raw data'!$AJ$2&amp;'Raw data'!$AJ$4:$AJ$267,0)))</f>
        <v>1.0700525525525526</v>
      </c>
      <c r="Z58" s="418">
        <f t="array" ref="Z58">IF(K$1="","",INDEX('Raw data'!$AP$4:$AP$267,MATCH("Finisher"&amp;'Wide data'!$A$1&amp;'Wide data'!$A58,'Raw data'!$AI$4:$AI$267&amp;'Raw data'!$AJ$2&amp;'Raw data'!$AJ$4:$AJ$267,0)))</f>
        <v>0.77662698412698461</v>
      </c>
      <c r="AA58" s="418">
        <f t="array" ref="AA58">IF(K$1="","",INDEX('Raw data'!$AR$4:$AR$267,MATCH("Starter"&amp;'Wide data'!$A$1&amp;'Wide data'!$A58,'Raw data'!$AI$4:$AI$267&amp;'Raw data'!$AJ$2&amp;'Raw data'!$AJ$4:$AJ$267,0)))</f>
        <v>0.44054054054054054</v>
      </c>
      <c r="AB58" s="418">
        <f t="array" ref="AB58">IF(M$1="","",INDEX('Raw data'!$AR$4:$AR$267,MATCH("Grower"&amp;'Wide data'!$A$1&amp;'Wide data'!$A58,'Raw data'!$AI$4:$AI$267&amp;'Raw data'!$AJ$2&amp;'Raw data'!$AJ$4:$AJ$267,0)))</f>
        <v>2.2224962462462461</v>
      </c>
      <c r="AC58" s="418">
        <f t="array" ref="AC58">IF(N$1="","",INDEX('Raw data'!$AR$4:$AR$267,MATCH("Finisher"&amp;'Wide data'!$A$1&amp;'Wide data'!$A58,'Raw data'!$AI$4:$AI$267&amp;'Raw data'!$AJ$2&amp;'Raw data'!$AJ$4:$AJ$267,0)))</f>
        <v>1.4</v>
      </c>
      <c r="AD58" s="418">
        <f t="array" ref="AD58">IF(N$1="","",INDEX('Raw data'!$AS$4:$AS$267,MATCH("Starter"&amp;'Wide data'!$A$1&amp;'Wide data'!$A58,'Raw data'!$AI$4:$AI$267&amp;'Raw data'!$AJ$2&amp;'Raw data'!$AJ$4:$AJ$267,0)))</f>
        <v>1.1707247001364651</v>
      </c>
      <c r="AE58" s="418">
        <f t="array" ref="AE58">IF(P$1="","",INDEX('Raw data'!$AS$4:$AS$267,MATCH("Grower"&amp;'Wide data'!$A$1&amp;'Wide data'!$A58,'Raw data'!$AI$4:$AI$267&amp;'Raw data'!$AJ$2&amp;'Raw data'!$AJ$4:$AJ$267,0)))</f>
        <v>2.0065802712601122</v>
      </c>
      <c r="AF58" s="418">
        <f t="array" ref="AF58">IF(Q$1="","",INDEX('Raw data'!$AS$4:$AS$267,MATCH("Finisher"&amp;'Wide data'!$A$1&amp;'Wide data'!$A58,'Raw data'!$AI$4:$AI$267&amp;'Raw data'!$AJ$2&amp;'Raw data'!$AJ$4:$AJ$267,0)))</f>
        <v>1.6562478287567428</v>
      </c>
    </row>
    <row r="59" spans="1:32" x14ac:dyDescent="0.25">
      <c r="A59" s="24">
        <f>'Raw data'!L61</f>
        <v>58</v>
      </c>
      <c r="B59" s="24" t="str">
        <f>INDEX('Raw data'!$B$4:$B$69, 'Wide data'!A59)</f>
        <v>T1</v>
      </c>
      <c r="C59" s="24" t="str">
        <f>INDEX('Raw data'!$C$4:$C$69, 'Wide data'!A59)</f>
        <v>R8</v>
      </c>
      <c r="D59" s="24">
        <f t="array" ref="D59">INDEX('Raw data'!$F$4:$F$69,MATCH($A$1&amp;'Wide data'!$A59,'Raw data'!$A$3&amp;'Raw data'!$A$4:$A$69,0))</f>
        <v>4.5600000000000002E-2</v>
      </c>
      <c r="E59" s="24">
        <f t="array" ref="E59">IF(E$1="","",INDEX('Raw data'!$Q$4:$Q$267,MATCH("14 days"&amp;'Wide data'!$A$1&amp;'Wide data'!$A59,'Raw data'!$K$4:$K$267&amp;'Raw data'!$L$2&amp;'Raw data'!$L$4:$L$267,0)))</f>
        <v>0.36641025641025643</v>
      </c>
      <c r="F59" s="24">
        <f t="array" ref="F59">IF(F$1="","",INDEX('Raw data'!$Q$4:$Q$267,MATCH("23 days"&amp;'Wide data'!$A$1&amp;'Wide data'!$A59,'Raw data'!$K$4:$K$267&amp;'Raw data'!$L$2&amp;'Raw data'!$L$4:$L$267,0)))</f>
        <v>0.98846153846153839</v>
      </c>
      <c r="G59" s="24">
        <f t="array" ref="G59">IF(G$1="","",INDEX('Raw data'!$Q$4:$Q$267,MATCH("32 days"&amp;'Wide data'!$A$1&amp;'Wide data'!$A59,'Raw data'!$K$4:$K$267&amp;'Raw data'!$L$2&amp;'Raw data'!$L$4:$L$267,0)))</f>
        <v>1.4776315789473684</v>
      </c>
      <c r="H59" s="24">
        <f t="array" ref="H59">IF(H$1="","",INDEX('Raw data'!$Q$4:$Q$267,MATCH("39 days"&amp;'Wide data'!$A$1&amp;'Wide data'!$A59,'Raw data'!$K$4:$K$267&amp;'Raw data'!$L$2&amp;'Raw data'!$L$4:$L$267,0)))</f>
        <v>2.293421052631579</v>
      </c>
      <c r="I59" s="24">
        <f t="array" ref="I59">IF(I$1="","",INDEX('Raw data'!$S$4:$S$267,MATCH("14 days"&amp;'Wide data'!$A$1&amp;'Wide data'!$A59,'Raw data'!$K$4:$K$267&amp;'Raw data'!$L$2&amp;'Raw data'!$L$4:$L$267,0)))</f>
        <v>0.3208102564102564</v>
      </c>
      <c r="J59" s="24">
        <f t="array" ref="J59">IF(J$1="","",INDEX('Raw data'!$S$4:$S$267,MATCH("23 days"&amp;'Wide data'!$A$1&amp;'Wide data'!$A59,'Raw data'!$K$4:$K$267&amp;'Raw data'!$L$2&amp;'Raw data'!$L$4:$L$267,0)))</f>
        <v>0.62205128205128202</v>
      </c>
      <c r="K59" s="24">
        <f t="array" ref="K59">IF(K$1="","",INDEX('Raw data'!$S$4:$S$267,MATCH("32 days"&amp;'Wide data'!$A$1&amp;'Wide data'!$A59,'Raw data'!$K$4:$K$267&amp;'Raw data'!$L$2&amp;'Raw data'!$L$4:$L$267,0)))</f>
        <v>0.48917004048583002</v>
      </c>
      <c r="L59" s="24">
        <f t="array" ref="L59">IF(L$1="","",INDEX('Raw data'!$S$4:$S$267,MATCH("39 days"&amp;'Wide data'!$A$1&amp;'Wide data'!$A59,'Raw data'!$K$4:$K$267&amp;'Raw data'!$L$2&amp;'Raw data'!$L$4:$L$267,0)))</f>
        <v>0.81578947368421062</v>
      </c>
      <c r="M59" s="24">
        <f t="array" ref="M59">IF(M$1="","",INDEX('Raw data'!$V$4:$V$267,MATCH("14 days"&amp;'Wide data'!$A$1&amp;'Wide data'!$A59,'Raw data'!$K$4:$K$267&amp;'Raw data'!$L$2&amp;'Raw data'!$L$4:$L$267,0)))</f>
        <v>0.42435897435897429</v>
      </c>
      <c r="N59" s="24">
        <f t="array" ref="N59">IF(N$1="","",INDEX('Raw data'!$V$4:$V$267,MATCH("23 days"&amp;'Wide data'!$A$1&amp;'Wide data'!$A59,'Raw data'!$K$4:$K$267&amp;'Raw data'!$L$2&amp;'Raw data'!$L$4:$L$267,0)))</f>
        <v>0.83166666666666678</v>
      </c>
      <c r="O59" s="24">
        <f t="array" ref="O59">IF(O$1="","",INDEX('Raw data'!$V$4:$V$267,MATCH("32 days"&amp;'Wide data'!$A$1&amp;'Wide data'!$A59,'Raw data'!$K$4:$K$267&amp;'Raw data'!$L$2&amp;'Raw data'!$L$4:$L$267,0)))</f>
        <v>1.3911842105263157</v>
      </c>
      <c r="P59" s="24">
        <f t="array" ref="P59">IF(P$1="","",INDEX('Raw data'!$V$4:$V$267,MATCH("39 days"&amp;'Wide data'!$A$1&amp;'Wide data'!$A59,'Raw data'!$K$4:$K$267&amp;'Raw data'!$L$2&amp;'Raw data'!$L$4:$L$267,0)))</f>
        <v>1.388157894736842</v>
      </c>
      <c r="Q59" s="24">
        <f t="array" ref="Q59">IF(Q$1="","",INDEX('Raw data'!$W$4:$W$267,MATCH("14 days"&amp;'Wide data'!$A$1&amp;'Wide data'!$A59,'Raw data'!$K$4:$K$267&amp;'Raw data'!$L$2&amp;'Raw data'!$L$4:$L$267,0)))</f>
        <v>1.1382393397524069</v>
      </c>
      <c r="R59" s="24">
        <f t="array" ref="R59">IF(R$1="","",INDEX('Raw data'!$W$4:$W$267,MATCH("23 days"&amp;'Wide data'!$A$1&amp;'Wide data'!$A59,'Raw data'!$K$4:$K$267&amp;'Raw data'!$L$2&amp;'Raw data'!$L$4:$L$267,0)))</f>
        <v>1.2625000000000002</v>
      </c>
      <c r="S59" s="24">
        <f t="array" ref="S59">IF(S$1="","",INDEX('Raw data'!$W$4:$W$267,MATCH("32 days"&amp;'Wide data'!$A$1&amp;'Wide data'!$A59,'Raw data'!$K$4:$K$267&amp;'Raw data'!$L$2&amp;'Raw data'!$L$4:$L$267,0)))</f>
        <v>1.774390243902439</v>
      </c>
      <c r="T59" s="24">
        <f t="array" ref="T59">IF(T$1="","",INDEX('Raw data'!$W$4:$W$267,MATCH("39 days"&amp;'Wide data'!$A$1&amp;'Wide data'!$A59,'Raw data'!$K$4:$K$267&amp;'Raw data'!$L$2&amp;'Raw data'!$L$4:$L$267,0)))</f>
        <v>1.7488687782805432</v>
      </c>
      <c r="U59" s="418">
        <f t="array" ref="U59">IF(E$1="","",INDEX('Raw data'!$AN$4:$AN$267,MATCH("Starter"&amp;'Wide data'!$A$1&amp;'Wide data'!$A59,'Raw data'!$AI$4:$AI$267&amp;'Raw data'!$AJ$2&amp;'Raw data'!$AJ$4:$AJ$267,0)))</f>
        <v>0.36641025641025643</v>
      </c>
      <c r="V59" s="418">
        <f t="array" ref="V59">IF(G$1="","",INDEX('Raw data'!$AN$4:$AN$267,MATCH("Grower"&amp;'Wide data'!$A$1&amp;'Wide data'!$A59,'Raw data'!$AI$4:$AI$267&amp;'Raw data'!$AJ$2&amp;'Raw data'!$AJ$4:$AJ$267,0)))</f>
        <v>1.4776315789473684</v>
      </c>
      <c r="W59" s="418">
        <f t="array" ref="W59">IF(H$1="","",INDEX('Raw data'!$AN$4:$AN$267,MATCH("Finisher"&amp;'Wide data'!$A$1&amp;'Wide data'!$A59,'Raw data'!$AI$4:$AI$267&amp;'Raw data'!$AJ$2&amp;'Raw data'!$AJ$4:$AJ$267,0)))</f>
        <v>2.293421052631579</v>
      </c>
      <c r="X59" s="418">
        <f t="array" ref="X59">IF(H$1="","",INDEX('Raw data'!$AP$4:$AP$267,MATCH("Starter"&amp;'Wide data'!$A$1&amp;'Wide data'!$A59,'Raw data'!$AI$4:$AI$267&amp;'Raw data'!$AJ$2&amp;'Raw data'!$AJ$4:$AJ$267,0)))</f>
        <v>0.3208102564102564</v>
      </c>
      <c r="Y59" s="418">
        <f t="array" ref="Y59">IF(J$1="","",INDEX('Raw data'!$AP$4:$AP$267,MATCH("Grower"&amp;'Wide data'!$A$1&amp;'Wide data'!$A59,'Raw data'!$AI$4:$AI$267&amp;'Raw data'!$AJ$2&amp;'Raw data'!$AJ$4:$AJ$267,0)))</f>
        <v>1.1112213225371121</v>
      </c>
      <c r="Z59" s="418">
        <f t="array" ref="Z59">IF(K$1="","",INDEX('Raw data'!$AP$4:$AP$267,MATCH("Finisher"&amp;'Wide data'!$A$1&amp;'Wide data'!$A59,'Raw data'!$AI$4:$AI$267&amp;'Raw data'!$AJ$2&amp;'Raw data'!$AJ$4:$AJ$267,0)))</f>
        <v>0.81578947368421062</v>
      </c>
      <c r="AA59" s="418">
        <f t="array" ref="AA59">IF(K$1="","",INDEX('Raw data'!$AR$4:$AR$267,MATCH("Starter"&amp;'Wide data'!$A$1&amp;'Wide data'!$A59,'Raw data'!$AI$4:$AI$267&amp;'Raw data'!$AJ$2&amp;'Raw data'!$AJ$4:$AJ$267,0)))</f>
        <v>0.42435897435897429</v>
      </c>
      <c r="AB59" s="418">
        <f t="array" ref="AB59">IF(M$1="","",INDEX('Raw data'!$AR$4:$AR$267,MATCH("Grower"&amp;'Wide data'!$A$1&amp;'Wide data'!$A59,'Raw data'!$AI$4:$AI$267&amp;'Raw data'!$AJ$2&amp;'Raw data'!$AJ$4:$AJ$267,0)))</f>
        <v>2.2228508771929825</v>
      </c>
      <c r="AC59" s="418">
        <f t="array" ref="AC59">IF(N$1="","",INDEX('Raw data'!$AR$4:$AR$267,MATCH("Finisher"&amp;'Wide data'!$A$1&amp;'Wide data'!$A59,'Raw data'!$AI$4:$AI$267&amp;'Raw data'!$AJ$2&amp;'Raw data'!$AJ$4:$AJ$267,0)))</f>
        <v>1.388157894736842</v>
      </c>
      <c r="AD59" s="418">
        <f t="array" ref="AD59">IF(N$1="","",INDEX('Raw data'!$AS$4:$AS$267,MATCH("Starter"&amp;'Wide data'!$A$1&amp;'Wide data'!$A59,'Raw data'!$AI$4:$AI$267&amp;'Raw data'!$AJ$2&amp;'Raw data'!$AJ$4:$AJ$267,0)))</f>
        <v>1.1382393397524069</v>
      </c>
      <c r="AE59" s="418">
        <f t="array" ref="AE59">IF(P$1="","",INDEX('Raw data'!$AS$4:$AS$267,MATCH("Grower"&amp;'Wide data'!$A$1&amp;'Wide data'!$A59,'Raw data'!$AI$4:$AI$267&amp;'Raw data'!$AJ$2&amp;'Raw data'!$AJ$4:$AJ$267,0)))</f>
        <v>1.9453362103748926</v>
      </c>
      <c r="AF59" s="418">
        <f t="array" ref="AF59">IF(Q$1="","",INDEX('Raw data'!$AS$4:$AS$267,MATCH("Finisher"&amp;'Wide data'!$A$1&amp;'Wide data'!$A59,'Raw data'!$AI$4:$AI$267&amp;'Raw data'!$AJ$2&amp;'Raw data'!$AJ$4:$AJ$267,0)))</f>
        <v>1.7016129032258063</v>
      </c>
    </row>
    <row r="60" spans="1:32" x14ac:dyDescent="0.25">
      <c r="A60" s="24">
        <f>'Raw data'!L62</f>
        <v>59</v>
      </c>
      <c r="B60" s="24" t="str">
        <f>INDEX('Raw data'!$B$4:$B$69, 'Wide data'!A60)</f>
        <v>T3</v>
      </c>
      <c r="C60" s="24" t="str">
        <f>INDEX('Raw data'!$C$4:$C$69, 'Wide data'!A60)</f>
        <v>R9</v>
      </c>
      <c r="D60" s="24">
        <f t="array" ref="D60">INDEX('Raw data'!$F$4:$F$69,MATCH($A$1&amp;'Wide data'!$A60,'Raw data'!$A$3&amp;'Raw data'!$A$4:$A$69,0))</f>
        <v>4.5524999999999996E-2</v>
      </c>
      <c r="E60" s="24">
        <f t="array" ref="E60">IF(E$1="","",INDEX('Raw data'!$Q$4:$Q$267,MATCH("14 days"&amp;'Wide data'!$A$1&amp;'Wide data'!$A60,'Raw data'!$K$4:$K$267&amp;'Raw data'!$L$2&amp;'Raw data'!$L$4:$L$267,0)))</f>
        <v>0.34975000000000001</v>
      </c>
      <c r="F60" s="24">
        <f t="array" ref="F60">IF(F$1="","",INDEX('Raw data'!$Q$4:$Q$267,MATCH("23 days"&amp;'Wide data'!$A$1&amp;'Wide data'!$A60,'Raw data'!$K$4:$K$267&amp;'Raw data'!$L$2&amp;'Raw data'!$L$4:$L$267,0)))</f>
        <v>0.96250000000000002</v>
      </c>
      <c r="G60" s="24">
        <f t="array" ref="G60">IF(G$1="","",INDEX('Raw data'!$Q$4:$Q$267,MATCH("32 days"&amp;'Wide data'!$A$1&amp;'Wide data'!$A60,'Raw data'!$K$4:$K$267&amp;'Raw data'!$L$2&amp;'Raw data'!$L$4:$L$267,0)))</f>
        <v>1.43</v>
      </c>
      <c r="H60" s="24">
        <f t="array" ref="H60">IF(H$1="","",INDEX('Raw data'!$Q$4:$Q$267,MATCH("39 days"&amp;'Wide data'!$A$1&amp;'Wide data'!$A60,'Raw data'!$K$4:$K$267&amp;'Raw data'!$L$2&amp;'Raw data'!$L$4:$L$267,0)))</f>
        <v>2.2600000000000002</v>
      </c>
      <c r="I60" s="24">
        <f t="array" ref="I60">IF(I$1="","",INDEX('Raw data'!$S$4:$S$267,MATCH("14 days"&amp;'Wide data'!$A$1&amp;'Wide data'!$A60,'Raw data'!$K$4:$K$267&amp;'Raw data'!$L$2&amp;'Raw data'!$L$4:$L$267,0)))</f>
        <v>0.30422500000000002</v>
      </c>
      <c r="J60" s="24">
        <f t="array" ref="J60">IF(J$1="","",INDEX('Raw data'!$S$4:$S$267,MATCH("23 days"&amp;'Wide data'!$A$1&amp;'Wide data'!$A60,'Raw data'!$K$4:$K$267&amp;'Raw data'!$L$2&amp;'Raw data'!$L$4:$L$267,0)))</f>
        <v>0.61275000000000002</v>
      </c>
      <c r="K60" s="24">
        <f t="array" ref="K60">IF(K$1="","",INDEX('Raw data'!$S$4:$S$267,MATCH("32 days"&amp;'Wide data'!$A$1&amp;'Wide data'!$A60,'Raw data'!$K$4:$K$267&amp;'Raw data'!$L$2&amp;'Raw data'!$L$4:$L$267,0)))</f>
        <v>0.46749999999999992</v>
      </c>
      <c r="L60" s="24">
        <f t="array" ref="L60">IF(L$1="","",INDEX('Raw data'!$S$4:$S$267,MATCH("39 days"&amp;'Wide data'!$A$1&amp;'Wide data'!$A60,'Raw data'!$K$4:$K$267&amp;'Raw data'!$L$2&amp;'Raw data'!$L$4:$L$267,0)))</f>
        <v>0.83000000000000029</v>
      </c>
      <c r="M60" s="24">
        <f t="array" ref="M60">IF(M$1="","",INDEX('Raw data'!$V$4:$V$267,MATCH("14 days"&amp;'Wide data'!$A$1&amp;'Wide data'!$A60,'Raw data'!$K$4:$K$267&amp;'Raw data'!$L$2&amp;'Raw data'!$L$4:$L$267,0)))</f>
        <v>0.41</v>
      </c>
      <c r="N60" s="24">
        <f t="array" ref="N60">IF(N$1="","",INDEX('Raw data'!$V$4:$V$267,MATCH("23 days"&amp;'Wide data'!$A$1&amp;'Wide data'!$A60,'Raw data'!$K$4:$K$267&amp;'Raw data'!$L$2&amp;'Raw data'!$L$4:$L$267,0)))</f>
        <v>0.81837499999999996</v>
      </c>
      <c r="O60" s="24">
        <f t="array" ref="O60">IF(O$1="","",INDEX('Raw data'!$V$4:$V$267,MATCH("32 days"&amp;'Wide data'!$A$1&amp;'Wide data'!$A60,'Raw data'!$K$4:$K$267&amp;'Raw data'!$L$2&amp;'Raw data'!$L$4:$L$267,0)))</f>
        <v>1.3628750000000001</v>
      </c>
      <c r="P60" s="24">
        <f t="array" ref="P60">IF(P$1="","",INDEX('Raw data'!$V$4:$V$267,MATCH("39 days"&amp;'Wide data'!$A$1&amp;'Wide data'!$A60,'Raw data'!$K$4:$K$267&amp;'Raw data'!$L$2&amp;'Raw data'!$L$4:$L$267,0)))</f>
        <v>1.375</v>
      </c>
      <c r="Q60" s="24">
        <f t="array" ref="Q60">IF(Q$1="","",INDEX('Raw data'!$W$4:$W$267,MATCH("14 days"&amp;'Wide data'!$A$1&amp;'Wide data'!$A60,'Raw data'!$K$4:$K$267&amp;'Raw data'!$L$2&amp;'Raw data'!$L$4:$L$267,0)))</f>
        <v>1.172265904217298</v>
      </c>
      <c r="R60" s="24">
        <f t="array" ref="R60">IF(R$1="","",INDEX('Raw data'!$W$4:$W$267,MATCH("23 days"&amp;'Wide data'!$A$1&amp;'Wide data'!$A60,'Raw data'!$K$4:$K$267&amp;'Raw data'!$L$2&amp;'Raw data'!$L$4:$L$267,0)))</f>
        <v>1.2762337662337662</v>
      </c>
      <c r="S60" s="24">
        <f t="array" ref="S60">IF(S$1="","",INDEX('Raw data'!$W$4:$W$267,MATCH("32 days"&amp;'Wide data'!$A$1&amp;'Wide data'!$A60,'Raw data'!$K$4:$K$267&amp;'Raw data'!$L$2&amp;'Raw data'!$L$4:$L$267,0)))</f>
        <v>1.8120629370629373</v>
      </c>
      <c r="T60" s="24">
        <f t="array" ref="T60">IF(T$1="","",INDEX('Raw data'!$W$4:$W$267,MATCH("39 days"&amp;'Wide data'!$A$1&amp;'Wide data'!$A60,'Raw data'!$K$4:$K$267&amp;'Raw data'!$L$2&amp;'Raw data'!$L$4:$L$267,0)))</f>
        <v>1.7549778761061947</v>
      </c>
      <c r="U60" s="418">
        <f t="array" ref="U60">IF(E$1="","",INDEX('Raw data'!$AN$4:$AN$267,MATCH("Starter"&amp;'Wide data'!$A$1&amp;'Wide data'!$A60,'Raw data'!$AI$4:$AI$267&amp;'Raw data'!$AJ$2&amp;'Raw data'!$AJ$4:$AJ$267,0)))</f>
        <v>0.34975000000000001</v>
      </c>
      <c r="V60" s="418">
        <f t="array" ref="V60">IF(G$1="","",INDEX('Raw data'!$AN$4:$AN$267,MATCH("Grower"&amp;'Wide data'!$A$1&amp;'Wide data'!$A60,'Raw data'!$AI$4:$AI$267&amp;'Raw data'!$AJ$2&amp;'Raw data'!$AJ$4:$AJ$267,0)))</f>
        <v>1.43</v>
      </c>
      <c r="W60" s="418">
        <f t="array" ref="W60">IF(H$1="","",INDEX('Raw data'!$AN$4:$AN$267,MATCH("Finisher"&amp;'Wide data'!$A$1&amp;'Wide data'!$A60,'Raw data'!$AI$4:$AI$267&amp;'Raw data'!$AJ$2&amp;'Raw data'!$AJ$4:$AJ$267,0)))</f>
        <v>2.2600000000000002</v>
      </c>
      <c r="X60" s="418">
        <f t="array" ref="X60">IF(H$1="","",INDEX('Raw data'!$AP$4:$AP$267,MATCH("Starter"&amp;'Wide data'!$A$1&amp;'Wide data'!$A60,'Raw data'!$AI$4:$AI$267&amp;'Raw data'!$AJ$2&amp;'Raw data'!$AJ$4:$AJ$267,0)))</f>
        <v>0.30422500000000002</v>
      </c>
      <c r="Y60" s="418">
        <f t="array" ref="Y60">IF(J$1="","",INDEX('Raw data'!$AP$4:$AP$267,MATCH("Grower"&amp;'Wide data'!$A$1&amp;'Wide data'!$A60,'Raw data'!$AI$4:$AI$267&amp;'Raw data'!$AJ$2&amp;'Raw data'!$AJ$4:$AJ$267,0)))</f>
        <v>1.0802499999999999</v>
      </c>
      <c r="Z60" s="418">
        <f t="array" ref="Z60">IF(K$1="","",INDEX('Raw data'!$AP$4:$AP$267,MATCH("Finisher"&amp;'Wide data'!$A$1&amp;'Wide data'!$A60,'Raw data'!$AI$4:$AI$267&amp;'Raw data'!$AJ$2&amp;'Raw data'!$AJ$4:$AJ$267,0)))</f>
        <v>0.83000000000000029</v>
      </c>
      <c r="AA60" s="418">
        <f t="array" ref="AA60">IF(K$1="","",INDEX('Raw data'!$AR$4:$AR$267,MATCH("Starter"&amp;'Wide data'!$A$1&amp;'Wide data'!$A60,'Raw data'!$AI$4:$AI$267&amp;'Raw data'!$AJ$2&amp;'Raw data'!$AJ$4:$AJ$267,0)))</f>
        <v>0.41</v>
      </c>
      <c r="AB60" s="418">
        <f t="array" ref="AB60">IF(M$1="","",INDEX('Raw data'!$AR$4:$AR$267,MATCH("Grower"&amp;'Wide data'!$A$1&amp;'Wide data'!$A60,'Raw data'!$AI$4:$AI$267&amp;'Raw data'!$AJ$2&amp;'Raw data'!$AJ$4:$AJ$267,0)))</f>
        <v>2.1812499999999999</v>
      </c>
      <c r="AC60" s="418">
        <f t="array" ref="AC60">IF(N$1="","",INDEX('Raw data'!$AR$4:$AR$267,MATCH("Finisher"&amp;'Wide data'!$A$1&amp;'Wide data'!$A60,'Raw data'!$AI$4:$AI$267&amp;'Raw data'!$AJ$2&amp;'Raw data'!$AJ$4:$AJ$267,0)))</f>
        <v>1.375</v>
      </c>
      <c r="AD60" s="418">
        <f t="array" ref="AD60">IF(N$1="","",INDEX('Raw data'!$AS$4:$AS$267,MATCH("Starter"&amp;'Wide data'!$A$1&amp;'Wide data'!$A60,'Raw data'!$AI$4:$AI$267&amp;'Raw data'!$AJ$2&amp;'Raw data'!$AJ$4:$AJ$267,0)))</f>
        <v>1.172265904217298</v>
      </c>
      <c r="AE60" s="418">
        <f t="array" ref="AE60">IF(P$1="","",INDEX('Raw data'!$AS$4:$AS$267,MATCH("Grower"&amp;'Wide data'!$A$1&amp;'Wide data'!$A60,'Raw data'!$AI$4:$AI$267&amp;'Raw data'!$AJ$2&amp;'Raw data'!$AJ$4:$AJ$267,0)))</f>
        <v>2.0192085165470957</v>
      </c>
      <c r="AF60" s="418">
        <f t="array" ref="AF60">IF(Q$1="","",INDEX('Raw data'!$AS$4:$AS$267,MATCH("Finisher"&amp;'Wide data'!$A$1&amp;'Wide data'!$A60,'Raw data'!$AI$4:$AI$267&amp;'Raw data'!$AJ$2&amp;'Raw data'!$AJ$4:$AJ$267,0)))</f>
        <v>1.6566265060240959</v>
      </c>
    </row>
    <row r="61" spans="1:32" x14ac:dyDescent="0.25">
      <c r="A61" s="24">
        <f>'Raw data'!L63</f>
        <v>60</v>
      </c>
      <c r="B61" s="24" t="str">
        <f>INDEX('Raw data'!$B$4:$B$69, 'Wide data'!A61)</f>
        <v>T5</v>
      </c>
      <c r="C61" s="24" t="str">
        <f>INDEX('Raw data'!$C$4:$C$69, 'Wide data'!A61)</f>
        <v>R9</v>
      </c>
      <c r="D61" s="24">
        <f t="array" ref="D61">INDEX('Raw data'!$F$4:$F$69,MATCH($A$1&amp;'Wide data'!$A61,'Raw data'!$A$3&amp;'Raw data'!$A$4:$A$69,0))</f>
        <v>4.53E-2</v>
      </c>
      <c r="E61" s="24">
        <f t="array" ref="E61">IF(E$1="","",INDEX('Raw data'!$Q$4:$Q$267,MATCH("14 days"&amp;'Wide data'!$A$1&amp;'Wide data'!$A61,'Raw data'!$K$4:$K$267&amp;'Raw data'!$L$2&amp;'Raw data'!$L$4:$L$267,0)))</f>
        <v>0.36724999999999997</v>
      </c>
      <c r="F61" s="24">
        <f t="array" ref="F61">IF(F$1="","",INDEX('Raw data'!$Q$4:$Q$267,MATCH("23 days"&amp;'Wide data'!$A$1&amp;'Wide data'!$A61,'Raw data'!$K$4:$K$267&amp;'Raw data'!$L$2&amp;'Raw data'!$L$4:$L$267,0)))</f>
        <v>0.99487179487179478</v>
      </c>
      <c r="G61" s="24">
        <f t="array" ref="G61">IF(G$1="","",INDEX('Raw data'!$Q$4:$Q$267,MATCH("32 days"&amp;'Wide data'!$A$1&amp;'Wide data'!$A61,'Raw data'!$K$4:$K$267&amp;'Raw data'!$L$2&amp;'Raw data'!$L$4:$L$267,0)))</f>
        <v>1.4653846153846153</v>
      </c>
      <c r="H61" s="24">
        <f t="array" ref="H61">IF(H$1="","",INDEX('Raw data'!$Q$4:$Q$267,MATCH("39 days"&amp;'Wide data'!$A$1&amp;'Wide data'!$A61,'Raw data'!$K$4:$K$267&amp;'Raw data'!$L$2&amp;'Raw data'!$L$4:$L$267,0)))</f>
        <v>2.3263157894736843</v>
      </c>
      <c r="I61" s="24">
        <f t="array" ref="I61">IF(I$1="","",INDEX('Raw data'!$S$4:$S$267,MATCH("14 days"&amp;'Wide data'!$A$1&amp;'Wide data'!$A61,'Raw data'!$K$4:$K$267&amp;'Raw data'!$L$2&amp;'Raw data'!$L$4:$L$267,0)))</f>
        <v>0.32194999999999996</v>
      </c>
      <c r="J61" s="24">
        <f t="array" ref="J61">IF(J$1="","",INDEX('Raw data'!$S$4:$S$267,MATCH("23 days"&amp;'Wide data'!$A$1&amp;'Wide data'!$A61,'Raw data'!$K$4:$K$267&amp;'Raw data'!$L$2&amp;'Raw data'!$L$4:$L$267,0)))</f>
        <v>0.62762179487179481</v>
      </c>
      <c r="K61" s="24">
        <f t="array" ref="K61">IF(K$1="","",INDEX('Raw data'!$S$4:$S$267,MATCH("32 days"&amp;'Wide data'!$A$1&amp;'Wide data'!$A61,'Raw data'!$K$4:$K$267&amp;'Raw data'!$L$2&amp;'Raw data'!$L$4:$L$267,0)))</f>
        <v>0.47051282051282051</v>
      </c>
      <c r="L61" s="24">
        <f t="array" ref="L61">IF(L$1="","",INDEX('Raw data'!$S$4:$S$267,MATCH("39 days"&amp;'Wide data'!$A$1&amp;'Wide data'!$A61,'Raw data'!$K$4:$K$267&amp;'Raw data'!$L$2&amp;'Raw data'!$L$4:$L$267,0)))</f>
        <v>0.86093117408906905</v>
      </c>
      <c r="M61" s="24">
        <f t="array" ref="M61">IF(M$1="","",INDEX('Raw data'!$V$4:$V$267,MATCH("14 days"&amp;'Wide data'!$A$1&amp;'Wide data'!$A61,'Raw data'!$K$4:$K$267&amp;'Raw data'!$L$2&amp;'Raw data'!$L$4:$L$267,0)))</f>
        <v>0.41</v>
      </c>
      <c r="N61" s="24">
        <f t="array" ref="N61">IF(N$1="","",INDEX('Raw data'!$V$4:$V$267,MATCH("23 days"&amp;'Wide data'!$A$1&amp;'Wide data'!$A61,'Raw data'!$K$4:$K$267&amp;'Raw data'!$L$2&amp;'Raw data'!$L$4:$L$267,0)))</f>
        <v>0.85987179487179477</v>
      </c>
      <c r="O61" s="24">
        <f t="array" ref="O61">IF(O$1="","",INDEX('Raw data'!$V$4:$V$267,MATCH("32 days"&amp;'Wide data'!$A$1&amp;'Wide data'!$A61,'Raw data'!$K$4:$K$267&amp;'Raw data'!$L$2&amp;'Raw data'!$L$4:$L$267,0)))</f>
        <v>1.3888461538461541</v>
      </c>
      <c r="P61" s="24">
        <f t="array" ref="P61">IF(P$1="","",INDEX('Raw data'!$V$4:$V$267,MATCH("39 days"&amp;'Wide data'!$A$1&amp;'Wide data'!$A61,'Raw data'!$K$4:$K$267&amp;'Raw data'!$L$2&amp;'Raw data'!$L$4:$L$267,0)))</f>
        <v>1.4381578947368421</v>
      </c>
      <c r="Q61" s="24">
        <f t="array" ref="Q61">IF(Q$1="","",INDEX('Raw data'!$W$4:$W$267,MATCH("14 days"&amp;'Wide data'!$A$1&amp;'Wide data'!$A61,'Raw data'!$K$4:$K$267&amp;'Raw data'!$L$2&amp;'Raw data'!$L$4:$L$267,0)))</f>
        <v>1.1164057181756297</v>
      </c>
      <c r="R61" s="24">
        <f t="array" ref="R61">IF(R$1="","",INDEX('Raw data'!$W$4:$W$267,MATCH("23 days"&amp;'Wide data'!$A$1&amp;'Wide data'!$A61,'Raw data'!$K$4:$K$267&amp;'Raw data'!$L$2&amp;'Raw data'!$L$4:$L$267,0)))</f>
        <v>1.2738520408163265</v>
      </c>
      <c r="S61" s="24">
        <f t="array" ref="S61">IF(S$1="","",INDEX('Raw data'!$W$4:$W$267,MATCH("32 days"&amp;'Wide data'!$A$1&amp;'Wide data'!$A61,'Raw data'!$K$4:$K$267&amp;'Raw data'!$L$2&amp;'Raw data'!$L$4:$L$267,0)))</f>
        <v>1.8088618592528236</v>
      </c>
      <c r="T61" s="24">
        <f t="array" ref="T61">IF(T$1="","",INDEX('Raw data'!$W$4:$W$267,MATCH("39 days"&amp;'Wide data'!$A$1&amp;'Wide data'!$A61,'Raw data'!$K$4:$K$267&amp;'Raw data'!$L$2&amp;'Raw data'!$L$4:$L$267,0)))</f>
        <v>1.7541436464088396</v>
      </c>
      <c r="U61" s="418">
        <f t="array" ref="U61">IF(E$1="","",INDEX('Raw data'!$AN$4:$AN$267,MATCH("Starter"&amp;'Wide data'!$A$1&amp;'Wide data'!$A61,'Raw data'!$AI$4:$AI$267&amp;'Raw data'!$AJ$2&amp;'Raw data'!$AJ$4:$AJ$267,0)))</f>
        <v>0.36724999999999997</v>
      </c>
      <c r="V61" s="418">
        <f t="array" ref="V61">IF(G$1="","",INDEX('Raw data'!$AN$4:$AN$267,MATCH("Grower"&amp;'Wide data'!$A$1&amp;'Wide data'!$A61,'Raw data'!$AI$4:$AI$267&amp;'Raw data'!$AJ$2&amp;'Raw data'!$AJ$4:$AJ$267,0)))</f>
        <v>1.4653846153846153</v>
      </c>
      <c r="W61" s="418">
        <f t="array" ref="W61">IF(H$1="","",INDEX('Raw data'!$AN$4:$AN$267,MATCH("Finisher"&amp;'Wide data'!$A$1&amp;'Wide data'!$A61,'Raw data'!$AI$4:$AI$267&amp;'Raw data'!$AJ$2&amp;'Raw data'!$AJ$4:$AJ$267,0)))</f>
        <v>2.3263157894736843</v>
      </c>
      <c r="X61" s="418">
        <f t="array" ref="X61">IF(H$1="","",INDEX('Raw data'!$AP$4:$AP$267,MATCH("Starter"&amp;'Wide data'!$A$1&amp;'Wide data'!$A61,'Raw data'!$AI$4:$AI$267&amp;'Raw data'!$AJ$2&amp;'Raw data'!$AJ$4:$AJ$267,0)))</f>
        <v>0.32194999999999996</v>
      </c>
      <c r="Y61" s="418">
        <f t="array" ref="Y61">IF(J$1="","",INDEX('Raw data'!$AP$4:$AP$267,MATCH("Grower"&amp;'Wide data'!$A$1&amp;'Wide data'!$A61,'Raw data'!$AI$4:$AI$267&amp;'Raw data'!$AJ$2&amp;'Raw data'!$AJ$4:$AJ$267,0)))</f>
        <v>1.0981346153846152</v>
      </c>
      <c r="Z61" s="418">
        <f t="array" ref="Z61">IF(K$1="","",INDEX('Raw data'!$AP$4:$AP$267,MATCH("Finisher"&amp;'Wide data'!$A$1&amp;'Wide data'!$A61,'Raw data'!$AI$4:$AI$267&amp;'Raw data'!$AJ$2&amp;'Raw data'!$AJ$4:$AJ$267,0)))</f>
        <v>0.86093117408906905</v>
      </c>
      <c r="AA61" s="418">
        <f t="array" ref="AA61">IF(K$1="","",INDEX('Raw data'!$AR$4:$AR$267,MATCH("Starter"&amp;'Wide data'!$A$1&amp;'Wide data'!$A61,'Raw data'!$AI$4:$AI$267&amp;'Raw data'!$AJ$2&amp;'Raw data'!$AJ$4:$AJ$267,0)))</f>
        <v>0.41</v>
      </c>
      <c r="AB61" s="418">
        <f t="array" ref="AB61">IF(M$1="","",INDEX('Raw data'!$AR$4:$AR$267,MATCH("Grower"&amp;'Wide data'!$A$1&amp;'Wide data'!$A61,'Raw data'!$AI$4:$AI$267&amp;'Raw data'!$AJ$2&amp;'Raw data'!$AJ$4:$AJ$267,0)))</f>
        <v>2.2487179487179487</v>
      </c>
      <c r="AC61" s="418">
        <f t="array" ref="AC61">IF(N$1="","",INDEX('Raw data'!$AR$4:$AR$267,MATCH("Finisher"&amp;'Wide data'!$A$1&amp;'Wide data'!$A61,'Raw data'!$AI$4:$AI$267&amp;'Raw data'!$AJ$2&amp;'Raw data'!$AJ$4:$AJ$267,0)))</f>
        <v>1.4381578947368421</v>
      </c>
      <c r="AD61" s="418">
        <f t="array" ref="AD61">IF(N$1="","",INDEX('Raw data'!$AS$4:$AS$267,MATCH("Starter"&amp;'Wide data'!$A$1&amp;'Wide data'!$A61,'Raw data'!$AI$4:$AI$267&amp;'Raw data'!$AJ$2&amp;'Raw data'!$AJ$4:$AJ$267,0)))</f>
        <v>1.1164057181756297</v>
      </c>
      <c r="AE61" s="418">
        <f t="array" ref="AE61">IF(P$1="","",INDEX('Raw data'!$AS$4:$AS$267,MATCH("Grower"&amp;'Wide data'!$A$1&amp;'Wide data'!$A61,'Raw data'!$AI$4:$AI$267&amp;'Raw data'!$AJ$2&amp;'Raw data'!$AJ$4:$AJ$267,0)))</f>
        <v>2.0288128437501807</v>
      </c>
      <c r="AF61" s="418">
        <f t="array" ref="AF61">IF(Q$1="","",INDEX('Raw data'!$AS$4:$AS$267,MATCH("Finisher"&amp;'Wide data'!$A$1&amp;'Wide data'!$A61,'Raw data'!$AI$4:$AI$267&amp;'Raw data'!$AJ$2&amp;'Raw data'!$AJ$4:$AJ$267,0)))</f>
        <v>1.5879526151095211</v>
      </c>
    </row>
    <row r="62" spans="1:32" x14ac:dyDescent="0.25">
      <c r="A62" s="24">
        <f>'Raw data'!L64</f>
        <v>61</v>
      </c>
      <c r="B62" s="24" t="str">
        <f>INDEX('Raw data'!$B$4:$B$69, 'Wide data'!A62)</f>
        <v>T2</v>
      </c>
      <c r="C62" s="24" t="str">
        <f>INDEX('Raw data'!$C$4:$C$69, 'Wide data'!A62)</f>
        <v>R9</v>
      </c>
      <c r="D62" s="24">
        <f t="array" ref="D62">INDEX('Raw data'!$F$4:$F$69,MATCH($A$1&amp;'Wide data'!$A62,'Raw data'!$A$3&amp;'Raw data'!$A$4:$A$69,0))</f>
        <v>4.5749999999999999E-2</v>
      </c>
      <c r="E62" s="24">
        <f t="array" ref="E62">IF(E$1="","",INDEX('Raw data'!$Q$4:$Q$267,MATCH("14 days"&amp;'Wide data'!$A$1&amp;'Wide data'!$A62,'Raw data'!$K$4:$K$267&amp;'Raw data'!$L$2&amp;'Raw data'!$L$4:$L$267,0)))</f>
        <v>0.36594594594594593</v>
      </c>
      <c r="F62" s="24">
        <f t="array" ref="F62">IF(F$1="","",INDEX('Raw data'!$Q$4:$Q$267,MATCH("23 days"&amp;'Wide data'!$A$1&amp;'Wide data'!$A62,'Raw data'!$K$4:$K$267&amp;'Raw data'!$L$2&amp;'Raw data'!$L$4:$L$267,0)))</f>
        <v>1.0202702702702702</v>
      </c>
      <c r="G62" s="24">
        <f t="array" ref="G62">IF(G$1="","",INDEX('Raw data'!$Q$4:$Q$267,MATCH("32 days"&amp;'Wide data'!$A$1&amp;'Wide data'!$A62,'Raw data'!$K$4:$K$267&amp;'Raw data'!$L$2&amp;'Raw data'!$L$4:$L$267,0)))</f>
        <v>1.4819444444444443</v>
      </c>
      <c r="H62" s="24">
        <f t="array" ref="H62">IF(H$1="","",INDEX('Raw data'!$Q$4:$Q$267,MATCH("39 days"&amp;'Wide data'!$A$1&amp;'Wide data'!$A62,'Raw data'!$K$4:$K$267&amp;'Raw data'!$L$2&amp;'Raw data'!$L$4:$L$267,0)))</f>
        <v>2.3319444444444439</v>
      </c>
      <c r="I62" s="24">
        <f t="array" ref="I62">IF(I$1="","",INDEX('Raw data'!$S$4:$S$267,MATCH("14 days"&amp;'Wide data'!$A$1&amp;'Wide data'!$A62,'Raw data'!$K$4:$K$267&amp;'Raw data'!$L$2&amp;'Raw data'!$L$4:$L$267,0)))</f>
        <v>0.32019594594594591</v>
      </c>
      <c r="J62" s="24">
        <f t="array" ref="J62">IF(J$1="","",INDEX('Raw data'!$S$4:$S$267,MATCH("23 days"&amp;'Wide data'!$A$1&amp;'Wide data'!$A62,'Raw data'!$K$4:$K$267&amp;'Raw data'!$L$2&amp;'Raw data'!$L$4:$L$267,0)))</f>
        <v>0.65432432432432419</v>
      </c>
      <c r="K62" s="24">
        <f t="array" ref="K62">IF(K$1="","",INDEX('Raw data'!$S$4:$S$267,MATCH("32 days"&amp;'Wide data'!$A$1&amp;'Wide data'!$A62,'Raw data'!$K$4:$K$267&amp;'Raw data'!$L$2&amp;'Raw data'!$L$4:$L$267,0)))</f>
        <v>0.46167417417417411</v>
      </c>
      <c r="L62" s="24">
        <f t="array" ref="L62">IF(L$1="","",INDEX('Raw data'!$S$4:$S$267,MATCH("39 days"&amp;'Wide data'!$A$1&amp;'Wide data'!$A62,'Raw data'!$K$4:$K$267&amp;'Raw data'!$L$2&amp;'Raw data'!$L$4:$L$267,0)))</f>
        <v>0.84999999999999964</v>
      </c>
      <c r="M62" s="24">
        <f t="array" ref="M62">IF(M$1="","",INDEX('Raw data'!$V$4:$V$267,MATCH("14 days"&amp;'Wide data'!$A$1&amp;'Wide data'!$A62,'Raw data'!$K$4:$K$267&amp;'Raw data'!$L$2&amp;'Raw data'!$L$4:$L$267,0)))</f>
        <v>0.4324324324324324</v>
      </c>
      <c r="N62" s="24">
        <f t="array" ref="N62">IF(N$1="","",INDEX('Raw data'!$V$4:$V$267,MATCH("23 days"&amp;'Wide data'!$A$1&amp;'Wide data'!$A62,'Raw data'!$K$4:$K$267&amp;'Raw data'!$L$2&amp;'Raw data'!$L$4:$L$267,0)))</f>
        <v>0.87797297297297294</v>
      </c>
      <c r="O62" s="24">
        <f t="array" ref="O62">IF(O$1="","",INDEX('Raw data'!$V$4:$V$267,MATCH("32 days"&amp;'Wide data'!$A$1&amp;'Wide data'!$A62,'Raw data'!$K$4:$K$267&amp;'Raw data'!$L$2&amp;'Raw data'!$L$4:$L$267,0)))</f>
        <v>1.4184722222222221</v>
      </c>
      <c r="P62" s="24">
        <f t="array" ref="P62">IF(P$1="","",INDEX('Raw data'!$V$4:$V$267,MATCH("39 days"&amp;'Wide data'!$A$1&amp;'Wide data'!$A62,'Raw data'!$K$4:$K$267&amp;'Raw data'!$L$2&amp;'Raw data'!$L$4:$L$267,0)))</f>
        <v>1.4152777777777779</v>
      </c>
      <c r="Q62" s="24">
        <f t="array" ref="Q62">IF(Q$1="","",INDEX('Raw data'!$W$4:$W$267,MATCH("14 days"&amp;'Wide data'!$A$1&amp;'Wide data'!$A62,'Raw data'!$K$4:$K$267&amp;'Raw data'!$L$2&amp;'Raw data'!$L$4:$L$267,0)))</f>
        <v>1.1431020933057083</v>
      </c>
      <c r="R62" s="24">
        <f t="array" ref="R62">IF(R$1="","",INDEX('Raw data'!$W$4:$W$267,MATCH("23 days"&amp;'Wide data'!$A$1&amp;'Wide data'!$A62,'Raw data'!$K$4:$K$267&amp;'Raw data'!$L$2&amp;'Raw data'!$L$4:$L$267,0)))</f>
        <v>1.2690082969089433</v>
      </c>
      <c r="S62" s="24">
        <f t="array" ref="S62">IF(S$1="","",INDEX('Raw data'!$W$4:$W$267,MATCH("32 days"&amp;'Wide data'!$A$1&amp;'Wide data'!$A62,'Raw data'!$K$4:$K$267&amp;'Raw data'!$L$2&amp;'Raw data'!$L$4:$L$267,0)))</f>
        <v>1.8163738208622988</v>
      </c>
      <c r="T62" s="24">
        <f t="array" ref="T62">IF(T$1="","",INDEX('Raw data'!$W$4:$W$267,MATCH("39 days"&amp;'Wide data'!$A$1&amp;'Wide data'!$A62,'Raw data'!$K$4:$K$267&amp;'Raw data'!$L$2&amp;'Raw data'!$L$4:$L$267,0)))</f>
        <v>1.7621506433898864</v>
      </c>
      <c r="U62" s="418">
        <f t="array" ref="U62">IF(E$1="","",INDEX('Raw data'!$AN$4:$AN$267,MATCH("Starter"&amp;'Wide data'!$A$1&amp;'Wide data'!$A62,'Raw data'!$AI$4:$AI$267&amp;'Raw data'!$AJ$2&amp;'Raw data'!$AJ$4:$AJ$267,0)))</f>
        <v>0.36594594594594593</v>
      </c>
      <c r="V62" s="418">
        <f t="array" ref="V62">IF(G$1="","",INDEX('Raw data'!$AN$4:$AN$267,MATCH("Grower"&amp;'Wide data'!$A$1&amp;'Wide data'!$A62,'Raw data'!$AI$4:$AI$267&amp;'Raw data'!$AJ$2&amp;'Raw data'!$AJ$4:$AJ$267,0)))</f>
        <v>1.4819444444444443</v>
      </c>
      <c r="W62" s="418">
        <f t="array" ref="W62">IF(H$1="","",INDEX('Raw data'!$AN$4:$AN$267,MATCH("Finisher"&amp;'Wide data'!$A$1&amp;'Wide data'!$A62,'Raw data'!$AI$4:$AI$267&amp;'Raw data'!$AJ$2&amp;'Raw data'!$AJ$4:$AJ$267,0)))</f>
        <v>2.3319444444444439</v>
      </c>
      <c r="X62" s="418">
        <f t="array" ref="X62">IF(H$1="","",INDEX('Raw data'!$AP$4:$AP$267,MATCH("Starter"&amp;'Wide data'!$A$1&amp;'Wide data'!$A62,'Raw data'!$AI$4:$AI$267&amp;'Raw data'!$AJ$2&amp;'Raw data'!$AJ$4:$AJ$267,0)))</f>
        <v>0.32019594594594591</v>
      </c>
      <c r="Y62" s="418">
        <f t="array" ref="Y62">IF(J$1="","",INDEX('Raw data'!$AP$4:$AP$267,MATCH("Grower"&amp;'Wide data'!$A$1&amp;'Wide data'!$A62,'Raw data'!$AI$4:$AI$267&amp;'Raw data'!$AJ$2&amp;'Raw data'!$AJ$4:$AJ$267,0)))</f>
        <v>1.1159984984984983</v>
      </c>
      <c r="Z62" s="418">
        <f t="array" ref="Z62">IF(K$1="","",INDEX('Raw data'!$AP$4:$AP$267,MATCH("Finisher"&amp;'Wide data'!$A$1&amp;'Wide data'!$A62,'Raw data'!$AI$4:$AI$267&amp;'Raw data'!$AJ$2&amp;'Raw data'!$AJ$4:$AJ$267,0)))</f>
        <v>0.84999999999999964</v>
      </c>
      <c r="AA62" s="418">
        <f t="array" ref="AA62">IF(K$1="","",INDEX('Raw data'!$AR$4:$AR$267,MATCH("Starter"&amp;'Wide data'!$A$1&amp;'Wide data'!$A62,'Raw data'!$AI$4:$AI$267&amp;'Raw data'!$AJ$2&amp;'Raw data'!$AJ$4:$AJ$267,0)))</f>
        <v>0.4324324324324324</v>
      </c>
      <c r="AB62" s="418">
        <f t="array" ref="AB62">IF(M$1="","",INDEX('Raw data'!$AR$4:$AR$267,MATCH("Grower"&amp;'Wide data'!$A$1&amp;'Wide data'!$A62,'Raw data'!$AI$4:$AI$267&amp;'Raw data'!$AJ$2&amp;'Raw data'!$AJ$4:$AJ$267,0)))</f>
        <v>2.296445195195195</v>
      </c>
      <c r="AC62" s="418">
        <f t="array" ref="AC62">IF(N$1="","",INDEX('Raw data'!$AR$4:$AR$267,MATCH("Finisher"&amp;'Wide data'!$A$1&amp;'Wide data'!$A62,'Raw data'!$AI$4:$AI$267&amp;'Raw data'!$AJ$2&amp;'Raw data'!$AJ$4:$AJ$267,0)))</f>
        <v>1.4152777777777779</v>
      </c>
      <c r="AD62" s="418">
        <f t="array" ref="AD62">IF(N$1="","",INDEX('Raw data'!$AS$4:$AS$267,MATCH("Starter"&amp;'Wide data'!$A$1&amp;'Wide data'!$A62,'Raw data'!$AI$4:$AI$267&amp;'Raw data'!$AJ$2&amp;'Raw data'!$AJ$4:$AJ$267,0)))</f>
        <v>1.1431020933057083</v>
      </c>
      <c r="AE62" s="418">
        <f t="array" ref="AE62">IF(P$1="","",INDEX('Raw data'!$AS$4:$AS$267,MATCH("Grower"&amp;'Wide data'!$A$1&amp;'Wide data'!$A62,'Raw data'!$AI$4:$AI$267&amp;'Raw data'!$AJ$2&amp;'Raw data'!$AJ$4:$AJ$267,0)))</f>
        <v>1.9973574031478565</v>
      </c>
      <c r="AF62" s="418">
        <f t="array" ref="AF62">IF(Q$1="","",INDEX('Raw data'!$AS$4:$AS$267,MATCH("Finisher"&amp;'Wide data'!$A$1&amp;'Wide data'!$A62,'Raw data'!$AI$4:$AI$267&amp;'Raw data'!$AJ$2&amp;'Raw data'!$AJ$4:$AJ$267,0)))</f>
        <v>1.6650326797385628</v>
      </c>
    </row>
    <row r="63" spans="1:32" x14ac:dyDescent="0.25">
      <c r="A63" s="24">
        <f>'Raw data'!L65</f>
        <v>62</v>
      </c>
      <c r="B63" s="24" t="str">
        <f>INDEX('Raw data'!$B$4:$B$69, 'Wide data'!A63)</f>
        <v>T6</v>
      </c>
      <c r="C63" s="24" t="str">
        <f>INDEX('Raw data'!$C$4:$C$69, 'Wide data'!A63)</f>
        <v>R9</v>
      </c>
      <c r="D63" s="24">
        <f t="array" ref="D63">INDEX('Raw data'!$F$4:$F$69,MATCH($A$1&amp;'Wide data'!$A63,'Raw data'!$A$3&amp;'Raw data'!$A$4:$A$69,0))</f>
        <v>4.5524999999999996E-2</v>
      </c>
      <c r="E63" s="24">
        <f t="array" ref="E63">IF(E$1="","",INDEX('Raw data'!$Q$4:$Q$267,MATCH("14 days"&amp;'Wide data'!$A$1&amp;'Wide data'!$A63,'Raw data'!$K$4:$K$267&amp;'Raw data'!$L$2&amp;'Raw data'!$L$4:$L$267,0)))</f>
        <v>0.33849999999999997</v>
      </c>
      <c r="F63" s="24">
        <f t="array" ref="F63">IF(F$1="","",INDEX('Raw data'!$Q$4:$Q$267,MATCH("23 days"&amp;'Wide data'!$A$1&amp;'Wide data'!$A63,'Raw data'!$K$4:$K$267&amp;'Raw data'!$L$2&amp;'Raw data'!$L$4:$L$267,0)))</f>
        <v>1.0026315789473683</v>
      </c>
      <c r="G63" s="24">
        <f t="array" ref="G63">IF(G$1="","",INDEX('Raw data'!$Q$4:$Q$267,MATCH("32 days"&amp;'Wide data'!$A$1&amp;'Wide data'!$A63,'Raw data'!$K$4:$K$267&amp;'Raw data'!$L$2&amp;'Raw data'!$L$4:$L$267,0)))</f>
        <v>1.4527027027027026</v>
      </c>
      <c r="H63" s="24">
        <f t="array" ref="H63">IF(H$1="","",INDEX('Raw data'!$Q$4:$Q$267,MATCH("39 days"&amp;'Wide data'!$A$1&amp;'Wide data'!$A63,'Raw data'!$K$4:$K$267&amp;'Raw data'!$L$2&amp;'Raw data'!$L$4:$L$267,0)))</f>
        <v>2.3229729729729729</v>
      </c>
      <c r="I63" s="24">
        <f t="array" ref="I63">IF(I$1="","",INDEX('Raw data'!$S$4:$S$267,MATCH("14 days"&amp;'Wide data'!$A$1&amp;'Wide data'!$A63,'Raw data'!$K$4:$K$267&amp;'Raw data'!$L$2&amp;'Raw data'!$L$4:$L$267,0)))</f>
        <v>0.29297499999999999</v>
      </c>
      <c r="J63" s="24">
        <f t="array" ref="J63">IF(J$1="","",INDEX('Raw data'!$S$4:$S$267,MATCH("23 days"&amp;'Wide data'!$A$1&amp;'Wide data'!$A63,'Raw data'!$K$4:$K$267&amp;'Raw data'!$L$2&amp;'Raw data'!$L$4:$L$267,0)))</f>
        <v>0.6641315789473683</v>
      </c>
      <c r="K63" s="24">
        <f t="array" ref="K63">IF(K$1="","",INDEX('Raw data'!$S$4:$S$267,MATCH("32 days"&amp;'Wide data'!$A$1&amp;'Wide data'!$A63,'Raw data'!$K$4:$K$267&amp;'Raw data'!$L$2&amp;'Raw data'!$L$4:$L$267,0)))</f>
        <v>0.45007112375533431</v>
      </c>
      <c r="L63" s="24">
        <f t="array" ref="L63">IF(L$1="","",INDEX('Raw data'!$S$4:$S$267,MATCH("39 days"&amp;'Wide data'!$A$1&amp;'Wide data'!$A63,'Raw data'!$K$4:$K$267&amp;'Raw data'!$L$2&amp;'Raw data'!$L$4:$L$267,0)))</f>
        <v>0.87027027027027026</v>
      </c>
      <c r="M63" s="24">
        <f t="array" ref="M63">IF(M$1="","",INDEX('Raw data'!$V$4:$V$267,MATCH("14 days"&amp;'Wide data'!$A$1&amp;'Wide data'!$A63,'Raw data'!$K$4:$K$267&amp;'Raw data'!$L$2&amp;'Raw data'!$L$4:$L$267,0)))</f>
        <v>0.38</v>
      </c>
      <c r="N63" s="24">
        <f t="array" ref="N63">IF(N$1="","",INDEX('Raw data'!$V$4:$V$267,MATCH("23 days"&amp;'Wide data'!$A$1&amp;'Wide data'!$A63,'Raw data'!$K$4:$K$267&amp;'Raw data'!$L$2&amp;'Raw data'!$L$4:$L$267,0)))</f>
        <v>0.8588157894736842</v>
      </c>
      <c r="O63" s="24">
        <f t="array" ref="O63">IF(O$1="","",INDEX('Raw data'!$V$4:$V$267,MATCH("32 days"&amp;'Wide data'!$A$1&amp;'Wide data'!$A63,'Raw data'!$K$4:$K$267&amp;'Raw data'!$L$2&amp;'Raw data'!$L$4:$L$267,0)))</f>
        <v>1.4058108108108107</v>
      </c>
      <c r="P63" s="24">
        <f t="array" ref="P63">IF(P$1="","",INDEX('Raw data'!$V$4:$V$267,MATCH("39 days"&amp;'Wide data'!$A$1&amp;'Wide data'!$A63,'Raw data'!$K$4:$K$267&amp;'Raw data'!$L$2&amp;'Raw data'!$L$4:$L$267,0)))</f>
        <v>1.4594594594594594</v>
      </c>
      <c r="Q63" s="24">
        <f t="array" ref="Q63">IF(Q$1="","",INDEX('Raw data'!$W$4:$W$267,MATCH("14 days"&amp;'Wide data'!$A$1&amp;'Wide data'!$A63,'Raw data'!$K$4:$K$267&amp;'Raw data'!$L$2&amp;'Raw data'!$L$4:$L$267,0)))</f>
        <v>1.1225997045790252</v>
      </c>
      <c r="R63" s="24">
        <f t="array" ref="R63">IF(R$1="","",INDEX('Raw data'!$W$4:$W$267,MATCH("23 days"&amp;'Wide data'!$A$1&amp;'Wide data'!$A63,'Raw data'!$K$4:$K$267&amp;'Raw data'!$L$2&amp;'Raw data'!$L$4:$L$267,0)))</f>
        <v>1.2315911431513904</v>
      </c>
      <c r="S63" s="24">
        <f t="array" ref="S63">IF(S$1="","",INDEX('Raw data'!$W$4:$W$267,MATCH("32 days"&amp;'Wide data'!$A$1&amp;'Wide data'!$A63,'Raw data'!$K$4:$K$267&amp;'Raw data'!$L$2&amp;'Raw data'!$L$4:$L$267,0)))</f>
        <v>1.7961863644540386</v>
      </c>
      <c r="T63" s="24">
        <f t="array" ref="T63">IF(T$1="","",INDEX('Raw data'!$W$4:$W$267,MATCH("39 days"&amp;'Wide data'!$A$1&amp;'Wide data'!$A63,'Raw data'!$K$4:$K$267&amp;'Raw data'!$L$2&amp;'Raw data'!$L$4:$L$267,0)))</f>
        <v>1.7524775031324753</v>
      </c>
      <c r="U63" s="418">
        <f t="array" ref="U63">IF(E$1="","",INDEX('Raw data'!$AN$4:$AN$267,MATCH("Starter"&amp;'Wide data'!$A$1&amp;'Wide data'!$A63,'Raw data'!$AI$4:$AI$267&amp;'Raw data'!$AJ$2&amp;'Raw data'!$AJ$4:$AJ$267,0)))</f>
        <v>0.33849999999999997</v>
      </c>
      <c r="V63" s="418">
        <f t="array" ref="V63">IF(G$1="","",INDEX('Raw data'!$AN$4:$AN$267,MATCH("Grower"&amp;'Wide data'!$A$1&amp;'Wide data'!$A63,'Raw data'!$AI$4:$AI$267&amp;'Raw data'!$AJ$2&amp;'Raw data'!$AJ$4:$AJ$267,0)))</f>
        <v>1.4527027027027026</v>
      </c>
      <c r="W63" s="418">
        <f t="array" ref="W63">IF(H$1="","",INDEX('Raw data'!$AN$4:$AN$267,MATCH("Finisher"&amp;'Wide data'!$A$1&amp;'Wide data'!$A63,'Raw data'!$AI$4:$AI$267&amp;'Raw data'!$AJ$2&amp;'Raw data'!$AJ$4:$AJ$267,0)))</f>
        <v>2.3229729729729729</v>
      </c>
      <c r="X63" s="418">
        <f t="array" ref="X63">IF(H$1="","",INDEX('Raw data'!$AP$4:$AP$267,MATCH("Starter"&amp;'Wide data'!$A$1&amp;'Wide data'!$A63,'Raw data'!$AI$4:$AI$267&amp;'Raw data'!$AJ$2&amp;'Raw data'!$AJ$4:$AJ$267,0)))</f>
        <v>0.29297499999999999</v>
      </c>
      <c r="Y63" s="418">
        <f t="array" ref="Y63">IF(J$1="","",INDEX('Raw data'!$AP$4:$AP$267,MATCH("Grower"&amp;'Wide data'!$A$1&amp;'Wide data'!$A63,'Raw data'!$AI$4:$AI$267&amp;'Raw data'!$AJ$2&amp;'Raw data'!$AJ$4:$AJ$267,0)))</f>
        <v>1.1142027027027026</v>
      </c>
      <c r="Z63" s="418">
        <f t="array" ref="Z63">IF(K$1="","",INDEX('Raw data'!$AP$4:$AP$267,MATCH("Finisher"&amp;'Wide data'!$A$1&amp;'Wide data'!$A63,'Raw data'!$AI$4:$AI$267&amp;'Raw data'!$AJ$2&amp;'Raw data'!$AJ$4:$AJ$267,0)))</f>
        <v>0.87027027027027026</v>
      </c>
      <c r="AA63" s="418">
        <f t="array" ref="AA63">IF(K$1="","",INDEX('Raw data'!$AR$4:$AR$267,MATCH("Starter"&amp;'Wide data'!$A$1&amp;'Wide data'!$A63,'Raw data'!$AI$4:$AI$267&amp;'Raw data'!$AJ$2&amp;'Raw data'!$AJ$4:$AJ$267,0)))</f>
        <v>0.38</v>
      </c>
      <c r="AB63" s="418">
        <f t="array" ref="AB63">IF(M$1="","",INDEX('Raw data'!$AR$4:$AR$267,MATCH("Grower"&amp;'Wide data'!$A$1&amp;'Wide data'!$A63,'Raw data'!$AI$4:$AI$267&amp;'Raw data'!$AJ$2&amp;'Raw data'!$AJ$4:$AJ$267,0)))</f>
        <v>2.2646266002844948</v>
      </c>
      <c r="AC63" s="418">
        <f t="array" ref="AC63">IF(N$1="","",INDEX('Raw data'!$AR$4:$AR$267,MATCH("Finisher"&amp;'Wide data'!$A$1&amp;'Wide data'!$A63,'Raw data'!$AI$4:$AI$267&amp;'Raw data'!$AJ$2&amp;'Raw data'!$AJ$4:$AJ$267,0)))</f>
        <v>1.4594594594594594</v>
      </c>
      <c r="AD63" s="418">
        <f t="array" ref="AD63">IF(N$1="","",INDEX('Raw data'!$AS$4:$AS$267,MATCH("Starter"&amp;'Wide data'!$A$1&amp;'Wide data'!$A63,'Raw data'!$AI$4:$AI$267&amp;'Raw data'!$AJ$2&amp;'Raw data'!$AJ$4:$AJ$267,0)))</f>
        <v>1.1225997045790252</v>
      </c>
      <c r="AE63" s="418">
        <f t="array" ref="AE63">IF(P$1="","",INDEX('Raw data'!$AS$4:$AS$267,MATCH("Grower"&amp;'Wide data'!$A$1&amp;'Wide data'!$A63,'Raw data'!$AI$4:$AI$267&amp;'Raw data'!$AJ$2&amp;'Raw data'!$AJ$4:$AJ$267,0)))</f>
        <v>1.9357583620885754</v>
      </c>
      <c r="AF63" s="418">
        <f t="array" ref="AF63">IF(Q$1="","",INDEX('Raw data'!$AS$4:$AS$267,MATCH("Finisher"&amp;'Wide data'!$A$1&amp;'Wide data'!$A63,'Raw data'!$AI$4:$AI$267&amp;'Raw data'!$AJ$2&amp;'Raw data'!$AJ$4:$AJ$267,0)))</f>
        <v>1.6770186335403725</v>
      </c>
    </row>
    <row r="64" spans="1:32" x14ac:dyDescent="0.25">
      <c r="A64" s="24">
        <f>'Raw data'!L66</f>
        <v>63</v>
      </c>
      <c r="B64" s="24" t="str">
        <f>INDEX('Raw data'!$B$4:$B$69, 'Wide data'!A64)</f>
        <v>T1</v>
      </c>
      <c r="C64" s="24" t="str">
        <f>INDEX('Raw data'!$C$4:$C$69, 'Wide data'!A64)</f>
        <v>R9</v>
      </c>
      <c r="D64" s="24">
        <f t="array" ref="D64">INDEX('Raw data'!$F$4:$F$69,MATCH($A$1&amp;'Wide data'!$A64,'Raw data'!$A$3&amp;'Raw data'!$A$4:$A$69,0))</f>
        <v>4.5900000000000003E-2</v>
      </c>
      <c r="E64" s="24">
        <f t="array" ref="E64">IF(E$1="","",INDEX('Raw data'!$Q$4:$Q$267,MATCH("14 days"&amp;'Wide data'!$A$1&amp;'Wide data'!$A64,'Raw data'!$K$4:$K$267&amp;'Raw data'!$L$2&amp;'Raw data'!$L$4:$L$267,0)))</f>
        <v>0.36512820512820515</v>
      </c>
      <c r="F64" s="24">
        <f t="array" ref="F64">IF(F$1="","",INDEX('Raw data'!$Q$4:$Q$267,MATCH("23 days"&amp;'Wide data'!$A$1&amp;'Wide data'!$A64,'Raw data'!$K$4:$K$267&amp;'Raw data'!$L$2&amp;'Raw data'!$L$4:$L$267,0)))</f>
        <v>1.0166666666666668</v>
      </c>
      <c r="G64" s="24">
        <f t="array" ref="G64">IF(G$1="","",INDEX('Raw data'!$Q$4:$Q$267,MATCH("32 days"&amp;'Wide data'!$A$1&amp;'Wide data'!$A64,'Raw data'!$K$4:$K$267&amp;'Raw data'!$L$2&amp;'Raw data'!$L$4:$L$267,0)))</f>
        <v>1.5368421052631576</v>
      </c>
      <c r="H64" s="24">
        <f t="array" ref="H64">IF(H$1="","",INDEX('Raw data'!$Q$4:$Q$267,MATCH("39 days"&amp;'Wide data'!$A$1&amp;'Wide data'!$A64,'Raw data'!$K$4:$K$267&amp;'Raw data'!$L$2&amp;'Raw data'!$L$4:$L$267,0)))</f>
        <v>2.3486486486486489</v>
      </c>
      <c r="I64" s="24">
        <f t="array" ref="I64">IF(I$1="","",INDEX('Raw data'!$S$4:$S$267,MATCH("14 days"&amp;'Wide data'!$A$1&amp;'Wide data'!$A64,'Raw data'!$K$4:$K$267&amp;'Raw data'!$L$2&amp;'Raw data'!$L$4:$L$267,0)))</f>
        <v>0.31922820512820516</v>
      </c>
      <c r="J64" s="24">
        <f t="array" ref="J64">IF(J$1="","",INDEX('Raw data'!$S$4:$S$267,MATCH("23 days"&amp;'Wide data'!$A$1&amp;'Wide data'!$A64,'Raw data'!$K$4:$K$267&amp;'Raw data'!$L$2&amp;'Raw data'!$L$4:$L$267,0)))</f>
        <v>0.65153846153846162</v>
      </c>
      <c r="K64" s="24">
        <f t="array" ref="K64">IF(K$1="","",INDEX('Raw data'!$S$4:$S$267,MATCH("32 days"&amp;'Wide data'!$A$1&amp;'Wide data'!$A64,'Raw data'!$K$4:$K$267&amp;'Raw data'!$L$2&amp;'Raw data'!$L$4:$L$267,0)))</f>
        <v>0.52017543859649074</v>
      </c>
      <c r="L64" s="24">
        <f t="array" ref="L64">IF(L$1="","",INDEX('Raw data'!$S$4:$S$267,MATCH("39 days"&amp;'Wide data'!$A$1&amp;'Wide data'!$A64,'Raw data'!$K$4:$K$267&amp;'Raw data'!$L$2&amp;'Raw data'!$L$4:$L$267,0)))</f>
        <v>0.8118065433854913</v>
      </c>
      <c r="M64" s="24">
        <f t="array" ref="M64">IF(M$1="","",INDEX('Raw data'!$V$4:$V$267,MATCH("14 days"&amp;'Wide data'!$A$1&amp;'Wide data'!$A64,'Raw data'!$K$4:$K$267&amp;'Raw data'!$L$2&amp;'Raw data'!$L$4:$L$267,0)))</f>
        <v>0.42564102564102568</v>
      </c>
      <c r="N64" s="24">
        <f t="array" ref="N64">IF(N$1="","",INDEX('Raw data'!$V$4:$V$267,MATCH("23 days"&amp;'Wide data'!$A$1&amp;'Wide data'!$A64,'Raw data'!$K$4:$K$267&amp;'Raw data'!$L$2&amp;'Raw data'!$L$4:$L$267,0)))</f>
        <v>0.86115384615384616</v>
      </c>
      <c r="O64" s="24">
        <f t="array" ref="O64">IF(O$1="","",INDEX('Raw data'!$V$4:$V$267,MATCH("32 days"&amp;'Wide data'!$A$1&amp;'Wide data'!$A64,'Raw data'!$K$4:$K$267&amp;'Raw data'!$L$2&amp;'Raw data'!$L$4:$L$267,0)))</f>
        <v>1.4490789473684209</v>
      </c>
      <c r="P64" s="24">
        <f t="array" ref="P64">IF(P$1="","",INDEX('Raw data'!$V$4:$V$267,MATCH("39 days"&amp;'Wide data'!$A$1&amp;'Wide data'!$A64,'Raw data'!$K$4:$K$267&amp;'Raw data'!$L$2&amp;'Raw data'!$L$4:$L$267,0)))</f>
        <v>1.4162162162162162</v>
      </c>
      <c r="Q64" s="24">
        <f t="array" ref="Q64">IF(Q$1="","",INDEX('Raw data'!$W$4:$W$267,MATCH("14 days"&amp;'Wide data'!$A$1&amp;'Wide data'!$A64,'Raw data'!$K$4:$K$267&amp;'Raw data'!$L$2&amp;'Raw data'!$L$4:$L$267,0)))</f>
        <v>1.1456176673567979</v>
      </c>
      <c r="R64" s="24">
        <f t="array" ref="R64">IF(R$1="","",INDEX('Raw data'!$W$4:$W$267,MATCH("23 days"&amp;'Wide data'!$A$1&amp;'Wide data'!$A64,'Raw data'!$K$4:$K$267&amp;'Raw data'!$L$2&amp;'Raw data'!$L$4:$L$267,0)))</f>
        <v>1.2577694235588972</v>
      </c>
      <c r="S64" s="24">
        <f t="array" ref="S64">IF(S$1="","",INDEX('Raw data'!$W$4:$W$267,MATCH("32 days"&amp;'Wide data'!$A$1&amp;'Wide data'!$A64,'Raw data'!$K$4:$K$267&amp;'Raw data'!$L$2&amp;'Raw data'!$L$4:$L$267,0)))</f>
        <v>1.7615062761506277</v>
      </c>
      <c r="T64" s="24">
        <f t="array" ref="T64">IF(T$1="","",INDEX('Raw data'!$W$4:$W$267,MATCH("39 days"&amp;'Wide data'!$A$1&amp;'Wide data'!$A64,'Raw data'!$K$4:$K$267&amp;'Raw data'!$L$2&amp;'Raw data'!$L$4:$L$267,0)))</f>
        <v>1.7336559080662011</v>
      </c>
      <c r="U64" s="418">
        <f t="array" ref="U64">IF(E$1="","",INDEX('Raw data'!$AN$4:$AN$267,MATCH("Starter"&amp;'Wide data'!$A$1&amp;'Wide data'!$A64,'Raw data'!$AI$4:$AI$267&amp;'Raw data'!$AJ$2&amp;'Raw data'!$AJ$4:$AJ$267,0)))</f>
        <v>0.36512820512820515</v>
      </c>
      <c r="V64" s="418">
        <f t="array" ref="V64">IF(G$1="","",INDEX('Raw data'!$AN$4:$AN$267,MATCH("Grower"&amp;'Wide data'!$A$1&amp;'Wide data'!$A64,'Raw data'!$AI$4:$AI$267&amp;'Raw data'!$AJ$2&amp;'Raw data'!$AJ$4:$AJ$267,0)))</f>
        <v>1.5368421052631576</v>
      </c>
      <c r="W64" s="418">
        <f t="array" ref="W64">IF(H$1="","",INDEX('Raw data'!$AN$4:$AN$267,MATCH("Finisher"&amp;'Wide data'!$A$1&amp;'Wide data'!$A64,'Raw data'!$AI$4:$AI$267&amp;'Raw data'!$AJ$2&amp;'Raw data'!$AJ$4:$AJ$267,0)))</f>
        <v>2.3486486486486489</v>
      </c>
      <c r="X64" s="418">
        <f t="array" ref="X64">IF(H$1="","",INDEX('Raw data'!$AP$4:$AP$267,MATCH("Starter"&amp;'Wide data'!$A$1&amp;'Wide data'!$A64,'Raw data'!$AI$4:$AI$267&amp;'Raw data'!$AJ$2&amp;'Raw data'!$AJ$4:$AJ$267,0)))</f>
        <v>0.31922820512820516</v>
      </c>
      <c r="Y64" s="418">
        <f t="array" ref="Y64">IF(J$1="","",INDEX('Raw data'!$AP$4:$AP$267,MATCH("Grower"&amp;'Wide data'!$A$1&amp;'Wide data'!$A64,'Raw data'!$AI$4:$AI$267&amp;'Raw data'!$AJ$2&amp;'Raw data'!$AJ$4:$AJ$267,0)))</f>
        <v>1.1717139001349524</v>
      </c>
      <c r="Z64" s="418">
        <f t="array" ref="Z64">IF(K$1="","",INDEX('Raw data'!$AP$4:$AP$267,MATCH("Finisher"&amp;'Wide data'!$A$1&amp;'Wide data'!$A64,'Raw data'!$AI$4:$AI$267&amp;'Raw data'!$AJ$2&amp;'Raw data'!$AJ$4:$AJ$267,0)))</f>
        <v>0.8118065433854913</v>
      </c>
      <c r="AA64" s="418">
        <f t="array" ref="AA64">IF(K$1="","",INDEX('Raw data'!$AR$4:$AR$267,MATCH("Starter"&amp;'Wide data'!$A$1&amp;'Wide data'!$A64,'Raw data'!$AI$4:$AI$267&amp;'Raw data'!$AJ$2&amp;'Raw data'!$AJ$4:$AJ$267,0)))</f>
        <v>0.42564102564102568</v>
      </c>
      <c r="AB64" s="418">
        <f t="array" ref="AB64">IF(M$1="","",INDEX('Raw data'!$AR$4:$AR$267,MATCH("Grower"&amp;'Wide data'!$A$1&amp;'Wide data'!$A64,'Raw data'!$AI$4:$AI$267&amp;'Raw data'!$AJ$2&amp;'Raw data'!$AJ$4:$AJ$267,0)))</f>
        <v>2.3102327935222671</v>
      </c>
      <c r="AC64" s="418">
        <f t="array" ref="AC64">IF(N$1="","",INDEX('Raw data'!$AR$4:$AR$267,MATCH("Finisher"&amp;'Wide data'!$A$1&amp;'Wide data'!$A64,'Raw data'!$AI$4:$AI$267&amp;'Raw data'!$AJ$2&amp;'Raw data'!$AJ$4:$AJ$267,0)))</f>
        <v>1.4162162162162162</v>
      </c>
      <c r="AD64" s="418">
        <f t="array" ref="AD64">IF(N$1="","",INDEX('Raw data'!$AS$4:$AS$267,MATCH("Starter"&amp;'Wide data'!$A$1&amp;'Wide data'!$A64,'Raw data'!$AI$4:$AI$267&amp;'Raw data'!$AJ$2&amp;'Raw data'!$AJ$4:$AJ$267,0)))</f>
        <v>1.1456176673567979</v>
      </c>
      <c r="AE64" s="418">
        <f t="array" ref="AE64">IF(P$1="","",INDEX('Raw data'!$AS$4:$AS$267,MATCH("Grower"&amp;'Wide data'!$A$1&amp;'Wide data'!$A64,'Raw data'!$AI$4:$AI$267&amp;'Raw data'!$AJ$2&amp;'Raw data'!$AJ$4:$AJ$267,0)))</f>
        <v>1.9156522365482973</v>
      </c>
      <c r="AF64" s="418">
        <f t="array" ref="AF64">IF(Q$1="","",INDEX('Raw data'!$AS$4:$AS$267,MATCH("Finisher"&amp;'Wide data'!$A$1&amp;'Wide data'!$A64,'Raw data'!$AI$4:$AI$267&amp;'Raw data'!$AJ$2&amp;'Raw data'!$AJ$4:$AJ$267,0)))</f>
        <v>1.6013768366534495</v>
      </c>
    </row>
    <row r="65" spans="1:32" x14ac:dyDescent="0.25">
      <c r="A65" s="24">
        <f>'Raw data'!L67</f>
        <v>64</v>
      </c>
      <c r="B65" s="24" t="str">
        <f>INDEX('Raw data'!$B$4:$B$69, 'Wide data'!A65)</f>
        <v>T4</v>
      </c>
      <c r="C65" s="24" t="str">
        <f>INDEX('Raw data'!$C$4:$C$69, 'Wide data'!A65)</f>
        <v>R9</v>
      </c>
      <c r="D65" s="24">
        <f t="array" ref="D65">INDEX('Raw data'!$F$4:$F$69,MATCH($A$1&amp;'Wide data'!$A65,'Raw data'!$A$3&amp;'Raw data'!$A$4:$A$69,0))</f>
        <v>4.5499999999999999E-2</v>
      </c>
      <c r="E65" s="24">
        <f t="array" ref="E65">IF(E$1="","",INDEX('Raw data'!$Q$4:$Q$267,MATCH("14 days"&amp;'Wide data'!$A$1&amp;'Wide data'!$A65,'Raw data'!$K$4:$K$267&amp;'Raw data'!$L$2&amp;'Raw data'!$L$4:$L$267,0)))</f>
        <v>0.35894736842105263</v>
      </c>
      <c r="F65" s="24">
        <f t="array" ref="F65">IF(F$1="","",INDEX('Raw data'!$Q$4:$Q$267,MATCH("23 days"&amp;'Wide data'!$A$1&amp;'Wide data'!$A65,'Raw data'!$K$4:$K$267&amp;'Raw data'!$L$2&amp;'Raw data'!$L$4:$L$267,0)))</f>
        <v>0.99864864864864877</v>
      </c>
      <c r="G65" s="24">
        <f t="array" ref="G65">IF(G$1="","",INDEX('Raw data'!$Q$4:$Q$267,MATCH("32 days"&amp;'Wide data'!$A$1&amp;'Wide data'!$A65,'Raw data'!$K$4:$K$267&amp;'Raw data'!$L$2&amp;'Raw data'!$L$4:$L$267,0)))</f>
        <v>1.4555555555555555</v>
      </c>
      <c r="H65" s="24">
        <f t="array" ref="H65">IF(H$1="","",INDEX('Raw data'!$Q$4:$Q$267,MATCH("39 days"&amp;'Wide data'!$A$1&amp;'Wide data'!$A65,'Raw data'!$K$4:$K$267&amp;'Raw data'!$L$2&amp;'Raw data'!$L$4:$L$267,0)))</f>
        <v>2.3400000000000003</v>
      </c>
      <c r="I65" s="24">
        <f t="array" ref="I65">IF(I$1="","",INDEX('Raw data'!$S$4:$S$267,MATCH("14 days"&amp;'Wide data'!$A$1&amp;'Wide data'!$A65,'Raw data'!$K$4:$K$267&amp;'Raw data'!$L$2&amp;'Raw data'!$L$4:$L$267,0)))</f>
        <v>0.31344736842105264</v>
      </c>
      <c r="J65" s="24">
        <f t="array" ref="J65">IF(J$1="","",INDEX('Raw data'!$S$4:$S$267,MATCH("23 days"&amp;'Wide data'!$A$1&amp;'Wide data'!$A65,'Raw data'!$K$4:$K$267&amp;'Raw data'!$L$2&amp;'Raw data'!$L$4:$L$267,0)))</f>
        <v>0.63970128022759609</v>
      </c>
      <c r="K65" s="24">
        <f t="array" ref="K65">IF(K$1="","",INDEX('Raw data'!$S$4:$S$267,MATCH("32 days"&amp;'Wide data'!$A$1&amp;'Wide data'!$A65,'Raw data'!$K$4:$K$267&amp;'Raw data'!$L$2&amp;'Raw data'!$L$4:$L$267,0)))</f>
        <v>0.45690690690690672</v>
      </c>
      <c r="L65" s="24">
        <f t="array" ref="L65">IF(L$1="","",INDEX('Raw data'!$S$4:$S$267,MATCH("39 days"&amp;'Wide data'!$A$1&amp;'Wide data'!$A65,'Raw data'!$K$4:$K$267&amp;'Raw data'!$L$2&amp;'Raw data'!$L$4:$L$267,0)))</f>
        <v>0.88444444444444481</v>
      </c>
      <c r="M65" s="24">
        <f t="array" ref="M65">IF(M$1="","",INDEX('Raw data'!$V$4:$V$267,MATCH("14 days"&amp;'Wide data'!$A$1&amp;'Wide data'!$A65,'Raw data'!$K$4:$K$267&amp;'Raw data'!$L$2&amp;'Raw data'!$L$4:$L$267,0)))</f>
        <v>0.41184210526315784</v>
      </c>
      <c r="N65" s="24">
        <f t="array" ref="N65">IF(N$1="","",INDEX('Raw data'!$V$4:$V$267,MATCH("23 days"&amp;'Wide data'!$A$1&amp;'Wide data'!$A65,'Raw data'!$K$4:$K$267&amp;'Raw data'!$L$2&amp;'Raw data'!$L$4:$L$267,0)))</f>
        <v>0.86716216216216213</v>
      </c>
      <c r="O65" s="24">
        <f t="array" ref="O65">IF(O$1="","",INDEX('Raw data'!$V$4:$V$267,MATCH("32 days"&amp;'Wide data'!$A$1&amp;'Wide data'!$A65,'Raw data'!$K$4:$K$267&amp;'Raw data'!$L$2&amp;'Raw data'!$L$4:$L$267,0)))</f>
        <v>1.3948611111111111</v>
      </c>
      <c r="P65" s="24">
        <f t="array" ref="P65">IF(P$1="","",INDEX('Raw data'!$V$4:$V$267,MATCH("39 days"&amp;'Wide data'!$A$1&amp;'Wide data'!$A65,'Raw data'!$K$4:$K$267&amp;'Raw data'!$L$2&amp;'Raw data'!$L$4:$L$267,0)))</f>
        <v>1.46</v>
      </c>
      <c r="Q65" s="24">
        <f t="array" ref="Q65">IF(Q$1="","",INDEX('Raw data'!$W$4:$W$267,MATCH("14 days"&amp;'Wide data'!$A$1&amp;'Wide data'!$A65,'Raw data'!$K$4:$K$267&amp;'Raw data'!$L$2&amp;'Raw data'!$L$4:$L$267,0)))</f>
        <v>1.1226685796269726</v>
      </c>
      <c r="R65" s="24">
        <f t="array" ref="R65">IF(R$1="","",INDEX('Raw data'!$W$4:$W$267,MATCH("23 days"&amp;'Wide data'!$A$1&amp;'Wide data'!$A65,'Raw data'!$K$4:$K$267&amp;'Raw data'!$L$2&amp;'Raw data'!$L$4:$L$267,0)))</f>
        <v>1.2578392621870882</v>
      </c>
      <c r="S65" s="24">
        <f t="array" ref="S65">IF(S$1="","",INDEX('Raw data'!$W$4:$W$267,MATCH("32 days"&amp;'Wide data'!$A$1&amp;'Wide data'!$A65,'Raw data'!$K$4:$K$267&amp;'Raw data'!$L$2&amp;'Raw data'!$L$4:$L$267,0)))</f>
        <v>1.795600366636114</v>
      </c>
      <c r="T65" s="24">
        <f t="array" ref="T65">IF(T$1="","",INDEX('Raw data'!$W$4:$W$267,MATCH("39 days"&amp;'Wide data'!$A$1&amp;'Wide data'!$A65,'Raw data'!$K$4:$K$267&amp;'Raw data'!$L$2&amp;'Raw data'!$L$4:$L$267,0)))</f>
        <v>1.7301218804410912</v>
      </c>
      <c r="U65" s="418">
        <f t="array" ref="U65">IF(E$1="","",INDEX('Raw data'!$AN$4:$AN$267,MATCH("Starter"&amp;'Wide data'!$A$1&amp;'Wide data'!$A65,'Raw data'!$AI$4:$AI$267&amp;'Raw data'!$AJ$2&amp;'Raw data'!$AJ$4:$AJ$267,0)))</f>
        <v>0.35894736842105263</v>
      </c>
      <c r="V65" s="418">
        <f t="array" ref="V65">IF(G$1="","",INDEX('Raw data'!$AN$4:$AN$267,MATCH("Grower"&amp;'Wide data'!$A$1&amp;'Wide data'!$A65,'Raw data'!$AI$4:$AI$267&amp;'Raw data'!$AJ$2&amp;'Raw data'!$AJ$4:$AJ$267,0)))</f>
        <v>1.4555555555555555</v>
      </c>
      <c r="W65" s="418">
        <f t="array" ref="W65">IF(H$1="","",INDEX('Raw data'!$AN$4:$AN$267,MATCH("Finisher"&amp;'Wide data'!$A$1&amp;'Wide data'!$A65,'Raw data'!$AI$4:$AI$267&amp;'Raw data'!$AJ$2&amp;'Raw data'!$AJ$4:$AJ$267,0)))</f>
        <v>2.3400000000000003</v>
      </c>
      <c r="X65" s="418">
        <f t="array" ref="X65">IF(H$1="","",INDEX('Raw data'!$AP$4:$AP$267,MATCH("Starter"&amp;'Wide data'!$A$1&amp;'Wide data'!$A65,'Raw data'!$AI$4:$AI$267&amp;'Raw data'!$AJ$2&amp;'Raw data'!$AJ$4:$AJ$267,0)))</f>
        <v>0.31344736842105264</v>
      </c>
      <c r="Y65" s="418">
        <f t="array" ref="Y65">IF(J$1="","",INDEX('Raw data'!$AP$4:$AP$267,MATCH("Grower"&amp;'Wide data'!$A$1&amp;'Wide data'!$A65,'Raw data'!$AI$4:$AI$267&amp;'Raw data'!$AJ$2&amp;'Raw data'!$AJ$4:$AJ$267,0)))</f>
        <v>1.0966081871345028</v>
      </c>
      <c r="Z65" s="418">
        <f t="array" ref="Z65">IF(K$1="","",INDEX('Raw data'!$AP$4:$AP$267,MATCH("Finisher"&amp;'Wide data'!$A$1&amp;'Wide data'!$A65,'Raw data'!$AI$4:$AI$267&amp;'Raw data'!$AJ$2&amp;'Raw data'!$AJ$4:$AJ$267,0)))</f>
        <v>0.88444444444444481</v>
      </c>
      <c r="AA65" s="418">
        <f t="array" ref="AA65">IF(K$1="","",INDEX('Raw data'!$AR$4:$AR$267,MATCH("Starter"&amp;'Wide data'!$A$1&amp;'Wide data'!$A65,'Raw data'!$AI$4:$AI$267&amp;'Raw data'!$AJ$2&amp;'Raw data'!$AJ$4:$AJ$267,0)))</f>
        <v>0.41184210526315784</v>
      </c>
      <c r="AB65" s="418">
        <f t="array" ref="AB65">IF(M$1="","",INDEX('Raw data'!$AR$4:$AR$267,MATCH("Grower"&amp;'Wide data'!$A$1&amp;'Wide data'!$A65,'Raw data'!$AI$4:$AI$267&amp;'Raw data'!$AJ$2&amp;'Raw data'!$AJ$4:$AJ$267,0)))</f>
        <v>2.2620232732732735</v>
      </c>
      <c r="AC65" s="418">
        <f t="array" ref="AC65">IF(N$1="","",INDEX('Raw data'!$AR$4:$AR$267,MATCH("Finisher"&amp;'Wide data'!$A$1&amp;'Wide data'!$A65,'Raw data'!$AI$4:$AI$267&amp;'Raw data'!$AJ$2&amp;'Raw data'!$AJ$4:$AJ$267,0)))</f>
        <v>1.46</v>
      </c>
      <c r="AD65" s="418">
        <f t="array" ref="AD65">IF(N$1="","",INDEX('Raw data'!$AS$4:$AS$267,MATCH("Starter"&amp;'Wide data'!$A$1&amp;'Wide data'!$A65,'Raw data'!$AI$4:$AI$267&amp;'Raw data'!$AJ$2&amp;'Raw data'!$AJ$4:$AJ$267,0)))</f>
        <v>1.1226685796269726</v>
      </c>
      <c r="AE65" s="418">
        <f t="array" ref="AE65">IF(P$1="","",INDEX('Raw data'!$AS$4:$AS$267,MATCH("Grower"&amp;'Wide data'!$A$1&amp;'Wide data'!$A65,'Raw data'!$AI$4:$AI$267&amp;'Raw data'!$AJ$2&amp;'Raw data'!$AJ$4:$AJ$267,0)))</f>
        <v>1.961036795305733</v>
      </c>
      <c r="AF65" s="418">
        <f t="array" ref="AF65">IF(Q$1="","",INDEX('Raw data'!$AS$4:$AS$267,MATCH("Finisher"&amp;'Wide data'!$A$1&amp;'Wide data'!$A65,'Raw data'!$AI$4:$AI$267&amp;'Raw data'!$AJ$2&amp;'Raw data'!$AJ$4:$AJ$267,0)))</f>
        <v>1.5458823529411758</v>
      </c>
    </row>
    <row r="66" spans="1:32" x14ac:dyDescent="0.25">
      <c r="A66" s="24">
        <f>'Raw data'!L68</f>
        <v>65</v>
      </c>
      <c r="B66" s="24" t="str">
        <f>INDEX('Raw data'!$B$4:$B$69, 'Wide data'!A66)</f>
        <v>T3</v>
      </c>
      <c r="C66" s="24" t="str">
        <f>INDEX('Raw data'!$C$4:$C$69, 'Wide data'!A66)</f>
        <v>R11</v>
      </c>
      <c r="D66" s="24">
        <f t="array" ref="D66">INDEX('Raw data'!$F$4:$F$69,MATCH($A$1&amp;'Wide data'!$A66,'Raw data'!$A$3&amp;'Raw data'!$A$4:$A$69,0))</f>
        <v>4.5400000000000003E-2</v>
      </c>
      <c r="E66" s="24">
        <f t="array" ref="E66">IF(E$1="","",INDEX('Raw data'!$Q$4:$Q$267,MATCH("14 days"&amp;'Wide data'!$A$1&amp;'Wide data'!$A66,'Raw data'!$K$4:$K$267&amp;'Raw data'!$L$2&amp;'Raw data'!$L$4:$L$267,0)))</f>
        <v>0.37473684210526315</v>
      </c>
      <c r="F66" s="24">
        <f t="array" ref="F66">IF(F$1="","",INDEX('Raw data'!$Q$4:$Q$267,MATCH("23 days"&amp;'Wide data'!$A$1&amp;'Wide data'!$A66,'Raw data'!$K$4:$K$267&amp;'Raw data'!$L$2&amp;'Raw data'!$L$4:$L$267,0)))</f>
        <v>1.023684210526316</v>
      </c>
      <c r="G66" s="24">
        <f t="array" ref="G66">IF(G$1="","",INDEX('Raw data'!$Q$4:$Q$267,MATCH("32 days"&amp;'Wide data'!$A$1&amp;'Wide data'!$A66,'Raw data'!$K$4:$K$267&amp;'Raw data'!$L$2&amp;'Raw data'!$L$4:$L$267,0)))</f>
        <v>1.4783783783783782</v>
      </c>
      <c r="H66" s="24">
        <f t="array" ref="H66">IF(H$1="","",INDEX('Raw data'!$Q$4:$Q$267,MATCH("39 days"&amp;'Wide data'!$A$1&amp;'Wide data'!$A66,'Raw data'!$K$4:$K$267&amp;'Raw data'!$L$2&amp;'Raw data'!$L$4:$L$267,0)))</f>
        <v>2.3729729729729732</v>
      </c>
      <c r="I66" s="24">
        <f t="array" ref="I66">IF(I$1="","",INDEX('Raw data'!$S$4:$S$267,MATCH("14 days"&amp;'Wide data'!$A$1&amp;'Wide data'!$A66,'Raw data'!$K$4:$K$267&amp;'Raw data'!$L$2&amp;'Raw data'!$L$4:$L$267,0)))</f>
        <v>0.32933684210526315</v>
      </c>
      <c r="J66" s="24">
        <f t="array" ref="J66">IF(J$1="","",INDEX('Raw data'!$S$4:$S$267,MATCH("23 days"&amp;'Wide data'!$A$1&amp;'Wide data'!$A66,'Raw data'!$K$4:$K$267&amp;'Raw data'!$L$2&amp;'Raw data'!$L$4:$L$267,0)))</f>
        <v>0.64894736842105283</v>
      </c>
      <c r="K66" s="24">
        <f t="array" ref="K66">IF(K$1="","",INDEX('Raw data'!$S$4:$S$267,MATCH("32 days"&amp;'Wide data'!$A$1&amp;'Wide data'!$A66,'Raw data'!$K$4:$K$267&amp;'Raw data'!$L$2&amp;'Raw data'!$L$4:$L$267,0)))</f>
        <v>0.45469416785206218</v>
      </c>
      <c r="L66" s="24">
        <f t="array" ref="L66">IF(L$1="","",INDEX('Raw data'!$S$4:$S$267,MATCH("39 days"&amp;'Wide data'!$A$1&amp;'Wide data'!$A66,'Raw data'!$K$4:$K$267&amp;'Raw data'!$L$2&amp;'Raw data'!$L$4:$L$267,0)))</f>
        <v>0.89459459459459501</v>
      </c>
      <c r="M66" s="24">
        <f t="array" ref="M66">IF(M$1="","",INDEX('Raw data'!$V$4:$V$267,MATCH("14 days"&amp;'Wide data'!$A$1&amp;'Wide data'!$A66,'Raw data'!$K$4:$K$267&amp;'Raw data'!$L$2&amp;'Raw data'!$L$4:$L$267,0)))</f>
        <v>0.42894736842105258</v>
      </c>
      <c r="N66" s="24">
        <f t="array" ref="N66">IF(N$1="","",INDEX('Raw data'!$V$4:$V$267,MATCH("23 days"&amp;'Wide data'!$A$1&amp;'Wide data'!$A66,'Raw data'!$K$4:$K$267&amp;'Raw data'!$L$2&amp;'Raw data'!$L$4:$L$267,0)))</f>
        <v>0.87723684210526298</v>
      </c>
      <c r="O66" s="24">
        <f t="array" ref="O66">IF(O$1="","",INDEX('Raw data'!$V$4:$V$267,MATCH("32 days"&amp;'Wide data'!$A$1&amp;'Wide data'!$A66,'Raw data'!$K$4:$K$267&amp;'Raw data'!$L$2&amp;'Raw data'!$L$4:$L$267,0)))</f>
        <v>1.4233783783783784</v>
      </c>
      <c r="P66" s="24">
        <f t="array" ref="P66">IF(P$1="","",INDEX('Raw data'!$V$4:$V$267,MATCH("39 days"&amp;'Wide data'!$A$1&amp;'Wide data'!$A66,'Raw data'!$K$4:$K$267&amp;'Raw data'!$L$2&amp;'Raw data'!$L$4:$L$267,0)))</f>
        <v>1.4689189189189189</v>
      </c>
      <c r="Q66" s="24">
        <f t="array" ref="Q66">IF(Q$1="","",INDEX('Raw data'!$W$4:$W$267,MATCH("14 days"&amp;'Wide data'!$A$1&amp;'Wide data'!$A66,'Raw data'!$K$4:$K$267&amp;'Raw data'!$L$2&amp;'Raw data'!$L$4:$L$267,0)))</f>
        <v>1.1133879781420764</v>
      </c>
      <c r="R66" s="24">
        <f t="array" ref="R66">IF(R$1="","",INDEX('Raw data'!$W$4:$W$267,MATCH("23 days"&amp;'Wide data'!$A$1&amp;'Wide data'!$A66,'Raw data'!$K$4:$K$267&amp;'Raw data'!$L$2&amp;'Raw data'!$L$4:$L$267,0)))</f>
        <v>1.2629770992366409</v>
      </c>
      <c r="S66" s="24">
        <f t="array" ref="S66">IF(S$1="","",INDEX('Raw data'!$W$4:$W$267,MATCH("32 days"&amp;'Wide data'!$A$1&amp;'Wide data'!$A66,'Raw data'!$K$4:$K$267&amp;'Raw data'!$L$2&amp;'Raw data'!$L$4:$L$267,0)))</f>
        <v>1.7950517634672751</v>
      </c>
      <c r="T66" s="24">
        <f t="array" ref="T66">IF(T$1="","",INDEX('Raw data'!$W$4:$W$267,MATCH("39 days"&amp;'Wide data'!$A$1&amp;'Wide data'!$A66,'Raw data'!$K$4:$K$267&amp;'Raw data'!$L$2&amp;'Raw data'!$L$4:$L$267,0)))</f>
        <v>1.7388167388167381</v>
      </c>
      <c r="U66" s="418">
        <f t="array" ref="U66">IF(E$1="","",INDEX('Raw data'!$AN$4:$AN$267,MATCH("Starter"&amp;'Wide data'!$A$1&amp;'Wide data'!$A66,'Raw data'!$AI$4:$AI$267&amp;'Raw data'!$AJ$2&amp;'Raw data'!$AJ$4:$AJ$267,0)))</f>
        <v>0.37473684210526315</v>
      </c>
      <c r="V66" s="418">
        <f t="array" ref="V66">IF(G$1="","",INDEX('Raw data'!$AN$4:$AN$267,MATCH("Grower"&amp;'Wide data'!$A$1&amp;'Wide data'!$A66,'Raw data'!$AI$4:$AI$267&amp;'Raw data'!$AJ$2&amp;'Raw data'!$AJ$4:$AJ$267,0)))</f>
        <v>1.4783783783783782</v>
      </c>
      <c r="W66" s="418">
        <f t="array" ref="W66">IF(H$1="","",INDEX('Raw data'!$AN$4:$AN$267,MATCH("Finisher"&amp;'Wide data'!$A$1&amp;'Wide data'!$A66,'Raw data'!$AI$4:$AI$267&amp;'Raw data'!$AJ$2&amp;'Raw data'!$AJ$4:$AJ$267,0)))</f>
        <v>2.3729729729729732</v>
      </c>
      <c r="X66" s="418">
        <f t="array" ref="X66">IF(H$1="","",INDEX('Raw data'!$AP$4:$AP$267,MATCH("Starter"&amp;'Wide data'!$A$1&amp;'Wide data'!$A66,'Raw data'!$AI$4:$AI$267&amp;'Raw data'!$AJ$2&amp;'Raw data'!$AJ$4:$AJ$267,0)))</f>
        <v>0.32933684210526315</v>
      </c>
      <c r="Y66" s="418">
        <f t="array" ref="Y66">IF(J$1="","",INDEX('Raw data'!$AP$4:$AP$267,MATCH("Grower"&amp;'Wide data'!$A$1&amp;'Wide data'!$A66,'Raw data'!$AI$4:$AI$267&amp;'Raw data'!$AJ$2&amp;'Raw data'!$AJ$4:$AJ$267,0)))</f>
        <v>1.1036415362731149</v>
      </c>
      <c r="Z66" s="418">
        <f t="array" ref="Z66">IF(K$1="","",INDEX('Raw data'!$AP$4:$AP$267,MATCH("Finisher"&amp;'Wide data'!$A$1&amp;'Wide data'!$A66,'Raw data'!$AI$4:$AI$267&amp;'Raw data'!$AJ$2&amp;'Raw data'!$AJ$4:$AJ$267,0)))</f>
        <v>0.89459459459459501</v>
      </c>
      <c r="AA66" s="418">
        <f t="array" ref="AA66">IF(K$1="","",INDEX('Raw data'!$AR$4:$AR$267,MATCH("Starter"&amp;'Wide data'!$A$1&amp;'Wide data'!$A66,'Raw data'!$AI$4:$AI$267&amp;'Raw data'!$AJ$2&amp;'Raw data'!$AJ$4:$AJ$267,0)))</f>
        <v>0.42894736842105258</v>
      </c>
      <c r="AB66" s="418">
        <f t="array" ref="AB66">IF(M$1="","",INDEX('Raw data'!$AR$4:$AR$267,MATCH("Grower"&amp;'Wide data'!$A$1&amp;'Wide data'!$A66,'Raw data'!$AI$4:$AI$267&amp;'Raw data'!$AJ$2&amp;'Raw data'!$AJ$4:$AJ$267,0)))</f>
        <v>2.3006152204836416</v>
      </c>
      <c r="AC66" s="418">
        <f t="array" ref="AC66">IF(N$1="","",INDEX('Raw data'!$AR$4:$AR$267,MATCH("Finisher"&amp;'Wide data'!$A$1&amp;'Wide data'!$A66,'Raw data'!$AI$4:$AI$267&amp;'Raw data'!$AJ$2&amp;'Raw data'!$AJ$4:$AJ$267,0)))</f>
        <v>1.4689189189189189</v>
      </c>
      <c r="AD66" s="418">
        <f t="array" ref="AD66">IF(N$1="","",INDEX('Raw data'!$AS$4:$AS$267,MATCH("Starter"&amp;'Wide data'!$A$1&amp;'Wide data'!$A66,'Raw data'!$AI$4:$AI$267&amp;'Raw data'!$AJ$2&amp;'Raw data'!$AJ$4:$AJ$267,0)))</f>
        <v>1.1133879781420764</v>
      </c>
      <c r="AE66" s="418">
        <f t="array" ref="AE66">IF(P$1="","",INDEX('Raw data'!$AS$4:$AS$267,MATCH("Grower"&amp;'Wide data'!$A$1&amp;'Wide data'!$A66,'Raw data'!$AI$4:$AI$267&amp;'Raw data'!$AJ$2&amp;'Raw data'!$AJ$4:$AJ$267,0)))</f>
        <v>1.9827690814221579</v>
      </c>
      <c r="AF66" s="418">
        <f t="array" ref="AF66">IF(Q$1="","",INDEX('Raw data'!$AS$4:$AS$267,MATCH("Finisher"&amp;'Wide data'!$A$1&amp;'Wide data'!$A66,'Raw data'!$AI$4:$AI$267&amp;'Raw data'!$AJ$2&amp;'Raw data'!$AJ$4:$AJ$267,0)))</f>
        <v>1.6419939577039269</v>
      </c>
    </row>
    <row r="67" spans="1:32" x14ac:dyDescent="0.25">
      <c r="A67" s="24">
        <f>'Raw data'!L69</f>
        <v>66</v>
      </c>
      <c r="B67" s="24" t="str">
        <f>INDEX('Raw data'!$B$4:$B$69, 'Wide data'!A67)</f>
        <v>T1</v>
      </c>
      <c r="C67" s="24" t="str">
        <f>INDEX('Raw data'!$C$4:$C$69, 'Wide data'!A67)</f>
        <v>R11</v>
      </c>
      <c r="D67" s="24">
        <f t="array" ref="D67">INDEX('Raw data'!$F$4:$F$69,MATCH($A$1&amp;'Wide data'!$A67,'Raw data'!$A$3&amp;'Raw data'!$A$4:$A$69,0))</f>
        <v>4.5324999999999997E-2</v>
      </c>
      <c r="E67" s="24">
        <f t="array" ref="E67">IF(E$1="","",INDEX('Raw data'!$Q$4:$Q$267,MATCH("14 days"&amp;'Wide data'!$A$1&amp;'Wide data'!$A67,'Raw data'!$K$4:$K$267&amp;'Raw data'!$L$2&amp;'Raw data'!$L$4:$L$267,0)))</f>
        <v>0.37923076923076926</v>
      </c>
      <c r="F67" s="24">
        <f t="array" ref="F67">IF(F$1="","",INDEX('Raw data'!$Q$4:$Q$267,MATCH("23 days"&amp;'Wide data'!$A$1&amp;'Wide data'!$A67,'Raw data'!$K$4:$K$267&amp;'Raw data'!$L$2&amp;'Raw data'!$L$4:$L$267,0)))</f>
        <v>1.0315789473684212</v>
      </c>
      <c r="G67" s="24">
        <f t="array" ref="G67">IF(G$1="","",INDEX('Raw data'!$Q$4:$Q$267,MATCH("32 days"&amp;'Wide data'!$A$1&amp;'Wide data'!$A67,'Raw data'!$K$4:$K$267&amp;'Raw data'!$L$2&amp;'Raw data'!$L$4:$L$267,0)))</f>
        <v>1.4757142857142855</v>
      </c>
      <c r="H67" s="24">
        <f t="array" ref="H67">IF(H$1="","",INDEX('Raw data'!$Q$4:$Q$267,MATCH("39 days"&amp;'Wide data'!$A$1&amp;'Wide data'!$A67,'Raw data'!$K$4:$K$267&amp;'Raw data'!$L$2&amp;'Raw data'!$L$4:$L$267,0)))</f>
        <v>2.3514285714285714</v>
      </c>
      <c r="I67" s="24">
        <f t="array" ref="I67">IF(I$1="","",INDEX('Raw data'!$S$4:$S$267,MATCH("14 days"&amp;'Wide data'!$A$1&amp;'Wide data'!$A67,'Raw data'!$K$4:$K$267&amp;'Raw data'!$L$2&amp;'Raw data'!$L$4:$L$267,0)))</f>
        <v>0.33390576923076926</v>
      </c>
      <c r="J67" s="24">
        <f t="array" ref="J67">IF(J$1="","",INDEX('Raw data'!$S$4:$S$267,MATCH("23 days"&amp;'Wide data'!$A$1&amp;'Wide data'!$A67,'Raw data'!$K$4:$K$267&amp;'Raw data'!$L$2&amp;'Raw data'!$L$4:$L$267,0)))</f>
        <v>0.65234817813765189</v>
      </c>
      <c r="K67" s="24">
        <f t="array" ref="K67">IF(K$1="","",INDEX('Raw data'!$S$4:$S$267,MATCH("32 days"&amp;'Wide data'!$A$1&amp;'Wide data'!$A67,'Raw data'!$K$4:$K$267&amp;'Raw data'!$L$2&amp;'Raw data'!$L$4:$L$267,0)))</f>
        <v>0.44413533834586438</v>
      </c>
      <c r="L67" s="24">
        <f t="array" ref="L67">IF(L$1="","",INDEX('Raw data'!$S$4:$S$267,MATCH("39 days"&amp;'Wide data'!$A$1&amp;'Wide data'!$A67,'Raw data'!$K$4:$K$267&amp;'Raw data'!$L$2&amp;'Raw data'!$L$4:$L$267,0)))</f>
        <v>0.87571428571428589</v>
      </c>
      <c r="M67" s="24">
        <f t="array" ref="M67">IF(M$1="","",INDEX('Raw data'!$V$4:$V$267,MATCH("14 days"&amp;'Wide data'!$A$1&amp;'Wide data'!$A67,'Raw data'!$K$4:$K$267&amp;'Raw data'!$L$2&amp;'Raw data'!$L$4:$L$267,0)))</f>
        <v>0.42435897435897435</v>
      </c>
      <c r="N67" s="24">
        <f t="array" ref="N67">IF(N$1="","",INDEX('Raw data'!$V$4:$V$267,MATCH("23 days"&amp;'Wide data'!$A$1&amp;'Wide data'!$A67,'Raw data'!$K$4:$K$267&amp;'Raw data'!$L$2&amp;'Raw data'!$L$4:$L$267,0)))</f>
        <v>0.84565789473684227</v>
      </c>
      <c r="O67" s="24">
        <f t="array" ref="O67">IF(O$1="","",INDEX('Raw data'!$V$4:$V$267,MATCH("32 days"&amp;'Wide data'!$A$1&amp;'Wide data'!$A67,'Raw data'!$K$4:$K$267&amp;'Raw data'!$L$2&amp;'Raw data'!$L$4:$L$267,0)))</f>
        <v>1.4832857142857143</v>
      </c>
      <c r="P67" s="24">
        <f t="array" ref="P67">IF(P$1="","",INDEX('Raw data'!$V$4:$V$267,MATCH("39 days"&amp;'Wide data'!$A$1&amp;'Wide data'!$A67,'Raw data'!$K$4:$K$267&amp;'Raw data'!$L$2&amp;'Raw data'!$L$4:$L$267,0)))</f>
        <v>1.4857142857142858</v>
      </c>
      <c r="Q67" s="24">
        <f t="array" ref="Q67">IF(Q$1="","",INDEX('Raw data'!$W$4:$W$267,MATCH("14 days"&amp;'Wide data'!$A$1&amp;'Wide data'!$A67,'Raw data'!$K$4:$K$267&amp;'Raw data'!$L$2&amp;'Raw data'!$L$4:$L$267,0)))</f>
        <v>1.1003989361702127</v>
      </c>
      <c r="R67" s="24">
        <f t="array" ref="R67">IF(R$1="","",INDEX('Raw data'!$W$4:$W$267,MATCH("23 days"&amp;'Wide data'!$A$1&amp;'Wide data'!$A67,'Raw data'!$K$4:$K$267&amp;'Raw data'!$L$2&amp;'Raw data'!$L$4:$L$267,0)))</f>
        <v>1.2189534301452178</v>
      </c>
      <c r="S67" s="24">
        <f t="array" ref="S67">IF(S$1="","",INDEX('Raw data'!$W$4:$W$267,MATCH("32 days"&amp;'Wide data'!$A$1&amp;'Wide data'!$A67,'Raw data'!$K$4:$K$267&amp;'Raw data'!$L$2&amp;'Raw data'!$L$4:$L$267,0)))</f>
        <v>1.7970703822793856</v>
      </c>
      <c r="T67" s="24">
        <f t="array" ref="T67">IF(T$1="","",INDEX('Raw data'!$W$4:$W$267,MATCH("39 days"&amp;'Wide data'!$A$1&amp;'Wide data'!$A67,'Raw data'!$K$4:$K$267&amp;'Raw data'!$L$2&amp;'Raw data'!$L$4:$L$267,0)))</f>
        <v>1.7615144868983035</v>
      </c>
      <c r="U67" s="418">
        <f t="array" ref="U67">IF(E$1="","",INDEX('Raw data'!$AN$4:$AN$267,MATCH("Starter"&amp;'Wide data'!$A$1&amp;'Wide data'!$A67,'Raw data'!$AI$4:$AI$267&amp;'Raw data'!$AJ$2&amp;'Raw data'!$AJ$4:$AJ$267,0)))</f>
        <v>0.37923076923076926</v>
      </c>
      <c r="V67" s="418">
        <f t="array" ref="V67">IF(G$1="","",INDEX('Raw data'!$AN$4:$AN$267,MATCH("Grower"&amp;'Wide data'!$A$1&amp;'Wide data'!$A67,'Raw data'!$AI$4:$AI$267&amp;'Raw data'!$AJ$2&amp;'Raw data'!$AJ$4:$AJ$267,0)))</f>
        <v>1.4757142857142855</v>
      </c>
      <c r="W67" s="418">
        <f t="array" ref="W67">IF(H$1="","",INDEX('Raw data'!$AN$4:$AN$267,MATCH("Finisher"&amp;'Wide data'!$A$1&amp;'Wide data'!$A67,'Raw data'!$AI$4:$AI$267&amp;'Raw data'!$AJ$2&amp;'Raw data'!$AJ$4:$AJ$267,0)))</f>
        <v>2.3514285714285714</v>
      </c>
      <c r="X67" s="418">
        <f t="array" ref="X67">IF(H$1="","",INDEX('Raw data'!$AP$4:$AP$267,MATCH("Starter"&amp;'Wide data'!$A$1&amp;'Wide data'!$A67,'Raw data'!$AI$4:$AI$267&amp;'Raw data'!$AJ$2&amp;'Raw data'!$AJ$4:$AJ$267,0)))</f>
        <v>0.33390576923076926</v>
      </c>
      <c r="Y67" s="418">
        <f t="array" ref="Y67">IF(J$1="","",INDEX('Raw data'!$AP$4:$AP$267,MATCH("Grower"&amp;'Wide data'!$A$1&amp;'Wide data'!$A67,'Raw data'!$AI$4:$AI$267&amp;'Raw data'!$AJ$2&amp;'Raw data'!$AJ$4:$AJ$267,0)))</f>
        <v>1.0964835164835163</v>
      </c>
      <c r="Z67" s="418">
        <f t="array" ref="Z67">IF(K$1="","",INDEX('Raw data'!$AP$4:$AP$267,MATCH("Finisher"&amp;'Wide data'!$A$1&amp;'Wide data'!$A67,'Raw data'!$AI$4:$AI$267&amp;'Raw data'!$AJ$2&amp;'Raw data'!$AJ$4:$AJ$267,0)))</f>
        <v>0.87571428571428589</v>
      </c>
      <c r="AA67" s="418">
        <f t="array" ref="AA67">IF(K$1="","",INDEX('Raw data'!$AR$4:$AR$267,MATCH("Starter"&amp;'Wide data'!$A$1&amp;'Wide data'!$A67,'Raw data'!$AI$4:$AI$267&amp;'Raw data'!$AJ$2&amp;'Raw data'!$AJ$4:$AJ$267,0)))</f>
        <v>0.42435897435897435</v>
      </c>
      <c r="AB67" s="418">
        <f t="array" ref="AB67">IF(M$1="","",INDEX('Raw data'!$AR$4:$AR$267,MATCH("Grower"&amp;'Wide data'!$A$1&amp;'Wide data'!$A67,'Raw data'!$AI$4:$AI$267&amp;'Raw data'!$AJ$2&amp;'Raw data'!$AJ$4:$AJ$267,0)))</f>
        <v>2.3289436090225566</v>
      </c>
      <c r="AC67" s="418">
        <f t="array" ref="AC67">IF(N$1="","",INDEX('Raw data'!$AR$4:$AR$267,MATCH("Finisher"&amp;'Wide data'!$A$1&amp;'Wide data'!$A67,'Raw data'!$AI$4:$AI$267&amp;'Raw data'!$AJ$2&amp;'Raw data'!$AJ$4:$AJ$267,0)))</f>
        <v>1.4857142857142858</v>
      </c>
      <c r="AD67" s="418">
        <f t="array" ref="AD67">IF(N$1="","",INDEX('Raw data'!$AS$4:$AS$267,MATCH("Starter"&amp;'Wide data'!$A$1&amp;'Wide data'!$A67,'Raw data'!$AI$4:$AI$267&amp;'Raw data'!$AJ$2&amp;'Raw data'!$AJ$4:$AJ$267,0)))</f>
        <v>1.1003989361702127</v>
      </c>
      <c r="AE67" s="418">
        <f t="array" ref="AE67">IF(P$1="","",INDEX('Raw data'!$AS$4:$AS$267,MATCH("Grower"&amp;'Wide data'!$A$1&amp;'Wide data'!$A67,'Raw data'!$AI$4:$AI$267&amp;'Raw data'!$AJ$2&amp;'Raw data'!$AJ$4:$AJ$267,0)))</f>
        <v>1.8924226886351729</v>
      </c>
      <c r="AF67" s="418">
        <f t="array" ref="AF67">IF(Q$1="","",INDEX('Raw data'!$AS$4:$AS$267,MATCH("Finisher"&amp;'Wide data'!$A$1&amp;'Wide data'!$A67,'Raw data'!$AI$4:$AI$267&amp;'Raw data'!$AJ$2&amp;'Raw data'!$AJ$4:$AJ$267,0)))</f>
        <v>1.6965742251223488</v>
      </c>
    </row>
    <row r="69" spans="1:32" x14ac:dyDescent="0.25"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</row>
    <row r="70" spans="1:32" x14ac:dyDescent="0.25"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</row>
    <row r="71" spans="1:32" x14ac:dyDescent="0.25"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</row>
    <row r="72" spans="1:32" x14ac:dyDescent="0.25"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</row>
    <row r="73" spans="1:32" x14ac:dyDescent="0.25"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</row>
    <row r="74" spans="1:32" x14ac:dyDescent="0.25"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</row>
    <row r="79" spans="1:32" x14ac:dyDescent="0.25"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</row>
    <row r="80" spans="1:32" x14ac:dyDescent="0.25"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</row>
    <row r="81" spans="5:20" x14ac:dyDescent="0.25"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</row>
    <row r="82" spans="5:20" x14ac:dyDescent="0.25"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</row>
    <row r="83" spans="5:20" x14ac:dyDescent="0.25"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</row>
    <row r="84" spans="5:20" x14ac:dyDescent="0.25"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6"/>
  <dimension ref="A1:U21"/>
  <sheetViews>
    <sheetView workbookViewId="0">
      <pane ySplit="1" topLeftCell="A2" activePane="bottomLeft" state="frozen"/>
      <selection pane="bottomLeft" activeCell="B8" sqref="B8"/>
    </sheetView>
  </sheetViews>
  <sheetFormatPr defaultRowHeight="12.75" customHeight="1" x14ac:dyDescent="0.25"/>
  <cols>
    <col min="1" max="1" width="11.5703125" style="23" bestFit="1" customWidth="1"/>
    <col min="2" max="10" width="15" style="23" customWidth="1"/>
    <col min="11" max="11" width="18.7109375" style="23" bestFit="1" customWidth="1"/>
    <col min="12" max="19" width="15" style="291" customWidth="1"/>
    <col min="20" max="21" width="15" style="23" customWidth="1"/>
    <col min="22" max="16384" width="9.140625" style="23"/>
  </cols>
  <sheetData>
    <row r="1" spans="1:21" ht="12.75" customHeight="1" x14ac:dyDescent="0.25">
      <c r="A1" s="23" t="s">
        <v>30</v>
      </c>
      <c r="B1" s="23" t="str">
        <f>IF('14 days'!$B$1="","","MORT_14")</f>
        <v>MORT_14</v>
      </c>
      <c r="C1" s="23" t="str">
        <f>IF('14 days'!$B$1="","","FREQ_MORT_14")</f>
        <v>FREQ_MORT_14</v>
      </c>
      <c r="D1" s="23" t="str">
        <f>IF('23 days'!$B$1="","","MORT_23")</f>
        <v>MORT_23</v>
      </c>
      <c r="E1" s="23" t="str">
        <f>IF('23 days'!$B$1="","","FREQ_MORT_23")</f>
        <v>FREQ_MORT_23</v>
      </c>
      <c r="F1" s="23" t="str">
        <f>IF('32 days'!$B$1="","","MORT_32")</f>
        <v>MORT_32</v>
      </c>
      <c r="G1" s="23" t="str">
        <f>IF('32 days'!$B$1="","","FREQ_MORT_32")</f>
        <v>FREQ_MORT_32</v>
      </c>
      <c r="H1" s="23" t="str">
        <f>IF('39 days'!$B$1="","","MORT_39")</f>
        <v>MORT_39</v>
      </c>
      <c r="I1" s="23" t="str">
        <f>IF('39 days'!$B$1="","","FREQ_MORT_39")</f>
        <v>FREQ_MORT_39</v>
      </c>
      <c r="J1" s="23" t="s">
        <v>71</v>
      </c>
      <c r="K1" s="23" t="s">
        <v>94</v>
      </c>
      <c r="L1" s="291" t="str">
        <f>IF('14 days'!$B$1="","","CULL_14")</f>
        <v>CULL_14</v>
      </c>
      <c r="M1" s="291" t="str">
        <f>IF('14 days'!$B$1="","","FREQ_CULL_14")</f>
        <v>FREQ_CULL_14</v>
      </c>
      <c r="N1" s="291" t="str">
        <f>IF('23 days'!$B$1="","","CULL_23")</f>
        <v>CULL_23</v>
      </c>
      <c r="O1" s="291" t="str">
        <f>IF('23 days'!$B$1="","","FREQ_CULL_23")</f>
        <v>FREQ_CULL_23</v>
      </c>
      <c r="P1" s="291" t="str">
        <f>IF('32 days'!$B$1="","","CULL_32")</f>
        <v>CULL_32</v>
      </c>
      <c r="Q1" s="291" t="str">
        <f>IF('32 days'!$B$1="","","FREQ_CULL_32")</f>
        <v>FREQ_CULL_32</v>
      </c>
      <c r="R1" s="291" t="str">
        <f>IF('39 days'!$B$1="","","CULL_39")</f>
        <v>CULL_39</v>
      </c>
      <c r="S1" s="291" t="str">
        <f>IF('39 days'!$B$1="","","FREQ_CULL_39")</f>
        <v>FREQ_CULL_39</v>
      </c>
      <c r="T1" s="23" t="s">
        <v>92</v>
      </c>
      <c r="U1" s="23" t="s">
        <v>93</v>
      </c>
    </row>
    <row r="2" spans="1:21" ht="12.75" customHeight="1" x14ac:dyDescent="0.25">
      <c r="A2" s="23" t="str">
        <f>IF(Summary!B39="","",Summary!A39)</f>
        <v>T1</v>
      </c>
      <c r="B2" s="23" t="str">
        <f>IF('14 days'!$B$1="","",IF($A2="","","DEAD"))</f>
        <v>DEAD</v>
      </c>
      <c r="C2" s="23">
        <f>IF(C$1="","",IF($A2="","",SUMIFS('Raw data'!$Z$4:$Z$267,'Raw data'!$K$4:$K$267,"14 days",'Raw data'!$N$4:$N$267,'Chi square'!$A2)))</f>
        <v>5</v>
      </c>
      <c r="D2" s="291" t="str">
        <f>IF('23 days'!$B$1="","",IF($A2="","","DEAD"))</f>
        <v>DEAD</v>
      </c>
      <c r="E2" s="291">
        <f>IF(E$1="","",IF($A2="","",SUMIFS('Raw data'!$Z$4:$Z$267,'Raw data'!$K$4:$K$267,"23 days",'Raw data'!$N$4:$N$267,'Chi square'!$A2)))</f>
        <v>1</v>
      </c>
      <c r="F2" s="291" t="str">
        <f>IF('32 days'!$B$1="","",IF($A2="","","DEAD"))</f>
        <v>DEAD</v>
      </c>
      <c r="G2" s="291">
        <f>IF(G$1="","",IF($A2="","",SUMIFS('Raw data'!$Z$4:$Z$267,'Raw data'!$K$4:$K$267,"32 days",'Raw data'!$N$4:$N$267,'Chi square'!$A2)))</f>
        <v>2</v>
      </c>
      <c r="H2" s="291" t="str">
        <f>IF('39 days'!$B$1="","",IF($A2="","","DEAD"))</f>
        <v>DEAD</v>
      </c>
      <c r="I2" s="23">
        <f>IF(I$1="","",IF($A2="","",SUMIFS('Raw data'!$Z$4:$Z$267,'Raw data'!$K$4:$K$267,"39 days",'Raw data'!$N$4:$N$267,'Chi square'!$A2)))</f>
        <v>7</v>
      </c>
      <c r="J2" s="23" t="str">
        <f>IF($A2="","","DEAD")</f>
        <v>DEAD</v>
      </c>
      <c r="K2" s="23">
        <f t="shared" ref="K2:K17" si="0">IF(A2="","",SUM(C2,E2,G2,I2))</f>
        <v>15</v>
      </c>
      <c r="L2" s="291" t="str">
        <f>IF('14 days'!$B$1="","",IF($A2="","","DEAD"))</f>
        <v>DEAD</v>
      </c>
      <c r="M2" s="291">
        <f>IF(M$1="","",IF($A2="","",SUMIFS('Raw data'!$AB$4:$AB$267,'Raw data'!$K$4:$K$267,"14 days",'Raw data'!$N$4:$N$267,'Chi square'!$A2)))</f>
        <v>4</v>
      </c>
      <c r="N2" s="291" t="str">
        <f>IF('23 days'!$B$1="","",IF($A2="","","DEAD"))</f>
        <v>DEAD</v>
      </c>
      <c r="O2" s="291">
        <f>IF(O$1="","",IF($A2="","",SUMIFS('Raw data'!$AB$4:$AB$267,'Raw data'!$K$4:$K$267,"23 days",'Raw data'!$N$4:$N$267,'Chi square'!$A2)))</f>
        <v>0</v>
      </c>
      <c r="P2" s="291" t="str">
        <f>IF('32 days'!$B$1="","",IF($A2="","","DEAD"))</f>
        <v>DEAD</v>
      </c>
      <c r="Q2" s="291">
        <f>IF(Q$1="","",IF($A2="","",SUMIFS('Raw data'!$AB$4:$AB$267,'Raw data'!$K$4:$K$267,"32 days",'Raw data'!$N$4:$N$267,'Chi square'!$A2)))</f>
        <v>11</v>
      </c>
      <c r="R2" s="291" t="str">
        <f>IF('39 days'!$B$1="","",IF($A2="","","DEAD"))</f>
        <v>DEAD</v>
      </c>
      <c r="S2" s="291">
        <f>IF(S$1="","",IF($A2="","",SUMIFS('Raw data'!$AB$4:$AB$267,'Raw data'!$K$4:$K$267,"39days",'Raw data'!$N$4:$N$267,'Chi square'!$A2)))</f>
        <v>0</v>
      </c>
      <c r="T2" s="23" t="str">
        <f>IF($A2="","","DEAD")</f>
        <v>DEAD</v>
      </c>
      <c r="U2" s="291">
        <f>IF(A2="","",SUM(M2,O2,Q2,S2))</f>
        <v>15</v>
      </c>
    </row>
    <row r="3" spans="1:21" ht="12.75" customHeight="1" x14ac:dyDescent="0.25">
      <c r="A3" s="23" t="str">
        <f>IF(Summary!B39="","",Summary!A39)</f>
        <v>T1</v>
      </c>
      <c r="B3" s="23" t="str">
        <f>IF('14 days'!$B$1="","",IF($A3="","","ALIVE"))</f>
        <v>ALIVE</v>
      </c>
      <c r="C3" s="354">
        <f>IF(C$1="","",IF($A3="","",((SUMIFS('Raw data'!$Y$4:$Y$267,'Raw data'!$K$4:$K$267,"14 days",'Raw data'!$N$4:$N$267,'Chi square'!$A3)))+(SUMIFS('Raw data'!$AB$4:$AB$267,'Raw data'!$K$4:$K$267,"14 days",'Raw data'!$N$4:$N$267,'Chi square'!$A3))+(SUMIFS('Raw data'!$AD$4:$AD$267,'Raw data'!$K$4:$K$267,"14 days",'Raw data'!$N$4:$N$267,'Chi square'!$A3))))</f>
        <v>435</v>
      </c>
      <c r="D3" s="291" t="str">
        <f>IF('23 days'!$B$1="","",IF($A3="","","ALIVE"))</f>
        <v>ALIVE</v>
      </c>
      <c r="E3" s="354">
        <f>IF(E$1="","",IF($A3="","",((SUMIFS('Raw data'!$Y$4:$Y$267,'Raw data'!$K$4:$K$267,"23 days",'Raw data'!$N$4:$N$267,'Chi square'!$A3)))+(SUMIFS('Raw data'!$AB$4:$AB$267,'Raw data'!$K$4:$K$267,"23 days",'Raw data'!$N$4:$N$267,'Chi square'!$A3))+(SUMIFS('Raw data'!$AD$4:$AD$267,'Raw data'!$K$4:$K$267,"23 days",'Raw data'!$N$4:$N$267,'Chi square'!$A3))))</f>
        <v>430</v>
      </c>
      <c r="F3" s="291" t="str">
        <f>IF('32 days'!$B$1="","",IF($A3="","","ALIVE"))</f>
        <v>ALIVE</v>
      </c>
      <c r="G3" s="354">
        <f>IF(G$1="","",IF($A3="","",((SUMIFS('Raw data'!$Y$4:$Y$267,'Raw data'!$K$4:$K$267,"32 days",'Raw data'!$N$4:$N$267,'Chi square'!$A3)))+(SUMIFS('Raw data'!$AB$4:$AB$267,'Raw data'!$K$4:$K$267,"32 days",'Raw data'!$N$4:$N$267,'Chi square'!$A3))+(SUMIFS('Raw data'!$AD$4:$AD$267,'Raw data'!$K$4:$K$267,"32 days",'Raw data'!$N$4:$N$267,'Chi square'!$A3))))</f>
        <v>428</v>
      </c>
      <c r="H3" s="291" t="str">
        <f>IF('39 days'!$B$1="","",IF($A3="","","ALIVE"))</f>
        <v>ALIVE</v>
      </c>
      <c r="I3" s="354">
        <f>IF(I$1="","",IF($A3="","",((SUMIFS('Raw data'!$Y$4:$Y$267,'Raw data'!$K$4:$K$267,"39 days",'Raw data'!$N$4:$N$267,'Chi square'!$A3)))+(SUMIFS('Raw data'!$AB$4:$AB$267,'Raw data'!$K$4:$K$267,"39 days",'Raw data'!$N$4:$N$267,'Chi square'!$A3))+(SUMIFS('Raw data'!$AD$4:$AD$267,'Raw data'!$K$4:$K$267,"39 days",'Raw data'!$N$4:$N$267,'Chi square'!$A3))))</f>
        <v>410</v>
      </c>
      <c r="J3" s="23" t="str">
        <f>IF($A3="","","ALIVE")</f>
        <v>ALIVE</v>
      </c>
      <c r="K3" s="354">
        <f>IF(K$1="","",IF($A3="","",((SUMIFS('Raw data'!$Y$4:$Y$267,'Raw data'!$K$4:$K$267,"39 days",'Raw data'!$N$4:$N$267,'Chi square'!$A3)))+(SUMIFS('Raw data'!$AB$4:$AB$267,'Raw data'!$K$4:$K$267,"39 days",'Raw data'!$N$4:$N$267,'Chi square'!$A3))+(SUMIFS('Raw data'!$AD$4:$AD$267,'Raw data'!$K$4:$K$267,"39 days",'Raw data'!$N$4:$N$267,'Chi square'!$A3))))</f>
        <v>410</v>
      </c>
      <c r="L3" s="291" t="str">
        <f>IF('14 days'!$B$1="","",IF($A3="","","ALIVE"))</f>
        <v>ALIVE</v>
      </c>
      <c r="M3" s="354">
        <f>IF(M$1="","",IF($A3="","",((SUMIFS('Raw data'!$Y$4:$Y$267,'Raw data'!$K$4:$K$267,"14 days",'Raw data'!$N$4:$N$267,'Chi square'!$A3)))+(SUMIFS('Raw data'!$Z$4:$Z$267,'Raw data'!$K$4:$K$267,"14 days",'Raw data'!$N$4:$N$267,'Chi square'!$A3))+(SUMIFS('Raw data'!$AD$4:$AD$267,'Raw data'!$K$4:$K$267,"14 days",'Raw data'!$N$4:$N$267,'Chi square'!$A3))))</f>
        <v>436</v>
      </c>
      <c r="N3" s="291" t="str">
        <f>IF('23 days'!$B$1="","",IF($A3="","","ALIVE"))</f>
        <v>ALIVE</v>
      </c>
      <c r="O3" s="354">
        <f>IF(O$1="","",IF($A3="","",((SUMIFS('Raw data'!$Y$4:$Y$267,'Raw data'!$K$4:$K$267,"23 days",'Raw data'!$N$4:$N$267,'Chi square'!$A3)))+(SUMIFS('Raw data'!$Z$4:$Z$267,'Raw data'!$K$4:$K$267,"23 days",'Raw data'!$N$4:$N$267,'Chi square'!$A3))+(SUMIFS('Raw data'!$AD$4:$AD$267,'Raw data'!$K$4:$K$267,"23 days",'Raw data'!$N$4:$N$267,'Chi square'!$A3))))</f>
        <v>431</v>
      </c>
      <c r="P3" s="291" t="str">
        <f>IF('32 days'!$B$1="","",IF($A3="","","ALIVE"))</f>
        <v>ALIVE</v>
      </c>
      <c r="Q3" s="291">
        <f>IF(Q$1="","",IF($A3="","",((SUMIFS('Raw data'!$Y$4:$Y$267,'Raw data'!$K$4:$K$267,"32 days",'Raw data'!$N$4:$N$267,'Chi square'!$A3)))+(SUMIFS('Raw data'!$Z$4:$Z$267,'Raw data'!$K$4:$K$267,"32 days",'Raw data'!$N$4:$N$267,'Chi square'!$A3))+(SUMIFS('Raw data'!$AD$4:$AD$267,'Raw data'!$K$4:$K$267,"32 days",'Raw data'!$N$4:$N$267,'Chi square'!$A3))))</f>
        <v>419</v>
      </c>
      <c r="R3" s="291" t="str">
        <f>IF('39 days'!$B$1="","",IF($A3="","","ALIVE"))</f>
        <v>ALIVE</v>
      </c>
      <c r="S3" s="291">
        <f>IF(S$1="","",IF($A3="","",((SUMIFS('Raw data'!$Y$4:$Y$267,'Raw data'!$K$4:$K$267,"39 days",'Raw data'!$N$4:$N$267,'Chi square'!$A3)))+(SUMIFS('Raw data'!$Z$4:$Z$267,'Raw data'!$K$4:$K$267,"39 days",'Raw data'!$N$4:$N$267,'Chi square'!$A3))+(SUMIFS('Raw data'!$AD$4:$AD$267,'Raw data'!$K$4:$K$267,"39 days",'Raw data'!$N$4:$N$267,'Chi square'!$A3))))</f>
        <v>417</v>
      </c>
      <c r="T3" s="23" t="str">
        <f>IF($A3="","","ALIVE")</f>
        <v>ALIVE</v>
      </c>
      <c r="U3" s="291">
        <f t="shared" ref="U3:U17" si="1">IF(A3="","",SUM(M3,O3,Q3,S3))</f>
        <v>1703</v>
      </c>
    </row>
    <row r="4" spans="1:21" ht="12.75" customHeight="1" x14ac:dyDescent="0.25">
      <c r="A4" s="23" t="str">
        <f>IF(Summary!B40="","",Summary!A40)</f>
        <v>T2</v>
      </c>
      <c r="B4" s="23" t="str">
        <f>IF('14 days'!$B$1="","",IF($A4="","","DEAD"))</f>
        <v>DEAD</v>
      </c>
      <c r="C4" s="23">
        <f>IF(C$1="","",IF($A4="","",SUMIFS('Raw data'!$Z$4:$Z$267,'Raw data'!$K$4:$K$267,"14 days",'Raw data'!$N$4:$N$267,'Chi square'!$A4)))</f>
        <v>7</v>
      </c>
      <c r="D4" s="23" t="str">
        <f>IF('23 days'!$B$1="","",IF($A4="","","DEAD"))</f>
        <v>DEAD</v>
      </c>
      <c r="E4" s="23">
        <f>IF(E$1="","",IF($A4="","",SUMIFS('Raw data'!$Z$4:$Z$267,'Raw data'!$K$4:$K$267,"23 days",'Raw data'!$N$4:$N$267,'Chi square'!$A4)))</f>
        <v>0</v>
      </c>
      <c r="F4" s="23" t="str">
        <f>IF('32 days'!$B$1="","",IF($A4="","","DEAD"))</f>
        <v>DEAD</v>
      </c>
      <c r="G4" s="23">
        <f>IF(G$1="","",IF($A4="","",SUMIFS('Raw data'!$Z$4:$Z$267,'Raw data'!$K$4:$K$267,"32 days",'Raw data'!$N$4:$N$267,'Chi square'!$A4)))</f>
        <v>2</v>
      </c>
      <c r="H4" s="23" t="str">
        <f>IF('39 days'!$B$1="","",IF($A4="","","DEAD"))</f>
        <v>DEAD</v>
      </c>
      <c r="I4" s="23">
        <f>IF(I$1="","",IF($A4="","",SUMIFS('Raw data'!$Z$4:$Z$267,'Raw data'!$K$4:$K$267,"39 days",'Raw data'!$N$4:$N$267,'Chi square'!$A4)))</f>
        <v>6</v>
      </c>
      <c r="J4" s="23" t="str">
        <f>IF($A4="","","DEAD")</f>
        <v>DEAD</v>
      </c>
      <c r="K4" s="23">
        <f t="shared" si="0"/>
        <v>15</v>
      </c>
      <c r="L4" s="291" t="str">
        <f>IF('14 days'!$B$1="","",IF($A4="","","DEAD"))</f>
        <v>DEAD</v>
      </c>
      <c r="M4" s="291">
        <f>IF(M$1="","",IF($A4="","",SUMIFS('Raw data'!$AB$4:$AB$267,'Raw data'!$K$4:$K$267,"14 days",'Raw data'!$N$4:$N$267,'Chi square'!$A4)))</f>
        <v>6</v>
      </c>
      <c r="N4" s="291" t="str">
        <f>IF('23 days'!$B$1="","",IF($A4="","","DEAD"))</f>
        <v>DEAD</v>
      </c>
      <c r="O4" s="291">
        <f>IF(O$1="","",IF($A4="","",SUMIFS('Raw data'!$AB$4:$AB$267,'Raw data'!$K$4:$K$267,"23 days",'Raw data'!$N$4:$N$267,'Chi square'!$A4)))</f>
        <v>1</v>
      </c>
      <c r="P4" s="291" t="str">
        <f>IF('32 days'!$B$1="","",IF($A4="","","DEAD"))</f>
        <v>DEAD</v>
      </c>
      <c r="Q4" s="291">
        <f>IF(Q$1="","",IF($A4="","",SUMIFS('Raw data'!$AB$4:$AB$267,'Raw data'!$K$4:$K$267,"32 days",'Raw data'!$N$4:$N$267,'Chi square'!$A4)))</f>
        <v>11</v>
      </c>
      <c r="R4" s="291" t="str">
        <f>IF('39 days'!$B$1="","",IF($A4="","","DEAD"))</f>
        <v>DEAD</v>
      </c>
      <c r="S4" s="291">
        <f>IF(S$1="","",IF($A4="","",SUMIFS('Raw data'!$AB$4:$AB$267,'Raw data'!$K$4:$K$267,"39days",'Raw data'!$N$4:$N$267,'Chi square'!$A4)))</f>
        <v>0</v>
      </c>
      <c r="T4" s="23" t="str">
        <f>IF($A4="","","DEAD")</f>
        <v>DEAD</v>
      </c>
      <c r="U4" s="291">
        <f t="shared" si="1"/>
        <v>18</v>
      </c>
    </row>
    <row r="5" spans="1:21" ht="12.75" customHeight="1" x14ac:dyDescent="0.25">
      <c r="A5" s="23" t="str">
        <f>IF(Summary!B40="","",Summary!A40)</f>
        <v>T2</v>
      </c>
      <c r="B5" s="23" t="str">
        <f>IF('14 days'!$B$1="","",IF($A5="","","ALIVE"))</f>
        <v>ALIVE</v>
      </c>
      <c r="C5" s="354">
        <f>IF(C$1="","",IF($A5="","",((SUMIFS('Raw data'!$Y$4:$Y$267,'Raw data'!$K$4:$K$267,"14 days",'Raw data'!$N$4:$N$267,'Chi square'!$A5)))+(SUMIFS('Raw data'!$AB$4:$AB$267,'Raw data'!$K$4:$K$267,"14 days",'Raw data'!$N$4:$N$267,'Chi square'!$A5))+(SUMIFS('Raw data'!$AD$4:$AD$267,'Raw data'!$K$4:$K$267,"14 days",'Raw data'!$N$4:$N$267,'Chi square'!$A5))))</f>
        <v>433</v>
      </c>
      <c r="D5" s="23" t="str">
        <f>IF('23 days'!$B$1="","",IF($A5="","","ALIVE"))</f>
        <v>ALIVE</v>
      </c>
      <c r="E5" s="23">
        <f>IF(E$1="","",IF($A5="","",((SUMIFS('Raw data'!$Y$4:$Y$267,'Raw data'!$K$4:$K$267,"23 days",'Raw data'!$N$4:$N$267,'Chi square'!$A5)))+(SUMIFS('Raw data'!$AB$4:$AB$267,'Raw data'!$K$4:$K$267,"23 days",'Raw data'!$N$4:$N$267,'Chi square'!$A5))+(SUMIFS('Raw data'!$AD$4:$AD$267,'Raw data'!$K$4:$K$267,"23 days",'Raw data'!$N$4:$N$267,'Chi square'!$A5))))</f>
        <v>427</v>
      </c>
      <c r="F5" s="23" t="str">
        <f>IF('32 days'!$B$1="","",IF($A5="","","ALIVE"))</f>
        <v>ALIVE</v>
      </c>
      <c r="G5" s="23">
        <f>IF(G$1="","",IF($A5="","",((SUMIFS('Raw data'!$Y$4:$Y$267,'Raw data'!$K$4:$K$267,"32 days",'Raw data'!$N$4:$N$267,'Chi square'!$A5)))+(SUMIFS('Raw data'!$AB$4:$AB$267,'Raw data'!$K$4:$K$267,"32 days",'Raw data'!$N$4:$N$267,'Chi square'!$A5))+(SUMIFS('Raw data'!$AD$4:$AD$267,'Raw data'!$K$4:$K$267,"32 days",'Raw data'!$N$4:$N$267,'Chi square'!$A5))))</f>
        <v>424</v>
      </c>
      <c r="H5" s="23" t="str">
        <f>IF('39 days'!$B$1="","",IF($A5="","","ALIVE"))</f>
        <v>ALIVE</v>
      </c>
      <c r="I5" s="23">
        <f>IF(I$1="","",IF($A5="","",((SUMIFS('Raw data'!$Y$4:$Y$267,'Raw data'!$K$4:$K$267,"39 days",'Raw data'!$N$4:$N$267,'Chi square'!$A5)))+(SUMIFS('Raw data'!$AB$4:$AB$267,'Raw data'!$K$4:$K$267,"39 days",'Raw data'!$N$4:$N$267,'Chi square'!$A5))+(SUMIFS('Raw data'!$AD$4:$AD$267,'Raw data'!$K$4:$K$267,"39 days",'Raw data'!$N$4:$N$267,'Chi square'!$A5))))</f>
        <v>407</v>
      </c>
      <c r="J5" s="23" t="str">
        <f>IF($A5="","","ALIVE")</f>
        <v>ALIVE</v>
      </c>
      <c r="K5" s="23">
        <f>IF(K$1="","",IF($A5="","",((SUMIFS('Raw data'!$Y$4:$Y$267,'Raw data'!$K$4:$K$267,"39 days",'Raw data'!$N$4:$N$267,'Chi square'!$A5)))+(SUMIFS('Raw data'!$AB$4:$AB$267,'Raw data'!$K$4:$K$267,"39 days",'Raw data'!$N$4:$N$267,'Chi square'!$A5))+(SUMIFS('Raw data'!$AD$4:$AD$267,'Raw data'!$K$4:$K$267,"39 days",'Raw data'!$N$4:$N$267,'Chi square'!$A5))))</f>
        <v>407</v>
      </c>
      <c r="L5" s="291" t="str">
        <f>IF('14 days'!$B$1="","",IF($A5="","","ALIVE"))</f>
        <v>ALIVE</v>
      </c>
      <c r="M5" s="354">
        <f>IF(M$1="","",IF($A5="","",((SUMIFS('Raw data'!$Y$4:$Y$267,'Raw data'!$K$4:$K$267,"14 days",'Raw data'!$N$4:$N$267,'Chi square'!$A5)))+(SUMIFS('Raw data'!$Z$4:$Z$267,'Raw data'!$K$4:$K$267,"14 days",'Raw data'!$N$4:$N$267,'Chi square'!$A5))+(SUMIFS('Raw data'!$AD$4:$AD$267,'Raw data'!$K$4:$K$267,"14 days",'Raw data'!$N$4:$N$267,'Chi square'!$A5))))</f>
        <v>434</v>
      </c>
      <c r="N5" s="291" t="str">
        <f>IF('23 days'!$B$1="","",IF($A5="","","ALIVE"))</f>
        <v>ALIVE</v>
      </c>
      <c r="O5" s="291">
        <f>IF(O$1="","",IF($A5="","",((SUMIFS('Raw data'!$Y$4:$Y$267,'Raw data'!$K$4:$K$267,"23 days",'Raw data'!$N$4:$N$267,'Chi square'!$A5)))+(SUMIFS('Raw data'!$Z$4:$Z$267,'Raw data'!$K$4:$K$267,"23 days",'Raw data'!$N$4:$N$267,'Chi square'!$A5))+(SUMIFS('Raw data'!$AD$4:$AD$267,'Raw data'!$K$4:$K$267,"23 days",'Raw data'!$N$4:$N$267,'Chi square'!$A5))))</f>
        <v>426</v>
      </c>
      <c r="P5" s="291" t="str">
        <f>IF('32 days'!$B$1="","",IF($A5="","","ALIVE"))</f>
        <v>ALIVE</v>
      </c>
      <c r="Q5" s="291">
        <f>IF(Q$1="","",IF($A5="","",((SUMIFS('Raw data'!$Y$4:$Y$267,'Raw data'!$K$4:$K$267,"32 days",'Raw data'!$N$4:$N$267,'Chi square'!$A5)))+(SUMIFS('Raw data'!$Z$4:$Z$267,'Raw data'!$K$4:$K$267,"32 days",'Raw data'!$N$4:$N$267,'Chi square'!$A5))+(SUMIFS('Raw data'!$AD$4:$AD$267,'Raw data'!$K$4:$K$267,"32 days",'Raw data'!$N$4:$N$267,'Chi square'!$A5))))</f>
        <v>415</v>
      </c>
      <c r="R5" s="291" t="str">
        <f>IF('39 days'!$B$1="","",IF($A5="","","ALIVE"))</f>
        <v>ALIVE</v>
      </c>
      <c r="S5" s="291">
        <f>IF(S$1="","",IF($A5="","",((SUMIFS('Raw data'!$Y$4:$Y$267,'Raw data'!$K$4:$K$267,"39 days",'Raw data'!$N$4:$N$267,'Chi square'!$A5)))+(SUMIFS('Raw data'!$Z$4:$Z$267,'Raw data'!$K$4:$K$267,"39 days",'Raw data'!$N$4:$N$267,'Chi square'!$A5))+(SUMIFS('Raw data'!$AD$4:$AD$267,'Raw data'!$K$4:$K$267,"39 days",'Raw data'!$N$4:$N$267,'Chi square'!$A5))))</f>
        <v>413</v>
      </c>
      <c r="T5" s="23" t="str">
        <f>IF($A5="","","ALIVE")</f>
        <v>ALIVE</v>
      </c>
      <c r="U5" s="291">
        <f t="shared" si="1"/>
        <v>1688</v>
      </c>
    </row>
    <row r="6" spans="1:21" ht="12.75" customHeight="1" x14ac:dyDescent="0.25">
      <c r="A6" s="23" t="str">
        <f>IF(Summary!B41="","",Summary!A41)</f>
        <v>T3</v>
      </c>
      <c r="B6" s="23" t="str">
        <f>IF('14 days'!$B$1="","",IF($A6="","","DEAD"))</f>
        <v>DEAD</v>
      </c>
      <c r="C6" s="23">
        <f>IF(C$1="","",IF($A6="","",SUMIFS('Raw data'!$Z$4:$Z$267,'Raw data'!$K$4:$K$267,"14 days",'Raw data'!$N$4:$N$267,'Chi square'!$A6)))</f>
        <v>1</v>
      </c>
      <c r="D6" s="23" t="str">
        <f>IF('23 days'!$B$1="","",IF($A6="","","DEAD"))</f>
        <v>DEAD</v>
      </c>
      <c r="E6" s="23">
        <f>IF(E$1="","",IF($A6="","",SUMIFS('Raw data'!$Z$4:$Z$267,'Raw data'!$K$4:$K$267,"23 days",'Raw data'!$N$4:$N$267,'Chi square'!$A6)))</f>
        <v>2</v>
      </c>
      <c r="F6" s="23" t="str">
        <f>IF('32 days'!$B$1="","",IF($A6="","","DEAD"))</f>
        <v>DEAD</v>
      </c>
      <c r="G6" s="23">
        <f>IF(G$1="","",IF($A6="","",SUMIFS('Raw data'!$Z$4:$Z$267,'Raw data'!$K$4:$K$267,"32 days",'Raw data'!$N$4:$N$267,'Chi square'!$A6)))</f>
        <v>2</v>
      </c>
      <c r="H6" s="23" t="str">
        <f>IF('39 days'!$B$1="","",IF($A6="","","DEAD"))</f>
        <v>DEAD</v>
      </c>
      <c r="I6" s="23">
        <f>IF(I$1="","",IF($A6="","",SUMIFS('Raw data'!$Z$4:$Z$267,'Raw data'!$K$4:$K$267,"39 days",'Raw data'!$N$4:$N$267,'Chi square'!$A6)))</f>
        <v>4</v>
      </c>
      <c r="J6" s="23" t="str">
        <f>IF($A6="","","DEAD")</f>
        <v>DEAD</v>
      </c>
      <c r="K6" s="23">
        <f t="shared" si="0"/>
        <v>9</v>
      </c>
      <c r="L6" s="291" t="str">
        <f>IF('14 days'!$B$1="","",IF($A6="","","DEAD"))</f>
        <v>DEAD</v>
      </c>
      <c r="M6" s="291">
        <f>IF(M$1="","",IF($A6="","",SUMIFS('Raw data'!$AB$4:$AB$267,'Raw data'!$K$4:$K$267,"14 days",'Raw data'!$N$4:$N$267,'Chi square'!$A6)))</f>
        <v>9</v>
      </c>
      <c r="N6" s="291" t="str">
        <f>IF('23 days'!$B$1="","",IF($A6="","","DEAD"))</f>
        <v>DEAD</v>
      </c>
      <c r="O6" s="291">
        <f>IF(O$1="","",IF($A6="","",SUMIFS('Raw data'!$AB$4:$AB$267,'Raw data'!$K$4:$K$267,"23 days",'Raw data'!$N$4:$N$267,'Chi square'!$A6)))</f>
        <v>2</v>
      </c>
      <c r="P6" s="291" t="str">
        <f>IF('32 days'!$B$1="","",IF($A6="","","DEAD"))</f>
        <v>DEAD</v>
      </c>
      <c r="Q6" s="291">
        <f>IF(Q$1="","",IF($A6="","",SUMIFS('Raw data'!$AB$4:$AB$267,'Raw data'!$K$4:$K$267,"32 days",'Raw data'!$N$4:$N$267,'Chi square'!$A6)))</f>
        <v>0</v>
      </c>
      <c r="R6" s="291" t="str">
        <f>IF('39 days'!$B$1="","",IF($A6="","","DEAD"))</f>
        <v>DEAD</v>
      </c>
      <c r="S6" s="291">
        <f>IF(S$1="","",IF($A6="","",SUMIFS('Raw data'!$AB$4:$AB$267,'Raw data'!$K$4:$K$267,"39days",'Raw data'!$N$4:$N$267,'Chi square'!$A6)))</f>
        <v>0</v>
      </c>
      <c r="T6" s="23" t="str">
        <f>IF($A6="","","DEAD")</f>
        <v>DEAD</v>
      </c>
      <c r="U6" s="291">
        <f t="shared" si="1"/>
        <v>11</v>
      </c>
    </row>
    <row r="7" spans="1:21" ht="12.75" customHeight="1" x14ac:dyDescent="0.25">
      <c r="A7" s="23" t="str">
        <f>IF(Summary!B41="","",Summary!A41)</f>
        <v>T3</v>
      </c>
      <c r="B7" s="23" t="str">
        <f>IF('14 days'!$B$1="","",IF($A7="","","ALIVE"))</f>
        <v>ALIVE</v>
      </c>
      <c r="C7" s="354">
        <f>IF(C$1="","",IF($A7="","",((SUMIFS('Raw data'!$Y$4:$Y$267,'Raw data'!$K$4:$K$267,"14 days",'Raw data'!$N$4:$N$267,'Chi square'!$A7)))+(SUMIFS('Raw data'!$AB$4:$AB$267,'Raw data'!$K$4:$K$267,"14 days",'Raw data'!$N$4:$N$267,'Chi square'!$A7))+(SUMIFS('Raw data'!$AD$4:$AD$267,'Raw data'!$K$4:$K$267,"14 days",'Raw data'!$N$4:$N$267,'Chi square'!$A7))))</f>
        <v>439</v>
      </c>
      <c r="D7" s="23" t="str">
        <f>IF('23 days'!$B$1="","",IF($A7="","","ALIVE"))</f>
        <v>ALIVE</v>
      </c>
      <c r="E7" s="23">
        <f>IF(E$1="","",IF($A7="","",((SUMIFS('Raw data'!$Y$4:$Y$267,'Raw data'!$K$4:$K$267,"23 days",'Raw data'!$N$4:$N$267,'Chi square'!$A7)))+(SUMIFS('Raw data'!$AB$4:$AB$267,'Raw data'!$K$4:$K$267,"23 days",'Raw data'!$N$4:$N$267,'Chi square'!$A7))+(SUMIFS('Raw data'!$AD$4:$AD$267,'Raw data'!$K$4:$K$267,"23 days",'Raw data'!$N$4:$N$267,'Chi square'!$A7))))</f>
        <v>428</v>
      </c>
      <c r="F7" s="23" t="str">
        <f>IF('32 days'!$B$1="","",IF($A7="","","ALIVE"))</f>
        <v>ALIVE</v>
      </c>
      <c r="G7" s="23">
        <f>IF(G$1="","",IF($A7="","",((SUMIFS('Raw data'!$Y$4:$Y$267,'Raw data'!$K$4:$K$267,"32 days",'Raw data'!$N$4:$N$267,'Chi square'!$A7)))+(SUMIFS('Raw data'!$AB$4:$AB$267,'Raw data'!$K$4:$K$267,"32 days",'Raw data'!$N$4:$N$267,'Chi square'!$A7))+(SUMIFS('Raw data'!$AD$4:$AD$267,'Raw data'!$K$4:$K$267,"32 days",'Raw data'!$N$4:$N$267,'Chi square'!$A7))))</f>
        <v>424</v>
      </c>
      <c r="H7" s="23" t="str">
        <f>IF('39 days'!$B$1="","",IF($A7="","","ALIVE"))</f>
        <v>ALIVE</v>
      </c>
      <c r="I7" s="23">
        <f>IF(I$1="","",IF($A7="","",((SUMIFS('Raw data'!$Y$4:$Y$267,'Raw data'!$K$4:$K$267,"39 days",'Raw data'!$N$4:$N$267,'Chi square'!$A7)))+(SUMIFS('Raw data'!$AB$4:$AB$267,'Raw data'!$K$4:$K$267,"39 days",'Raw data'!$N$4:$N$267,'Chi square'!$A7))+(SUMIFS('Raw data'!$AD$4:$AD$267,'Raw data'!$K$4:$K$267,"39 days",'Raw data'!$N$4:$N$267,'Chi square'!$A7))))</f>
        <v>420</v>
      </c>
      <c r="J7" s="23" t="str">
        <f>IF($A7="","","ALIVE")</f>
        <v>ALIVE</v>
      </c>
      <c r="K7" s="23">
        <f>IF(K$1="","",IF($A7="","",((SUMIFS('Raw data'!$Y$4:$Y$267,'Raw data'!$K$4:$K$267,"39 days",'Raw data'!$N$4:$N$267,'Chi square'!$A7)))+(SUMIFS('Raw data'!$AB$4:$AB$267,'Raw data'!$K$4:$K$267,"39 days",'Raw data'!$N$4:$N$267,'Chi square'!$A7))+(SUMIFS('Raw data'!$AD$4:$AD$267,'Raw data'!$K$4:$K$267,"39 days",'Raw data'!$N$4:$N$267,'Chi square'!$A7))))</f>
        <v>420</v>
      </c>
      <c r="L7" s="291" t="str">
        <f>IF('14 days'!$B$1="","",IF($A7="","","ALIVE"))</f>
        <v>ALIVE</v>
      </c>
      <c r="M7" s="291">
        <f>IF(M$1="","",IF($A7="","",((SUMIFS('Raw data'!$Y$4:$Y$267,'Raw data'!$K$4:$K$267,"14 days",'Raw data'!$N$4:$N$267,'Chi square'!$A7)))+(SUMIFS('Raw data'!$Z$4:$Z$267,'Raw data'!$K$4:$K$267,"14 days",'Raw data'!$N$4:$N$267,'Chi square'!$A7))+(SUMIFS('Raw data'!$AD$4:$AD$267,'Raw data'!$K$4:$K$267,"14 days",'Raw data'!$N$4:$N$267,'Chi square'!$A7))))</f>
        <v>431</v>
      </c>
      <c r="N7" s="291" t="str">
        <f>IF('23 days'!$B$1="","",IF($A7="","","ALIVE"))</f>
        <v>ALIVE</v>
      </c>
      <c r="O7" s="291">
        <f>IF(O$1="","",IF($A7="","",((SUMIFS('Raw data'!$Y$4:$Y$267,'Raw data'!$K$4:$K$267,"23 days",'Raw data'!$N$4:$N$267,'Chi square'!$A7)))+(SUMIFS('Raw data'!$Z$4:$Z$267,'Raw data'!$K$4:$K$267,"23 days",'Raw data'!$N$4:$N$267,'Chi square'!$A7))+(SUMIFS('Raw data'!$AD$4:$AD$267,'Raw data'!$K$4:$K$267,"23 days",'Raw data'!$N$4:$N$267,'Chi square'!$A7))))</f>
        <v>428</v>
      </c>
      <c r="P7" s="291" t="str">
        <f>IF('32 days'!$B$1="","",IF($A7="","","ALIVE"))</f>
        <v>ALIVE</v>
      </c>
      <c r="Q7" s="291">
        <f>IF(Q$1="","",IF($A7="","",((SUMIFS('Raw data'!$Y$4:$Y$267,'Raw data'!$K$4:$K$267,"32 days",'Raw data'!$N$4:$N$267,'Chi square'!$A7)))+(SUMIFS('Raw data'!$Z$4:$Z$267,'Raw data'!$K$4:$K$267,"32 days",'Raw data'!$N$4:$N$267,'Chi square'!$A7))+(SUMIFS('Raw data'!$AD$4:$AD$267,'Raw data'!$K$4:$K$267,"32 days",'Raw data'!$N$4:$N$267,'Chi square'!$A7))))</f>
        <v>426</v>
      </c>
      <c r="R7" s="291" t="str">
        <f>IF('39 days'!$B$1="","",IF($A7="","","ALIVE"))</f>
        <v>ALIVE</v>
      </c>
      <c r="S7" s="291">
        <f>IF(S$1="","",IF($A7="","",((SUMIFS('Raw data'!$Y$4:$Y$267,'Raw data'!$K$4:$K$267,"39 days",'Raw data'!$N$4:$N$267,'Chi square'!$A7)))+(SUMIFS('Raw data'!$Z$4:$Z$267,'Raw data'!$K$4:$K$267,"39 days",'Raw data'!$N$4:$N$267,'Chi square'!$A7))+(SUMIFS('Raw data'!$AD$4:$AD$267,'Raw data'!$K$4:$K$267,"39 days",'Raw data'!$N$4:$N$267,'Chi square'!$A7))))</f>
        <v>424</v>
      </c>
      <c r="T7" s="23" t="str">
        <f>IF($A7="","","ALIVE")</f>
        <v>ALIVE</v>
      </c>
      <c r="U7" s="291">
        <f t="shared" si="1"/>
        <v>1709</v>
      </c>
    </row>
    <row r="8" spans="1:21" ht="12.75" customHeight="1" x14ac:dyDescent="0.25">
      <c r="A8" s="23" t="str">
        <f>IF(Summary!B42="","",Summary!A42)</f>
        <v>T4</v>
      </c>
      <c r="B8" s="23" t="str">
        <f>IF('14 days'!$B$1="","",IF($A8="","","DEAD"))</f>
        <v>DEAD</v>
      </c>
      <c r="C8" s="23">
        <f>IF(C$1="","",IF($A8="","",SUMIFS('Raw data'!$Z$4:$Z$267,'Raw data'!$K$4:$K$267,"14 days",'Raw data'!$N$4:$N$267,'Chi square'!$A8)))</f>
        <v>3</v>
      </c>
      <c r="D8" s="23" t="str">
        <f>IF('23 days'!$B$1="","",IF($A8="","","DEAD"))</f>
        <v>DEAD</v>
      </c>
      <c r="E8" s="23">
        <f>IF(E$1="","",IF($A8="","",SUMIFS('Raw data'!$Z$4:$Z$267,'Raw data'!$K$4:$K$267,"23 days",'Raw data'!$N$4:$N$267,'Chi square'!$A8)))</f>
        <v>1</v>
      </c>
      <c r="F8" s="23" t="str">
        <f>IF('32 days'!$B$1="","",IF($A8="","","DEAD"))</f>
        <v>DEAD</v>
      </c>
      <c r="G8" s="23">
        <f>IF(G$1="","",IF($A8="","",SUMIFS('Raw data'!$Z$4:$Z$267,'Raw data'!$K$4:$K$267,"32 days",'Raw data'!$N$4:$N$267,'Chi square'!$A8)))</f>
        <v>3</v>
      </c>
      <c r="H8" s="23" t="str">
        <f>IF('39 days'!$B$1="","",IF($A8="","","DEAD"))</f>
        <v>DEAD</v>
      </c>
      <c r="I8" s="23">
        <f>IF(I$1="","",IF($A8="","",SUMIFS('Raw data'!$Z$4:$Z$267,'Raw data'!$K$4:$K$267,"39 days",'Raw data'!$N$4:$N$267,'Chi square'!$A8)))</f>
        <v>4</v>
      </c>
      <c r="J8" s="23" t="str">
        <f>IF($A8="","","DEAD")</f>
        <v>DEAD</v>
      </c>
      <c r="K8" s="23">
        <f t="shared" si="0"/>
        <v>11</v>
      </c>
      <c r="L8" s="291" t="str">
        <f>IF('14 days'!$B$1="","",IF($A8="","","DEAD"))</f>
        <v>DEAD</v>
      </c>
      <c r="M8" s="291">
        <f>IF(M$1="","",IF($A8="","",SUMIFS('Raw data'!$AB$4:$AB$267,'Raw data'!$K$4:$K$267,"14 days",'Raw data'!$N$4:$N$267,'Chi square'!$A8)))</f>
        <v>13</v>
      </c>
      <c r="N8" s="291" t="str">
        <f>IF('23 days'!$B$1="","",IF($A8="","","DEAD"))</f>
        <v>DEAD</v>
      </c>
      <c r="O8" s="291">
        <f>IF(O$1="","",IF($A8="","",SUMIFS('Raw data'!$AB$4:$AB$267,'Raw data'!$K$4:$K$267,"23 days",'Raw data'!$N$4:$N$267,'Chi square'!$A8)))</f>
        <v>3</v>
      </c>
      <c r="P8" s="291" t="str">
        <f>IF('32 days'!$B$1="","",IF($A8="","","DEAD"))</f>
        <v>DEAD</v>
      </c>
      <c r="Q8" s="291">
        <f>IF(Q$1="","",IF($A8="","",SUMIFS('Raw data'!$AB$4:$AB$267,'Raw data'!$K$4:$K$267,"32 days",'Raw data'!$N$4:$N$267,'Chi square'!$A8)))</f>
        <v>10</v>
      </c>
      <c r="R8" s="291" t="str">
        <f>IF('39 days'!$B$1="","",IF($A8="","","DEAD"))</f>
        <v>DEAD</v>
      </c>
      <c r="S8" s="291">
        <f>IF(S$1="","",IF($A8="","",SUMIFS('Raw data'!$AB$4:$AB$267,'Raw data'!$K$4:$K$267,"39days",'Raw data'!$N$4:$N$267,'Chi square'!$A8)))</f>
        <v>0</v>
      </c>
      <c r="T8" s="23" t="str">
        <f>IF($A8="","","DEAD")</f>
        <v>DEAD</v>
      </c>
      <c r="U8" s="291">
        <f t="shared" si="1"/>
        <v>26</v>
      </c>
    </row>
    <row r="9" spans="1:21" ht="12.75" customHeight="1" x14ac:dyDescent="0.25">
      <c r="A9" s="23" t="str">
        <f>IF(Summary!B42="","",Summary!A42)</f>
        <v>T4</v>
      </c>
      <c r="B9" s="23" t="str">
        <f>IF('14 days'!$B$1="","",IF($A9="","","ALIVE"))</f>
        <v>ALIVE</v>
      </c>
      <c r="C9" s="354">
        <f>IF(C$1="","",IF($A9="","",((SUMIFS('Raw data'!$Y$4:$Y$267,'Raw data'!$K$4:$K$267,"14 days",'Raw data'!$N$4:$N$267,'Chi square'!$A9)))+(SUMIFS('Raw data'!$AB$4:$AB$267,'Raw data'!$K$4:$K$267,"14 days",'Raw data'!$N$4:$N$267,'Chi square'!$A9))+(SUMIFS('Raw data'!$AD$4:$AD$267,'Raw data'!$K$4:$K$267,"14 days",'Raw data'!$N$4:$N$267,'Chi square'!$A9))))</f>
        <v>437</v>
      </c>
      <c r="D9" s="23" t="str">
        <f>IF('23 days'!$B$1="","",IF($A9="","","ALIVE"))</f>
        <v>ALIVE</v>
      </c>
      <c r="E9" s="23">
        <f>IF(E$1="","",IF($A9="","",((SUMIFS('Raw data'!$Y$4:$Y$267,'Raw data'!$K$4:$K$267,"23 days",'Raw data'!$N$4:$N$267,'Chi square'!$A9)))+(SUMIFS('Raw data'!$AB$4:$AB$267,'Raw data'!$K$4:$K$267,"23 days",'Raw data'!$N$4:$N$267,'Chi square'!$A9))+(SUMIFS('Raw data'!$AD$4:$AD$267,'Raw data'!$K$4:$K$267,"23 days",'Raw data'!$N$4:$N$267,'Chi square'!$A9))))</f>
        <v>423</v>
      </c>
      <c r="F9" s="23" t="str">
        <f>IF('32 days'!$B$1="","",IF($A9="","","ALIVE"))</f>
        <v>ALIVE</v>
      </c>
      <c r="G9" s="23">
        <f>IF(G$1="","",IF($A9="","",((SUMIFS('Raw data'!$Y$4:$Y$267,'Raw data'!$K$4:$K$267,"32 days",'Raw data'!$N$4:$N$267,'Chi square'!$A9)))+(SUMIFS('Raw data'!$AB$4:$AB$267,'Raw data'!$K$4:$K$267,"32 days",'Raw data'!$N$4:$N$267,'Chi square'!$A9))+(SUMIFS('Raw data'!$AD$4:$AD$267,'Raw data'!$K$4:$K$267,"32 days",'Raw data'!$N$4:$N$267,'Chi square'!$A9))))</f>
        <v>417</v>
      </c>
      <c r="H9" s="23" t="str">
        <f>IF('39 days'!$B$1="","",IF($A9="","","ALIVE"))</f>
        <v>ALIVE</v>
      </c>
      <c r="I9" s="23">
        <f>IF(I$1="","",IF($A9="","",((SUMIFS('Raw data'!$Y$4:$Y$267,'Raw data'!$K$4:$K$267,"39 days",'Raw data'!$N$4:$N$267,'Chi square'!$A9)))+(SUMIFS('Raw data'!$AB$4:$AB$267,'Raw data'!$K$4:$K$267,"39 days",'Raw data'!$N$4:$N$267,'Chi square'!$A9))+(SUMIFS('Raw data'!$AD$4:$AD$267,'Raw data'!$K$4:$K$267,"39 days",'Raw data'!$N$4:$N$267,'Chi square'!$A9))))</f>
        <v>403</v>
      </c>
      <c r="J9" s="23" t="str">
        <f>IF($A9="","","ALIVE")</f>
        <v>ALIVE</v>
      </c>
      <c r="K9" s="23">
        <f>IF(K$1="","",IF($A9="","",((SUMIFS('Raw data'!$Y$4:$Y$267,'Raw data'!$K$4:$K$267,"39 days",'Raw data'!$N$4:$N$267,'Chi square'!$A9)))+(SUMIFS('Raw data'!$AB$4:$AB$267,'Raw data'!$K$4:$K$267,"39 days",'Raw data'!$N$4:$N$267,'Chi square'!$A9))+(SUMIFS('Raw data'!$AD$4:$AD$267,'Raw data'!$K$4:$K$267,"39 days",'Raw data'!$N$4:$N$267,'Chi square'!$A9))))</f>
        <v>403</v>
      </c>
      <c r="L9" s="291" t="str">
        <f>IF('14 days'!$B$1="","",IF($A9="","","ALIVE"))</f>
        <v>ALIVE</v>
      </c>
      <c r="M9" s="291">
        <f>IF(M$1="","",IF($A9="","",((SUMIFS('Raw data'!$Y$4:$Y$267,'Raw data'!$K$4:$K$267,"14 days",'Raw data'!$N$4:$N$267,'Chi square'!$A9)))+(SUMIFS('Raw data'!$Z$4:$Z$267,'Raw data'!$K$4:$K$267,"14 days",'Raw data'!$N$4:$N$267,'Chi square'!$A9))+(SUMIFS('Raw data'!$AD$4:$AD$267,'Raw data'!$K$4:$K$267,"14 days",'Raw data'!$N$4:$N$267,'Chi square'!$A9))))</f>
        <v>427</v>
      </c>
      <c r="N9" s="291" t="str">
        <f>IF('23 days'!$B$1="","",IF($A9="","","ALIVE"))</f>
        <v>ALIVE</v>
      </c>
      <c r="O9" s="291">
        <f>IF(O$1="","",IF($A9="","",((SUMIFS('Raw data'!$Y$4:$Y$267,'Raw data'!$K$4:$K$267,"23 days",'Raw data'!$N$4:$N$267,'Chi square'!$A9)))+(SUMIFS('Raw data'!$Z$4:$Z$267,'Raw data'!$K$4:$K$267,"23 days",'Raw data'!$N$4:$N$267,'Chi square'!$A9))+(SUMIFS('Raw data'!$AD$4:$AD$267,'Raw data'!$K$4:$K$267,"23 days",'Raw data'!$N$4:$N$267,'Chi square'!$A9))))</f>
        <v>421</v>
      </c>
      <c r="P9" s="291" t="str">
        <f>IF('32 days'!$B$1="","",IF($A9="","","ALIVE"))</f>
        <v>ALIVE</v>
      </c>
      <c r="Q9" s="291">
        <f>IF(Q$1="","",IF($A9="","",((SUMIFS('Raw data'!$Y$4:$Y$267,'Raw data'!$K$4:$K$267,"32 days",'Raw data'!$N$4:$N$267,'Chi square'!$A9)))+(SUMIFS('Raw data'!$Z$4:$Z$267,'Raw data'!$K$4:$K$267,"32 days",'Raw data'!$N$4:$N$267,'Chi square'!$A9))+(SUMIFS('Raw data'!$AD$4:$AD$267,'Raw data'!$K$4:$K$267,"32 days",'Raw data'!$N$4:$N$267,'Chi square'!$A9))))</f>
        <v>410</v>
      </c>
      <c r="R9" s="291" t="str">
        <f>IF('39 days'!$B$1="","",IF($A9="","","ALIVE"))</f>
        <v>ALIVE</v>
      </c>
      <c r="S9" s="291">
        <f>IF(S$1="","",IF($A9="","",((SUMIFS('Raw data'!$Y$4:$Y$267,'Raw data'!$K$4:$K$267,"39 days",'Raw data'!$N$4:$N$267,'Chi square'!$A9)))+(SUMIFS('Raw data'!$Z$4:$Z$267,'Raw data'!$K$4:$K$267,"39 days",'Raw data'!$N$4:$N$267,'Chi square'!$A9))+(SUMIFS('Raw data'!$AD$4:$AD$267,'Raw data'!$K$4:$K$267,"39 days",'Raw data'!$N$4:$N$267,'Chi square'!$A9))))</f>
        <v>407</v>
      </c>
      <c r="T9" s="23" t="str">
        <f>IF($A9="","","ALIVE")</f>
        <v>ALIVE</v>
      </c>
      <c r="U9" s="291">
        <f t="shared" si="1"/>
        <v>1665</v>
      </c>
    </row>
    <row r="10" spans="1:21" ht="12.75" customHeight="1" x14ac:dyDescent="0.25">
      <c r="A10" s="23" t="str">
        <f>IF(Summary!B43="","",Summary!A43)</f>
        <v>T5</v>
      </c>
      <c r="B10" s="23" t="str">
        <f>IF('14 days'!$B$1="","",IF($A10="","","DEAD"))</f>
        <v>DEAD</v>
      </c>
      <c r="C10" s="23">
        <f>IF(C$1="","",IF($A10="","",SUMIFS('Raw data'!$Z$4:$Z$267,'Raw data'!$K$4:$K$267,"14 days",'Raw data'!$N$4:$N$267,'Chi square'!$A10)))</f>
        <v>5</v>
      </c>
      <c r="D10" s="23" t="str">
        <f>IF('23 days'!$B$1="","",IF($A10="","","DEAD"))</f>
        <v>DEAD</v>
      </c>
      <c r="E10" s="23">
        <f>IF(E$1="","",IF($A10="","",SUMIFS('Raw data'!$Z$4:$Z$267,'Raw data'!$K$4:$K$267,"23 days",'Raw data'!$N$4:$N$267,'Chi square'!$A10)))</f>
        <v>1</v>
      </c>
      <c r="F10" s="23" t="str">
        <f>IF('32 days'!$B$1="","",IF($A10="","","DEAD"))</f>
        <v>DEAD</v>
      </c>
      <c r="G10" s="23">
        <f>IF(G$1="","",IF($A10="","",SUMIFS('Raw data'!$Z$4:$Z$267,'Raw data'!$K$4:$K$267,"32 days",'Raw data'!$N$4:$N$267,'Chi square'!$A10)))</f>
        <v>3</v>
      </c>
      <c r="H10" s="23" t="str">
        <f>IF('39 days'!$B$1="","",IF($A10="","","DEAD"))</f>
        <v>DEAD</v>
      </c>
      <c r="I10" s="23">
        <f>IF(I$1="","",IF($A10="","",SUMIFS('Raw data'!$Z$4:$Z$267,'Raw data'!$K$4:$K$267,"39 days",'Raw data'!$N$4:$N$267,'Chi square'!$A10)))</f>
        <v>6</v>
      </c>
      <c r="J10" s="23" t="str">
        <f>IF($A10="","","DEAD")</f>
        <v>DEAD</v>
      </c>
      <c r="K10" s="23">
        <f t="shared" si="0"/>
        <v>15</v>
      </c>
      <c r="L10" s="291" t="str">
        <f>IF('14 days'!$B$1="","",IF($A10="","","DEAD"))</f>
        <v>DEAD</v>
      </c>
      <c r="M10" s="291">
        <f>IF(M$1="","",IF($A10="","",SUMIFS('Raw data'!$AB$4:$AB$267,'Raw data'!$K$4:$K$267,"14 days",'Raw data'!$N$4:$N$267,'Chi square'!$A10)))</f>
        <v>6</v>
      </c>
      <c r="N10" s="291" t="str">
        <f>IF('23 days'!$B$1="","",IF($A10="","","DEAD"))</f>
        <v>DEAD</v>
      </c>
      <c r="O10" s="291">
        <f>IF(O$1="","",IF($A10="","",SUMIFS('Raw data'!$AB$4:$AB$267,'Raw data'!$K$4:$K$267,"23 days",'Raw data'!$N$4:$N$267,'Chi square'!$A10)))</f>
        <v>1</v>
      </c>
      <c r="P10" s="291" t="str">
        <f>IF('32 days'!$B$1="","",IF($A10="","","DEAD"))</f>
        <v>DEAD</v>
      </c>
      <c r="Q10" s="291">
        <f>IF(Q$1="","",IF($A10="","",SUMIFS('Raw data'!$AB$4:$AB$267,'Raw data'!$K$4:$K$267,"32 days",'Raw data'!$N$4:$N$267,'Chi square'!$A10)))</f>
        <v>1</v>
      </c>
      <c r="R10" s="291" t="str">
        <f>IF('39 days'!$B$1="","",IF($A10="","","DEAD"))</f>
        <v>DEAD</v>
      </c>
      <c r="S10" s="291">
        <f>IF(S$1="","",IF($A10="","",SUMIFS('Raw data'!$AB$4:$AB$267,'Raw data'!$K$4:$K$267,"39days",'Raw data'!$N$4:$N$267,'Chi square'!$A10)))</f>
        <v>0</v>
      </c>
      <c r="T10" s="23" t="str">
        <f>IF($A10="","","DEAD")</f>
        <v>DEAD</v>
      </c>
      <c r="U10" s="291">
        <f t="shared" si="1"/>
        <v>8</v>
      </c>
    </row>
    <row r="11" spans="1:21" ht="12.75" customHeight="1" x14ac:dyDescent="0.25">
      <c r="A11" s="23" t="str">
        <f>IF(Summary!B43="","",Summary!A43)</f>
        <v>T5</v>
      </c>
      <c r="B11" s="23" t="str">
        <f>IF('14 days'!$B$1="","",IF($A11="","","ALIVE"))</f>
        <v>ALIVE</v>
      </c>
      <c r="C11" s="354">
        <f>IF(C$1="","",IF($A11="","",((SUMIFS('Raw data'!$Y$4:$Y$267,'Raw data'!$K$4:$K$267,"14 days",'Raw data'!$N$4:$N$267,'Chi square'!$A11)))+(SUMIFS('Raw data'!$AB$4:$AB$267,'Raw data'!$K$4:$K$267,"14 days",'Raw data'!$N$4:$N$267,'Chi square'!$A11))+(SUMIFS('Raw data'!$AD$4:$AD$267,'Raw data'!$K$4:$K$267,"14 days",'Raw data'!$N$4:$N$267,'Chi square'!$A11))))</f>
        <v>435</v>
      </c>
      <c r="D11" s="23" t="str">
        <f>IF('23 days'!$B$1="","",IF($A11="","","ALIVE"))</f>
        <v>ALIVE</v>
      </c>
      <c r="E11" s="23">
        <f>IF(E$1="","",IF($A11="","",((SUMIFS('Raw data'!$Y$4:$Y$267,'Raw data'!$K$4:$K$267,"23 days",'Raw data'!$N$4:$N$267,'Chi square'!$A11)))+(SUMIFS('Raw data'!$AB$4:$AB$267,'Raw data'!$K$4:$K$267,"23 days",'Raw data'!$N$4:$N$267,'Chi square'!$A11))+(SUMIFS('Raw data'!$AD$4:$AD$267,'Raw data'!$K$4:$K$267,"23 days",'Raw data'!$N$4:$N$267,'Chi square'!$A11))))</f>
        <v>428</v>
      </c>
      <c r="F11" s="23" t="str">
        <f>IF('32 days'!$B$1="","",IF($A11="","","ALIVE"))</f>
        <v>ALIVE</v>
      </c>
      <c r="G11" s="23">
        <f>IF(G$1="","",IF($A11="","",((SUMIFS('Raw data'!$Y$4:$Y$267,'Raw data'!$K$4:$K$267,"32 days",'Raw data'!$N$4:$N$267,'Chi square'!$A11)))+(SUMIFS('Raw data'!$AB$4:$AB$267,'Raw data'!$K$4:$K$267,"32 days",'Raw data'!$N$4:$N$267,'Chi square'!$A11))+(SUMIFS('Raw data'!$AD$4:$AD$267,'Raw data'!$K$4:$K$267,"32 days",'Raw data'!$N$4:$N$267,'Chi square'!$A11))))</f>
        <v>424</v>
      </c>
      <c r="H11" s="23" t="str">
        <f>IF('39 days'!$B$1="","",IF($A11="","","ALIVE"))</f>
        <v>ALIVE</v>
      </c>
      <c r="I11" s="23">
        <f>IF(I$1="","",IF($A11="","",((SUMIFS('Raw data'!$Y$4:$Y$267,'Raw data'!$K$4:$K$267,"39 days",'Raw data'!$N$4:$N$267,'Chi square'!$A11)))+(SUMIFS('Raw data'!$AB$4:$AB$267,'Raw data'!$K$4:$K$267,"39 days",'Raw data'!$N$4:$N$267,'Chi square'!$A11))+(SUMIFS('Raw data'!$AD$4:$AD$267,'Raw data'!$K$4:$K$267,"39 days",'Raw data'!$N$4:$N$267,'Chi square'!$A11))))</f>
        <v>417</v>
      </c>
      <c r="J11" s="23" t="str">
        <f>IF($A11="","","ALIVE")</f>
        <v>ALIVE</v>
      </c>
      <c r="K11" s="23">
        <f>IF(K$1="","",IF($A11="","",((SUMIFS('Raw data'!$Y$4:$Y$267,'Raw data'!$K$4:$K$267,"39 days",'Raw data'!$N$4:$N$267,'Chi square'!$A11)))+(SUMIFS('Raw data'!$AB$4:$AB$267,'Raw data'!$K$4:$K$267,"39 days",'Raw data'!$N$4:$N$267,'Chi square'!$A11))+(SUMIFS('Raw data'!$AD$4:$AD$267,'Raw data'!$K$4:$K$267,"39 days",'Raw data'!$N$4:$N$267,'Chi square'!$A11))))</f>
        <v>417</v>
      </c>
      <c r="L11" s="291" t="str">
        <f>IF('14 days'!$B$1="","",IF($A11="","","ALIVE"))</f>
        <v>ALIVE</v>
      </c>
      <c r="M11" s="291">
        <f>IF(M$1="","",IF($A11="","",((SUMIFS('Raw data'!$Y$4:$Y$267,'Raw data'!$K$4:$K$267,"14 days",'Raw data'!$N$4:$N$267,'Chi square'!$A11)))+(SUMIFS('Raw data'!$Z$4:$Z$267,'Raw data'!$K$4:$K$267,"14 days",'Raw data'!$N$4:$N$267,'Chi square'!$A11))+(SUMIFS('Raw data'!$AD$4:$AD$267,'Raw data'!$K$4:$K$267,"14 days",'Raw data'!$N$4:$N$267,'Chi square'!$A11))))</f>
        <v>434</v>
      </c>
      <c r="N11" s="291" t="str">
        <f>IF('23 days'!$B$1="","",IF($A11="","","ALIVE"))</f>
        <v>ALIVE</v>
      </c>
      <c r="O11" s="291">
        <f>IF(O$1="","",IF($A11="","",((SUMIFS('Raw data'!$Y$4:$Y$267,'Raw data'!$K$4:$K$267,"23 days",'Raw data'!$N$4:$N$267,'Chi square'!$A11)))+(SUMIFS('Raw data'!$Z$4:$Z$267,'Raw data'!$K$4:$K$267,"23 days",'Raw data'!$N$4:$N$267,'Chi square'!$A11))+(SUMIFS('Raw data'!$AD$4:$AD$267,'Raw data'!$K$4:$K$267,"23 days",'Raw data'!$N$4:$N$267,'Chi square'!$A11))))</f>
        <v>428</v>
      </c>
      <c r="P11" s="291" t="str">
        <f>IF('32 days'!$B$1="","",IF($A11="","","ALIVE"))</f>
        <v>ALIVE</v>
      </c>
      <c r="Q11" s="291">
        <f>IF(Q$1="","",IF($A11="","",((SUMIFS('Raw data'!$Y$4:$Y$267,'Raw data'!$K$4:$K$267,"32 days",'Raw data'!$N$4:$N$267,'Chi square'!$A11)))+(SUMIFS('Raw data'!$Z$4:$Z$267,'Raw data'!$K$4:$K$267,"32 days",'Raw data'!$N$4:$N$267,'Chi square'!$A11))+(SUMIFS('Raw data'!$AD$4:$AD$267,'Raw data'!$K$4:$K$267,"32 days",'Raw data'!$N$4:$N$267,'Chi square'!$A11))))</f>
        <v>426</v>
      </c>
      <c r="R11" s="291" t="str">
        <f>IF('39 days'!$B$1="","",IF($A11="","","ALIVE"))</f>
        <v>ALIVE</v>
      </c>
      <c r="S11" s="291">
        <f>IF(S$1="","",IF($A11="","",((SUMIFS('Raw data'!$Y$4:$Y$267,'Raw data'!$K$4:$K$267,"39 days",'Raw data'!$N$4:$N$267,'Chi square'!$A11)))+(SUMIFS('Raw data'!$Z$4:$Z$267,'Raw data'!$K$4:$K$267,"39 days",'Raw data'!$N$4:$N$267,'Chi square'!$A11))+(SUMIFS('Raw data'!$AD$4:$AD$267,'Raw data'!$K$4:$K$267,"39 days",'Raw data'!$N$4:$N$267,'Chi square'!$A11))))</f>
        <v>423</v>
      </c>
      <c r="T11" s="23" t="str">
        <f>IF($A11="","","ALIVE")</f>
        <v>ALIVE</v>
      </c>
      <c r="U11" s="291">
        <f t="shared" si="1"/>
        <v>1711</v>
      </c>
    </row>
    <row r="12" spans="1:21" ht="12.75" customHeight="1" x14ac:dyDescent="0.25">
      <c r="A12" s="23" t="str">
        <f>IF(Summary!B44="","",Summary!A44)</f>
        <v>T6</v>
      </c>
      <c r="B12" s="23" t="str">
        <f>IF('14 days'!$B$1="","",IF($A12="","","DEAD"))</f>
        <v>DEAD</v>
      </c>
      <c r="C12" s="23">
        <f>IF(C$1="","",IF($A12="","",SUMIFS('Raw data'!$Z$4:$Z$267,'Raw data'!$K$4:$K$267,"14 days",'Raw data'!$N$4:$N$267,'Chi square'!$A12)))</f>
        <v>4</v>
      </c>
      <c r="D12" s="23" t="str">
        <f>IF('23 days'!$B$1="","",IF($A12="","","DEAD"))</f>
        <v>DEAD</v>
      </c>
      <c r="E12" s="23">
        <f>IF(E$1="","",IF($A12="","",SUMIFS('Raw data'!$Z$4:$Z$267,'Raw data'!$K$4:$K$267,"23 days",'Raw data'!$N$4:$N$267,'Chi square'!$A12)))</f>
        <v>4</v>
      </c>
      <c r="F12" s="23" t="str">
        <f>IF('32 days'!$B$1="","",IF($A12="","","DEAD"))</f>
        <v>DEAD</v>
      </c>
      <c r="G12" s="23">
        <f>IF(G$1="","",IF($A12="","",SUMIFS('Raw data'!$Z$4:$Z$267,'Raw data'!$K$4:$K$267,"32 days",'Raw data'!$N$4:$N$267,'Chi square'!$A12)))</f>
        <v>1</v>
      </c>
      <c r="H12" s="23" t="str">
        <f>IF('39 days'!$B$1="","",IF($A12="","","DEAD"))</f>
        <v>DEAD</v>
      </c>
      <c r="I12" s="23">
        <f>IF(I$1="","",IF($A12="","",SUMIFS('Raw data'!$Z$4:$Z$267,'Raw data'!$K$4:$K$267,"39 days",'Raw data'!$N$4:$N$267,'Chi square'!$A12)))</f>
        <v>6</v>
      </c>
      <c r="J12" s="23" t="str">
        <f>IF($A12="","","DEAD")</f>
        <v>DEAD</v>
      </c>
      <c r="K12" s="23">
        <f t="shared" si="0"/>
        <v>15</v>
      </c>
      <c r="L12" s="291" t="str">
        <f>IF('14 days'!$B$1="","",IF($A12="","","DEAD"))</f>
        <v>DEAD</v>
      </c>
      <c r="M12" s="291">
        <f>IF(M$1="","",IF($A12="","",SUMIFS('Raw data'!$AB$4:$AB$267,'Raw data'!$K$4:$K$267,"14 days",'Raw data'!$N$4:$N$267,'Chi square'!$A12)))</f>
        <v>0</v>
      </c>
      <c r="N12" s="291" t="str">
        <f>IF('23 days'!$B$1="","",IF($A12="","","DEAD"))</f>
        <v>DEAD</v>
      </c>
      <c r="O12" s="291">
        <f>IF(O$1="","",IF($A12="","",SUMIFS('Raw data'!$AB$4:$AB$267,'Raw data'!$K$4:$K$267,"23 days",'Raw data'!$N$4:$N$267,'Chi square'!$A12)))</f>
        <v>0</v>
      </c>
      <c r="P12" s="291" t="str">
        <f>IF('32 days'!$B$1="","",IF($A12="","","DEAD"))</f>
        <v>DEAD</v>
      </c>
      <c r="Q12" s="291">
        <f>IF(Q$1="","",IF($A12="","",SUMIFS('Raw data'!$AB$4:$AB$267,'Raw data'!$K$4:$K$267,"32 days",'Raw data'!$N$4:$N$267,'Chi square'!$A12)))</f>
        <v>11</v>
      </c>
      <c r="R12" s="291" t="str">
        <f>IF('39 days'!$B$1="","",IF($A12="","","DEAD"))</f>
        <v>DEAD</v>
      </c>
      <c r="S12" s="291">
        <f>IF(S$1="","",IF($A12="","",SUMIFS('Raw data'!$AB$4:$AB$267,'Raw data'!$K$4:$K$267,"39days",'Raw data'!$N$4:$N$267,'Chi square'!$A12)))</f>
        <v>0</v>
      </c>
      <c r="T12" s="23" t="str">
        <f>IF($A12="","","DEAD")</f>
        <v>DEAD</v>
      </c>
      <c r="U12" s="291">
        <f t="shared" si="1"/>
        <v>11</v>
      </c>
    </row>
    <row r="13" spans="1:21" ht="12.75" customHeight="1" x14ac:dyDescent="0.25">
      <c r="A13" s="23" t="str">
        <f>IF(Summary!B44="","",Summary!A44)</f>
        <v>T6</v>
      </c>
      <c r="B13" s="23" t="str">
        <f>IF('14 days'!$B$1="","",IF($A13="","","ALIVE"))</f>
        <v>ALIVE</v>
      </c>
      <c r="C13" s="23">
        <f>IF(C$1="","",IF($A13="","",((SUMIFS('Raw data'!$Y$4:$Y$267,'Raw data'!$K$4:$K$267,"14 days",'Raw data'!$N$4:$N$267,'Chi square'!$A13)))+(SUMIFS('Raw data'!$AB$4:$AB$267,'Raw data'!$K$4:$K$267,"14 days",'Raw data'!$N$4:$N$267,'Chi square'!$A13))+(SUMIFS('Raw data'!$AD$4:$AD$267,'Raw data'!$K$4:$K$267,"14 days",'Raw data'!$N$4:$N$267,'Chi square'!$A13))))</f>
        <v>436</v>
      </c>
      <c r="D13" s="23" t="str">
        <f>IF('23 days'!$B$1="","",IF($A13="","","ALIVE"))</f>
        <v>ALIVE</v>
      </c>
      <c r="E13" s="23">
        <f>IF(E$1="","",IF($A13="","",((SUMIFS('Raw data'!$Y$4:$Y$267,'Raw data'!$K$4:$K$267,"23 days",'Raw data'!$N$4:$N$267,'Chi square'!$A13)))+(SUMIFS('Raw data'!$AB$4:$AB$267,'Raw data'!$K$4:$K$267,"23 days",'Raw data'!$N$4:$N$267,'Chi square'!$A13))+(SUMIFS('Raw data'!$AD$4:$AD$267,'Raw data'!$K$4:$K$267,"23 days",'Raw data'!$N$4:$N$267,'Chi square'!$A13))))</f>
        <v>432</v>
      </c>
      <c r="F13" s="23" t="str">
        <f>IF('32 days'!$B$1="","",IF($A13="","","ALIVE"))</f>
        <v>ALIVE</v>
      </c>
      <c r="G13" s="23">
        <f>IF(G$1="","",IF($A13="","",((SUMIFS('Raw data'!$Y$4:$Y$267,'Raw data'!$K$4:$K$267,"32 days",'Raw data'!$N$4:$N$267,'Chi square'!$A13)))+(SUMIFS('Raw data'!$AB$4:$AB$267,'Raw data'!$K$4:$K$267,"32 days",'Raw data'!$N$4:$N$267,'Chi square'!$A13))+(SUMIFS('Raw data'!$AD$4:$AD$267,'Raw data'!$K$4:$K$267,"32 days",'Raw data'!$N$4:$N$267,'Chi square'!$A13))))</f>
        <v>431</v>
      </c>
      <c r="H13" s="23" t="str">
        <f>IF('39 days'!$B$1="","",IF($A13="","","ALIVE"))</f>
        <v>ALIVE</v>
      </c>
      <c r="I13" s="23">
        <f>IF(I$1="","",IF($A13="","",((SUMIFS('Raw data'!$Y$4:$Y$267,'Raw data'!$K$4:$K$267,"39 days",'Raw data'!$N$4:$N$267,'Chi square'!$A13)))+(SUMIFS('Raw data'!$AB$4:$AB$267,'Raw data'!$K$4:$K$267,"39 days",'Raw data'!$N$4:$N$267,'Chi square'!$A13))+(SUMIFS('Raw data'!$AD$4:$AD$267,'Raw data'!$K$4:$K$267,"39 days",'Raw data'!$N$4:$N$267,'Chi square'!$A13))))</f>
        <v>414</v>
      </c>
      <c r="J13" s="23" t="str">
        <f>IF($A13="","","ALIVE")</f>
        <v>ALIVE</v>
      </c>
      <c r="K13" s="23">
        <f>IF(K$1="","",IF($A13="","",((SUMIFS('Raw data'!$Y$4:$Y$267,'Raw data'!$K$4:$K$267,"39 days",'Raw data'!$N$4:$N$267,'Chi square'!$A13)))+(SUMIFS('Raw data'!$AB$4:$AB$267,'Raw data'!$K$4:$K$267,"39 days",'Raw data'!$N$4:$N$267,'Chi square'!$A13))+(SUMIFS('Raw data'!$AD$4:$AD$267,'Raw data'!$K$4:$K$267,"39 days",'Raw data'!$N$4:$N$267,'Chi square'!$A13))))</f>
        <v>414</v>
      </c>
      <c r="L13" s="291" t="str">
        <f>IF('14 days'!$B$1="","",IF($A13="","","ALIVE"))</f>
        <v>ALIVE</v>
      </c>
      <c r="M13" s="291">
        <f>IF(M$1="","",IF($A13="","",((SUMIFS('Raw data'!$Y$4:$Y$267,'Raw data'!$K$4:$K$267,"14 days",'Raw data'!$N$4:$N$267,'Chi square'!$A13)))+(SUMIFS('Raw data'!$Z$4:$Z$267,'Raw data'!$K$4:$K$267,"14 days",'Raw data'!$N$4:$N$267,'Chi square'!$A13))+(SUMIFS('Raw data'!$AD$4:$AD$267,'Raw data'!$K$4:$K$267,"14 days",'Raw data'!$N$4:$N$267,'Chi square'!$A13))))</f>
        <v>440</v>
      </c>
      <c r="N13" s="291" t="str">
        <f>IF('23 days'!$B$1="","",IF($A13="","","ALIVE"))</f>
        <v>ALIVE</v>
      </c>
      <c r="O13" s="291">
        <f>IF(O$1="","",IF($A13="","",((SUMIFS('Raw data'!$Y$4:$Y$267,'Raw data'!$K$4:$K$267,"23 days",'Raw data'!$N$4:$N$267,'Chi square'!$A13)))+(SUMIFS('Raw data'!$Z$4:$Z$267,'Raw data'!$K$4:$K$267,"23 days",'Raw data'!$N$4:$N$267,'Chi square'!$A13))+(SUMIFS('Raw data'!$AD$4:$AD$267,'Raw data'!$K$4:$K$267,"23 days",'Raw data'!$N$4:$N$267,'Chi square'!$A13))))</f>
        <v>436</v>
      </c>
      <c r="P13" s="291" t="str">
        <f>IF('32 days'!$B$1="","",IF($A13="","","ALIVE"))</f>
        <v>ALIVE</v>
      </c>
      <c r="Q13" s="291">
        <f>IF(Q$1="","",IF($A13="","",((SUMIFS('Raw data'!$Y$4:$Y$267,'Raw data'!$K$4:$K$267,"32 days",'Raw data'!$N$4:$N$267,'Chi square'!$A13)))+(SUMIFS('Raw data'!$Z$4:$Z$267,'Raw data'!$K$4:$K$267,"32 days",'Raw data'!$N$4:$N$267,'Chi square'!$A13))+(SUMIFS('Raw data'!$AD$4:$AD$267,'Raw data'!$K$4:$K$267,"32 days",'Raw data'!$N$4:$N$267,'Chi square'!$A13))))</f>
        <v>421</v>
      </c>
      <c r="R13" s="291" t="str">
        <f>IF('39 days'!$B$1="","",IF($A13="","","ALIVE"))</f>
        <v>ALIVE</v>
      </c>
      <c r="S13" s="291">
        <f>IF(S$1="","",IF($A13="","",((SUMIFS('Raw data'!$Y$4:$Y$267,'Raw data'!$K$4:$K$267,"39 days",'Raw data'!$N$4:$N$267,'Chi square'!$A13)))+(SUMIFS('Raw data'!$Z$4:$Z$267,'Raw data'!$K$4:$K$267,"39 days",'Raw data'!$N$4:$N$267,'Chi square'!$A13))+(SUMIFS('Raw data'!$AD$4:$AD$267,'Raw data'!$K$4:$K$267,"39 days",'Raw data'!$N$4:$N$267,'Chi square'!$A13))))</f>
        <v>420</v>
      </c>
      <c r="T13" s="23" t="str">
        <f>IF($A13="","","ALIVE")</f>
        <v>ALIVE</v>
      </c>
      <c r="U13" s="291">
        <f t="shared" si="1"/>
        <v>1717</v>
      </c>
    </row>
    <row r="14" spans="1:21" s="417" customFormat="1" ht="12.75" customHeight="1" x14ac:dyDescent="0.25">
      <c r="A14" s="417" t="str">
        <f>IF(Summary!B45="","",Summary!A45)</f>
        <v/>
      </c>
      <c r="B14" s="417" t="str">
        <f>IF('14 days'!$B$1="","",IF($A14="","","DEAD"))</f>
        <v/>
      </c>
      <c r="C14" s="417" t="str">
        <f>IF(C$1="","",IF($A14="","",SUMIFS('Raw data'!$Z$4:$Z$267,'Raw data'!$K$4:$K$267,"14 days",'Raw data'!$N$4:$N$267,'Chi square'!$A14)))</f>
        <v/>
      </c>
      <c r="D14" s="417" t="str">
        <f>IF('23 days'!$B$1="","",IF($A14="","","DEAD"))</f>
        <v/>
      </c>
      <c r="E14" s="417" t="str">
        <f>IF(E$1="","",IF($A14="","",SUMIFS('Raw data'!$Z$4:$Z$267,'Raw data'!$K$4:$K$267,"23 days",'Raw data'!$N$4:$N$267,'Chi square'!$A14)))</f>
        <v/>
      </c>
      <c r="F14" s="417" t="str">
        <f>IF('32 days'!$B$1="","",IF($A14="","","DEAD"))</f>
        <v/>
      </c>
      <c r="G14" s="417" t="str">
        <f>IF(G$1="","",IF($A14="","",SUMIFS('Raw data'!$Z$4:$Z$267,'Raw data'!$K$4:$K$267,"32 days",'Raw data'!$N$4:$N$267,'Chi square'!$A14)))</f>
        <v/>
      </c>
      <c r="H14" s="417" t="str">
        <f>IF('39 days'!$B$1="","",IF($A14="","","DEAD"))</f>
        <v/>
      </c>
      <c r="I14" s="417" t="str">
        <f>IF(I$1="","",IF($A14="","",SUMIFS('Raw data'!$Z$4:$Z$267,'Raw data'!$K$4:$K$267,"39 days",'Raw data'!$N$4:$N$267,'Chi square'!$A14)))</f>
        <v/>
      </c>
      <c r="J14" s="417" t="str">
        <f>IF($A14="","","DEAD")</f>
        <v/>
      </c>
      <c r="K14" s="417" t="str">
        <f t="shared" ref="K14" si="2">IF(A14="","",SUM(C14,E14,G14,I14))</f>
        <v/>
      </c>
      <c r="L14" s="417" t="str">
        <f>IF('14 days'!$B$1="","",IF($A14="","","DEAD"))</f>
        <v/>
      </c>
      <c r="M14" s="417" t="str">
        <f>IF(M$1="","",IF($A14="","",SUMIFS('Raw data'!$AB$4:$AB$267,'Raw data'!$K$4:$K$267,"14 days",'Raw data'!$N$4:$N$267,'Chi square'!$A14)))</f>
        <v/>
      </c>
      <c r="N14" s="417" t="str">
        <f>IF('23 days'!$B$1="","",IF($A14="","","DEAD"))</f>
        <v/>
      </c>
      <c r="O14" s="417" t="str">
        <f>IF(O$1="","",IF($A14="","",SUMIFS('Raw data'!$AB$4:$AB$267,'Raw data'!$K$4:$K$267,"23 days",'Raw data'!$N$4:$N$267,'Chi square'!$A14)))</f>
        <v/>
      </c>
      <c r="P14" s="417" t="str">
        <f>IF('32 days'!$B$1="","",IF($A14="","","DEAD"))</f>
        <v/>
      </c>
      <c r="Q14" s="417" t="str">
        <f>IF(Q$1="","",IF($A14="","",SUMIFS('Raw data'!$AB$4:$AB$267,'Raw data'!$K$4:$K$267,"32 days",'Raw data'!$N$4:$N$267,'Chi square'!$A14)))</f>
        <v/>
      </c>
      <c r="R14" s="417" t="str">
        <f>IF('39 days'!$B$1="","",IF($A14="","","DEAD"))</f>
        <v/>
      </c>
      <c r="S14" s="417" t="str">
        <f>IF(S$1="","",IF($A14="","",SUMIFS('Raw data'!$AB$4:$AB$267,'Raw data'!$K$4:$K$267,"39days",'Raw data'!$N$4:$N$267,'Chi square'!$A14)))</f>
        <v/>
      </c>
      <c r="T14" s="417" t="str">
        <f>IF($A14="","","DEAD")</f>
        <v/>
      </c>
      <c r="U14" s="417" t="str">
        <f t="shared" ref="U14:U15" si="3">IF(A14="","",SUM(M14,O14,Q14,S14))</f>
        <v/>
      </c>
    </row>
    <row r="15" spans="1:21" s="417" customFormat="1" ht="12.75" customHeight="1" x14ac:dyDescent="0.25">
      <c r="A15" s="417" t="str">
        <f>IF(Summary!B45="","",Summary!A45)</f>
        <v/>
      </c>
      <c r="B15" s="417" t="str">
        <f>IF('14 days'!$B$1="","",IF($A15="","","ALIVE"))</f>
        <v/>
      </c>
      <c r="C15" s="417" t="str">
        <f>IF(C$1="","",IF($A15="","",((SUMIFS('Raw data'!$Y$4:$Y$267,'Raw data'!$K$4:$K$267,"14 days",'Raw data'!$N$4:$N$267,'Chi square'!$A15)))+(SUMIFS('Raw data'!$AB$4:$AB$267,'Raw data'!$K$4:$K$267,"14 days",'Raw data'!$N$4:$N$267,'Chi square'!$A15))+(SUMIFS('Raw data'!$AD$4:$AD$267,'Raw data'!$K$4:$K$267,"14 days",'Raw data'!$N$4:$N$267,'Chi square'!$A15))))</f>
        <v/>
      </c>
      <c r="D15" s="417" t="str">
        <f>IF('23 days'!$B$1="","",IF($A15="","","ALIVE"))</f>
        <v/>
      </c>
      <c r="E15" s="417" t="str">
        <f>IF(E$1="","",IF($A15="","",((SUMIFS('Raw data'!$Y$4:$Y$267,'Raw data'!$K$4:$K$267,"23 days",'Raw data'!$N$4:$N$267,'Chi square'!$A15)))+(SUMIFS('Raw data'!$AB$4:$AB$267,'Raw data'!$K$4:$K$267,"23 days",'Raw data'!$N$4:$N$267,'Chi square'!$A15))+(SUMIFS('Raw data'!$AD$4:$AD$267,'Raw data'!$K$4:$K$267,"23 days",'Raw data'!$N$4:$N$267,'Chi square'!$A15))))</f>
        <v/>
      </c>
      <c r="F15" s="417" t="str">
        <f>IF('32 days'!$B$1="","",IF($A15="","","ALIVE"))</f>
        <v/>
      </c>
      <c r="G15" s="417" t="str">
        <f>IF(G$1="","",IF($A15="","",((SUMIFS('Raw data'!$Y$4:$Y$267,'Raw data'!$K$4:$K$267,"32 days",'Raw data'!$N$4:$N$267,'Chi square'!$A15)))+(SUMIFS('Raw data'!$AB$4:$AB$267,'Raw data'!$K$4:$K$267,"32 days",'Raw data'!$N$4:$N$267,'Chi square'!$A15))+(SUMIFS('Raw data'!$AD$4:$AD$267,'Raw data'!$K$4:$K$267,"32 days",'Raw data'!$N$4:$N$267,'Chi square'!$A15))))</f>
        <v/>
      </c>
      <c r="H15" s="417" t="str">
        <f>IF('39 days'!$B$1="","",IF($A15="","","ALIVE"))</f>
        <v/>
      </c>
      <c r="I15" s="417" t="str">
        <f>IF(I$1="","",IF($A15="","",((SUMIFS('Raw data'!$Y$4:$Y$267,'Raw data'!$K$4:$K$267,"39 days",'Raw data'!$N$4:$N$267,'Chi square'!$A15)))+(SUMIFS('Raw data'!$AB$4:$AB$267,'Raw data'!$K$4:$K$267,"39 days",'Raw data'!$N$4:$N$267,'Chi square'!$A15))+(SUMIFS('Raw data'!$AD$4:$AD$267,'Raw data'!$K$4:$K$267,"39 days",'Raw data'!$N$4:$N$267,'Chi square'!$A15))))</f>
        <v/>
      </c>
      <c r="J15" s="417" t="str">
        <f>IF($A15="","","ALIVE")</f>
        <v/>
      </c>
      <c r="K15" s="417" t="str">
        <f>IF(K$1="","",IF($A15="","",((SUMIFS('Raw data'!$Y$4:$Y$267,'Raw data'!$K$4:$K$267,"39 days",'Raw data'!$N$4:$N$267,'Chi square'!$A15)))+(SUMIFS('Raw data'!$AB$4:$AB$267,'Raw data'!$K$4:$K$267,"39 days",'Raw data'!$N$4:$N$267,'Chi square'!$A15))+(SUMIFS('Raw data'!$AD$4:$AD$267,'Raw data'!$K$4:$K$267,"39 days",'Raw data'!$N$4:$N$267,'Chi square'!$A15))))</f>
        <v/>
      </c>
      <c r="L15" s="417" t="str">
        <f>IF('14 days'!$B$1="","",IF($A15="","","ALIVE"))</f>
        <v/>
      </c>
      <c r="M15" s="417" t="str">
        <f>IF(M$1="","",IF($A15="","",((SUMIFS('Raw data'!$Y$4:$Y$267,'Raw data'!$K$4:$K$267,"14 days",'Raw data'!$N$4:$N$267,'Chi square'!$A15)))+(SUMIFS('Raw data'!$Z$4:$Z$267,'Raw data'!$K$4:$K$267,"14 days",'Raw data'!$N$4:$N$267,'Chi square'!$A15))+(SUMIFS('Raw data'!$AD$4:$AD$267,'Raw data'!$K$4:$K$267,"14 days",'Raw data'!$N$4:$N$267,'Chi square'!$A15))))</f>
        <v/>
      </c>
      <c r="N15" s="417" t="str">
        <f>IF('23 days'!$B$1="","",IF($A15="","","ALIVE"))</f>
        <v/>
      </c>
      <c r="O15" s="417" t="str">
        <f>IF(O$1="","",IF($A15="","",((SUMIFS('Raw data'!$Y$4:$Y$267,'Raw data'!$K$4:$K$267,"23 days",'Raw data'!$N$4:$N$267,'Chi square'!$A15)))+(SUMIFS('Raw data'!$Z$4:$Z$267,'Raw data'!$K$4:$K$267,"23 days",'Raw data'!$N$4:$N$267,'Chi square'!$A15))+(SUMIFS('Raw data'!$AD$4:$AD$267,'Raw data'!$K$4:$K$267,"23 days",'Raw data'!$N$4:$N$267,'Chi square'!$A15))))</f>
        <v/>
      </c>
      <c r="P15" s="417" t="str">
        <f>IF('32 days'!$B$1="","",IF($A15="","","ALIVE"))</f>
        <v/>
      </c>
      <c r="Q15" s="417" t="str">
        <f>IF(Q$1="","",IF($A15="","",((SUMIFS('Raw data'!$Y$4:$Y$267,'Raw data'!$K$4:$K$267,"32 days",'Raw data'!$N$4:$N$267,'Chi square'!$A15)))+(SUMIFS('Raw data'!$Z$4:$Z$267,'Raw data'!$K$4:$K$267,"32 days",'Raw data'!$N$4:$N$267,'Chi square'!$A15))+(SUMIFS('Raw data'!$AD$4:$AD$267,'Raw data'!$K$4:$K$267,"32 days",'Raw data'!$N$4:$N$267,'Chi square'!$A15))))</f>
        <v/>
      </c>
      <c r="R15" s="417" t="str">
        <f>IF('39 days'!$B$1="","",IF($A15="","","ALIVE"))</f>
        <v/>
      </c>
      <c r="S15" s="417" t="str">
        <f>IF(S$1="","",IF($A15="","",((SUMIFS('Raw data'!$Y$4:$Y$267,'Raw data'!$K$4:$K$267,"39 days",'Raw data'!$N$4:$N$267,'Chi square'!$A15)))+(SUMIFS('Raw data'!$Z$4:$Z$267,'Raw data'!$K$4:$K$267,"39 days",'Raw data'!$N$4:$N$267,'Chi square'!$A15))+(SUMIFS('Raw data'!$AD$4:$AD$267,'Raw data'!$K$4:$K$267,"39 days",'Raw data'!$N$4:$N$267,'Chi square'!$A15))))</f>
        <v/>
      </c>
      <c r="T15" s="417" t="str">
        <f>IF($A15="","","ALIVE")</f>
        <v/>
      </c>
      <c r="U15" s="417" t="str">
        <f t="shared" si="3"/>
        <v/>
      </c>
    </row>
    <row r="16" spans="1:21" ht="12.75" customHeight="1" x14ac:dyDescent="0.25">
      <c r="A16" s="23" t="str">
        <f>IF(Summary!B46="","",Summary!A46)</f>
        <v/>
      </c>
      <c r="B16" s="23" t="str">
        <f>IF('14 days'!$B$1="","",IF($A16="","","DEAD"))</f>
        <v/>
      </c>
      <c r="C16" s="23" t="str">
        <f>IF(C$1="","",IF($A16="","",SUMIFS('Raw data'!$Z$4:$Z$267,'Raw data'!$K$4:$K$267,"14 days",'Raw data'!$N$4:$N$267,'Chi square'!$A16)))</f>
        <v/>
      </c>
      <c r="D16" s="23" t="str">
        <f>IF('23 days'!$B$1="","",IF($A16="","","DEAD"))</f>
        <v/>
      </c>
      <c r="E16" s="23" t="str">
        <f>IF(E$1="","",IF($A16="","",SUMIFS('Raw data'!$Z$4:$Z$267,'Raw data'!$K$4:$K$267,"23 days",'Raw data'!$N$4:$N$267,'Chi square'!$A16)))</f>
        <v/>
      </c>
      <c r="F16" s="23" t="str">
        <f>IF('32 days'!$B$1="","",IF($A16="","","DEAD"))</f>
        <v/>
      </c>
      <c r="G16" s="23" t="str">
        <f>IF(G$1="","",IF($A16="","",SUMIFS('Raw data'!$Z$4:$Z$267,'Raw data'!$K$4:$K$267,"32 days",'Raw data'!$N$4:$N$267,'Chi square'!$A16)))</f>
        <v/>
      </c>
      <c r="H16" s="23" t="str">
        <f>IF('39 days'!$B$1="","",IF($A16="","","DEAD"))</f>
        <v/>
      </c>
      <c r="I16" s="23" t="str">
        <f>IF(I$1="","",IF($A16="","",SUMIFS('Raw data'!$Z$4:$Z$267,'Raw data'!$K$4:$K$267,"39 days",'Raw data'!$N$4:$N$267,'Chi square'!$A16)))</f>
        <v/>
      </c>
      <c r="J16" s="23" t="str">
        <f>IF($A16="","","DEAD")</f>
        <v/>
      </c>
      <c r="K16" s="23" t="str">
        <f t="shared" si="0"/>
        <v/>
      </c>
      <c r="L16" s="291" t="str">
        <f>IF('14 days'!$B$1="","",IF($A16="","","DEAD"))</f>
        <v/>
      </c>
      <c r="M16" s="291" t="str">
        <f>IF(M$1="","",IF($A16="","",SUMIFS('Raw data'!$AB$4:$AB$267,'Raw data'!$K$4:$K$267,"14 days",'Raw data'!$N$4:$N$267,'Chi square'!$A16)))</f>
        <v/>
      </c>
      <c r="N16" s="291" t="str">
        <f>IF('23 days'!$B$1="","",IF($A16="","","DEAD"))</f>
        <v/>
      </c>
      <c r="O16" s="291" t="str">
        <f>IF(O$1="","",IF($A16="","",SUMIFS('Raw data'!$AB$4:$AB$267,'Raw data'!$K$4:$K$267,"23 days",'Raw data'!$N$4:$N$267,'Chi square'!$A16)))</f>
        <v/>
      </c>
      <c r="P16" s="291" t="str">
        <f>IF('32 days'!$B$1="","",IF($A16="","","DEAD"))</f>
        <v/>
      </c>
      <c r="Q16" s="291" t="str">
        <f>IF(Q$1="","",IF($A16="","",SUMIFS('Raw data'!$AB$4:$AB$267,'Raw data'!$K$4:$K$267,"32 days",'Raw data'!$N$4:$N$267,'Chi square'!$A16)))</f>
        <v/>
      </c>
      <c r="R16" s="291" t="str">
        <f>IF('39 days'!$B$1="","",IF($A16="","","DEAD"))</f>
        <v/>
      </c>
      <c r="S16" s="291" t="str">
        <f>IF(S$1="","",IF($A16="","",SUMIFS('Raw data'!$AB$4:$AB$267,'Raw data'!$K$4:$K$267,"39days",'Raw data'!$N$4:$N$267,'Chi square'!$A16)))</f>
        <v/>
      </c>
      <c r="T16" s="23" t="str">
        <f>IF($A16="","","DEAD")</f>
        <v/>
      </c>
      <c r="U16" s="291" t="str">
        <f t="shared" si="1"/>
        <v/>
      </c>
    </row>
    <row r="17" spans="1:21" ht="12.75" customHeight="1" x14ac:dyDescent="0.25">
      <c r="A17" s="40" t="str">
        <f>IF(Summary!B46="","",Summary!A46)</f>
        <v/>
      </c>
      <c r="B17" s="40" t="str">
        <f>IF('14 days'!$B$1="","",IF($A17="","","ALIVE"))</f>
        <v/>
      </c>
      <c r="C17" s="40" t="str">
        <f>IF(C$1="","",IF($A17="","",((SUMIFS('Raw data'!$Y$4:$Y$267,'Raw data'!$K$4:$K$267,"14 days",'Raw data'!$N$4:$N$267,'Chi square'!$A17)))+(SUMIFS('Raw data'!$AB$4:$AB$267,'Raw data'!$K$4:$K$267,"14 days",'Raw data'!$N$4:$N$267,'Chi square'!$A17))+(SUMIFS('Raw data'!$AD$4:$AD$267,'Raw data'!$K$4:$K$267,"14 days",'Raw data'!$N$4:$N$267,'Chi square'!$A17))))</f>
        <v/>
      </c>
      <c r="D17" s="40" t="str">
        <f>IF('23 days'!$B$1="","",IF($A17="","","ALIVE"))</f>
        <v/>
      </c>
      <c r="E17" s="40" t="str">
        <f>IF(E$1="","",IF($A17="","",((SUMIFS('Raw data'!$Y$4:$Y$267,'Raw data'!$K$4:$K$267,"23 days",'Raw data'!$N$4:$N$267,'Chi square'!$A17)))+(SUMIFS('Raw data'!$AB$4:$AB$267,'Raw data'!$K$4:$K$267,"23 days",'Raw data'!$N$4:$N$267,'Chi square'!$A17))+(SUMIFS('Raw data'!$AD$4:$AD$267,'Raw data'!$K$4:$K$267,"23 days",'Raw data'!$N$4:$N$267,'Chi square'!$A17))))</f>
        <v/>
      </c>
      <c r="F17" s="40" t="str">
        <f>IF('32 days'!$B$1="","",IF($A17="","","ALIVE"))</f>
        <v/>
      </c>
      <c r="G17" s="40" t="str">
        <f>IF(G$1="","",IF($A17="","",((SUMIFS('Raw data'!$Y$4:$Y$267,'Raw data'!$K$4:$K$267,"32 days",'Raw data'!$N$4:$N$267,'Chi square'!$A17)))+(SUMIFS('Raw data'!$AB$4:$AB$267,'Raw data'!$K$4:$K$267,"32 days",'Raw data'!$N$4:$N$267,'Chi square'!$A17))+(SUMIFS('Raw data'!$AD$4:$AD$267,'Raw data'!$K$4:$K$267,"32 days",'Raw data'!$N$4:$N$267,'Chi square'!$A17))))</f>
        <v/>
      </c>
      <c r="H17" s="40" t="str">
        <f>IF('39 days'!$B$1="","",IF($A17="","","ALIVE"))</f>
        <v/>
      </c>
      <c r="I17" s="40" t="str">
        <f>IF(I$1="","",IF($A17="","",((SUMIFS('Raw data'!$Y$4:$Y$267,'Raw data'!$K$4:$K$267,"39 days",'Raw data'!$N$4:$N$267,'Chi square'!$A17)))+(SUMIFS('Raw data'!$AB$4:$AB$267,'Raw data'!$K$4:$K$267,"39 days",'Raw data'!$N$4:$N$267,'Chi square'!$A17))+(SUMIFS('Raw data'!$AD$4:$AD$267,'Raw data'!$K$4:$K$267,"39 days",'Raw data'!$N$4:$N$267,'Chi square'!$A17))))</f>
        <v/>
      </c>
      <c r="J17" s="40" t="str">
        <f>IF($A17="","","ALIVE")</f>
        <v/>
      </c>
      <c r="K17" s="40" t="str">
        <f t="shared" si="0"/>
        <v/>
      </c>
      <c r="L17" s="40" t="str">
        <f>IF('14 days'!$B$1="","",IF($A17="","","ALIVE"))</f>
        <v/>
      </c>
      <c r="M17" s="40" t="str">
        <f>IF(M$1="","",IF($A17="","",((SUMIFS('Raw data'!$Y$4:$Y$267,'Raw data'!$K$4:$K$267,"14 days",'Raw data'!$N$4:$N$267,'Chi square'!$A17)))+(SUMIFS('Raw data'!$Z$4:$Z$267,'Raw data'!$K$4:$K$267,"14 days",'Raw data'!$N$4:$N$267,'Chi square'!$A17))+(SUMIFS('Raw data'!$AD$4:$AD$267,'Raw data'!$K$4:$K$267,"14 days",'Raw data'!$N$4:$N$267,'Chi square'!$A17))))</f>
        <v/>
      </c>
      <c r="N17" s="40" t="str">
        <f>IF('23 days'!$B$1="","",IF($A17="","","ALIVE"))</f>
        <v/>
      </c>
      <c r="O17" s="40" t="str">
        <f>IF(O$1="","",IF($A17="","",((SUMIFS('Raw data'!$Y$4:$Y$267,'Raw data'!$K$4:$K$267,"23 days",'Raw data'!$N$4:$N$267,'Chi square'!$A17)))+(SUMIFS('Raw data'!$Z$4:$Z$267,'Raw data'!$K$4:$K$267,"23 days",'Raw data'!$N$4:$N$267,'Chi square'!$A17))+(SUMIFS('Raw data'!$AD$4:$AD$267,'Raw data'!$K$4:$K$267,"23 days",'Raw data'!$N$4:$N$267,'Chi square'!$A17))))</f>
        <v/>
      </c>
      <c r="P17" s="40" t="str">
        <f>IF('32 days'!$B$1="","",IF($A17="","","ALIVE"))</f>
        <v/>
      </c>
      <c r="Q17" s="40" t="str">
        <f>IF(Q$1="","",IF($A17="","",((SUMIFS('Raw data'!$Y$4:$Y$267,'Raw data'!$K$4:$K$267,"32 days",'Raw data'!$N$4:$N$267,'Chi square'!$A17)))+(SUMIFS('Raw data'!$Z$4:$Z$267,'Raw data'!$K$4:$K$267,"32 days",'Raw data'!$N$4:$N$267,'Chi square'!$A17))+(SUMIFS('Raw data'!$AD$4:$AD$267,'Raw data'!$K$4:$K$267,"32 days",'Raw data'!$N$4:$N$267,'Chi square'!$A17))))</f>
        <v/>
      </c>
      <c r="R17" s="40" t="str">
        <f>IF('39 days'!$B$1="","",IF($A17="","","ALIVE"))</f>
        <v/>
      </c>
      <c r="S17" s="40" t="str">
        <f>IF(S$1="","",IF($A17="","",((SUMIFS('Raw data'!$Y$4:$Y$267,'Raw data'!$K$4:$K$267,"39 days",'Raw data'!$N$4:$N$267,'Chi square'!$A17)))+(SUMIFS('Raw data'!$Z$4:$Z$267,'Raw data'!$K$4:$K$267,"39 days",'Raw data'!$N$4:$N$267,'Chi square'!$A17))+(SUMIFS('Raw data'!$AD$4:$AD$267,'Raw data'!$K$4:$K$267,"39 days",'Raw data'!$N$4:$N$267,'Chi square'!$A17))))</f>
        <v/>
      </c>
      <c r="T17" s="40" t="str">
        <f>IF($A17="","","ALIVE")</f>
        <v/>
      </c>
      <c r="U17" s="40" t="str">
        <f t="shared" si="1"/>
        <v/>
      </c>
    </row>
    <row r="21" spans="1:21" ht="12.75" customHeight="1" x14ac:dyDescent="0.25">
      <c r="C21" s="215"/>
      <c r="M21" s="215"/>
    </row>
  </sheetData>
  <pageMargins left="0.511811024" right="0.511811024" top="0.78740157499999996" bottom="0.78740157499999996" header="0.31496062000000002" footer="0.31496062000000002"/>
  <ignoredErrors>
    <ignoredError sqref="J2 J3 J4:J13 T2 T17 K2 B3:B13 B16 D4:D13 D3 F3:F13 H3:H13 L3 L4 T3 T4:T13 T16 L16 N3 L6:L13 L5 N5 N4 N16 N6:N13 P3 P5 P4 P16 P6:P13 R3 R5 R4 R16 R6:R13 K16:K17 J15:J17 D16 F16:F17 H16:H17 B14:J14 L14:T14 K14 K12 K10 K8 K6 K4 K3 K5 K7 K9 K11 K13 K15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7"/>
  <dimension ref="A1:X91"/>
  <sheetViews>
    <sheetView topLeftCell="A40" zoomScaleNormal="100" workbookViewId="0">
      <selection activeCell="E12" sqref="E12"/>
    </sheetView>
  </sheetViews>
  <sheetFormatPr defaultRowHeight="15" x14ac:dyDescent="0.25"/>
  <cols>
    <col min="1" max="6" width="17.7109375" style="291" customWidth="1"/>
    <col min="7" max="7" width="1.7109375" style="291" customWidth="1"/>
    <col min="8" max="12" width="17.7109375" style="291" customWidth="1"/>
    <col min="13" max="13" width="1.7109375" style="24" customWidth="1"/>
    <col min="14" max="18" width="17.7109375" style="291" customWidth="1"/>
    <col min="19" max="19" width="1.7109375" style="291" customWidth="1"/>
    <col min="20" max="24" width="17.7109375" style="291" customWidth="1"/>
    <col min="25" max="25" width="11.7109375" style="291" customWidth="1"/>
    <col min="26" max="30" width="13.7109375" style="291" customWidth="1"/>
    <col min="31" max="31" width="11.7109375" style="291" customWidth="1"/>
    <col min="32" max="16384" width="9.140625" style="291"/>
  </cols>
  <sheetData>
    <row r="1" spans="1:24" s="294" customFormat="1" ht="15.75" customHeight="1" thickBot="1" x14ac:dyDescent="0.3">
      <c r="A1" s="562" t="s">
        <v>18</v>
      </c>
      <c r="B1" s="563"/>
      <c r="C1" s="563"/>
      <c r="D1" s="563"/>
      <c r="E1" s="563"/>
      <c r="F1" s="564"/>
      <c r="H1" s="512" t="s">
        <v>19</v>
      </c>
      <c r="I1" s="513"/>
      <c r="J1" s="513"/>
      <c r="K1" s="513"/>
      <c r="L1" s="514"/>
      <c r="M1" s="295"/>
      <c r="N1" s="512" t="s">
        <v>20</v>
      </c>
      <c r="O1" s="513"/>
      <c r="P1" s="513"/>
      <c r="Q1" s="513"/>
      <c r="R1" s="514"/>
      <c r="T1" s="512" t="s">
        <v>21</v>
      </c>
      <c r="U1" s="513"/>
      <c r="V1" s="513"/>
      <c r="W1" s="513"/>
      <c r="X1" s="514"/>
    </row>
    <row r="2" spans="1:24" x14ac:dyDescent="0.25">
      <c r="A2" s="130"/>
      <c r="B2" s="205" t="str">
        <f>IF('1 day'!$A$1="","","1 day")</f>
        <v>1 day</v>
      </c>
      <c r="C2" s="205" t="str">
        <f>IF('14 days'!$B$1="","","14 days")</f>
        <v>14 days</v>
      </c>
      <c r="D2" s="205" t="str">
        <f>IF('23 days'!$B$1="","","23 days")</f>
        <v>23 days</v>
      </c>
      <c r="E2" s="205" t="str">
        <f>IF('32 days'!$B$1="","","32 days")</f>
        <v>32 days</v>
      </c>
      <c r="F2" s="290" t="str">
        <f>IF('39 days'!$B$1="","","39 days")</f>
        <v>39 days</v>
      </c>
      <c r="H2" s="130"/>
      <c r="I2" s="205" t="str">
        <f>IF('14 days'!$B$1="","","14 days")</f>
        <v>14 days</v>
      </c>
      <c r="J2" s="205" t="str">
        <f>IF('23 days'!$B$1="","","23 days")</f>
        <v>23 days</v>
      </c>
      <c r="K2" s="205" t="str">
        <f>IF('32 days'!$B$1="","","32 days")</f>
        <v>32 days</v>
      </c>
      <c r="L2" s="290" t="str">
        <f>IF('39 days'!$B$1="","","39 days")</f>
        <v>39 days</v>
      </c>
      <c r="N2" s="130"/>
      <c r="O2" s="205" t="str">
        <f>IF('14 days'!$B$1="","","14 days")</f>
        <v>14 days</v>
      </c>
      <c r="P2" s="205" t="str">
        <f>IF('23 days'!$B$1="","","23 days")</f>
        <v>23 days</v>
      </c>
      <c r="Q2" s="205" t="str">
        <f>IF('32 days'!$B$1="","","32 days")</f>
        <v>32 days</v>
      </c>
      <c r="R2" s="290" t="str">
        <f>IF('39 days'!$B$1="","","39 days")</f>
        <v>39 days</v>
      </c>
      <c r="T2" s="130"/>
      <c r="U2" s="205" t="str">
        <f>IF('14 days'!$B$1="","","14 days")</f>
        <v>14 days</v>
      </c>
      <c r="V2" s="205" t="str">
        <f>IF('23 days'!$B$1="","","23 days")</f>
        <v>23 days</v>
      </c>
      <c r="W2" s="205" t="str">
        <f>IF('32 days'!$B$1="","","32 days")</f>
        <v>32 days</v>
      </c>
      <c r="X2" s="290" t="str">
        <f>IF('39 days'!$B$1="","","39 days")</f>
        <v>39 days</v>
      </c>
    </row>
    <row r="3" spans="1:24" x14ac:dyDescent="0.25">
      <c r="A3" s="131" t="str">
        <f>IF(B39="","",A39)</f>
        <v>T1</v>
      </c>
      <c r="B3" s="297">
        <f>IF(A3="","",IF($B$2="",0,AVERAGEIF('Raw data'!$B$4:$B$69,Summary!A3,'Raw data'!$F$4:$F$69)))</f>
        <v>4.5697727272727272E-2</v>
      </c>
      <c r="C3" s="297">
        <f>IF(C$2="","",IF($A3="","",(AVERAGEIFS('Raw data'!$Q$4:$Q$267,'Raw data'!$K$4:$K$267,Summary!C$2,'Raw data'!$N$4:$N$267,Summary!$A3))))</f>
        <v>0.35941792418108204</v>
      </c>
      <c r="D3" s="297">
        <f>IF(D$2="","",IF($A3="","",(AVERAGEIFS('Raw data'!$Q$4:$Q$267,'Raw data'!$K$4:$K$267,Summary!D$2,'Raw data'!$N$4:$N$267,Summary!$A3))))</f>
        <v>0.97892697215065638</v>
      </c>
      <c r="E3" s="298">
        <f>IF(E$2="","",IF($A3="","",(AVERAGEIFS('Raw data'!$Q$4:$Q$267,'Raw data'!$K$4:$K$267,Summary!E$2,'Raw data'!$N$4:$N$267,Summary!$A3))))</f>
        <v>1.4712527680948733</v>
      </c>
      <c r="F3" s="303">
        <f>IF(F$2="","",IF($A3="","",(AVERAGEIFS('Raw data'!$Q$4:$Q$267,'Raw data'!$K$4:$K$267,Summary!F$2,'Raw data'!$N$4:$N$267,Summary!$A3))))</f>
        <v>2.2981626655310863</v>
      </c>
      <c r="H3" s="131" t="str">
        <f>IF(I39="","",H39)</f>
        <v>T1</v>
      </c>
      <c r="I3" s="297">
        <f t="array" ref="I3">IF(I$2="","",IF($H3="","",(AVERAGEIFS('Raw data'!$S$4:$S$267,'Raw data'!$K$4:$K$267,Summary!I$2,'Raw data'!$N$4:$N$267,Summary!$H3))))</f>
        <v>0.31372019690835484</v>
      </c>
      <c r="J3" s="297">
        <f t="array" ref="J3">IF(J$2="","",IF($H3="","",(AVERAGEIFS('Raw data'!$S$4:$S$267,'Raw data'!$K$4:$K$267,Summary!J$2,'Raw data'!$N$4:$N$267,Summary!$H3))))</f>
        <v>0.61950904796957429</v>
      </c>
      <c r="K3" s="297">
        <f t="array" ref="K3">IF(K$2="","",IF($H3="","",(AVERAGEIFS('Raw data'!$S$4:$S$267,'Raw data'!$K$4:$K$267,Summary!K$2,'Raw data'!$N$4:$N$267,Summary!$H3))))</f>
        <v>0.49232579594421683</v>
      </c>
      <c r="L3" s="302">
        <f t="array" ref="L3">IF(L$2="","",IF($H3="","",(AVERAGEIFS('Raw data'!$S$4:$S$267,'Raw data'!$K$4:$K$267,Summary!L$2,'Raw data'!$N$4:$N$267,Summary!$H3))))</f>
        <v>0.82690989743621335</v>
      </c>
      <c r="M3" s="42"/>
      <c r="N3" s="131" t="str">
        <f>IF(O39="","",N39)</f>
        <v>T1</v>
      </c>
      <c r="O3" s="297">
        <f>IF(O$2="","",IF($N3="","",(AVERAGEIFS('Raw data'!$V$4:$V$267,'Raw data'!$K$4:$K$267,Summary!O$2,'Raw data'!$N$4:$N$267,Summary!$N3))))</f>
        <v>0.41367500920132499</v>
      </c>
      <c r="P3" s="297">
        <f t="array" ref="P3">IF(P$2="","",IF($N3="","",(AVERAGEIFS('Raw data'!$V$4:$V$267,'Raw data'!$K$4:$K$267,Summary!P$2,'Raw data'!$N$4:$N$267,Summary!$N3))))</f>
        <v>0.83685500245368682</v>
      </c>
      <c r="Q3" s="297">
        <f t="array" ref="Q3">IF(Q$2="","",IF($N3="","",(AVERAGEIFS('Raw data'!$V$4:$V$267,'Raw data'!$K$4:$K$267,Summary!Q$2,'Raw data'!$N$4:$N$267,Summary!$N3))))</f>
        <v>1.4097951152687995</v>
      </c>
      <c r="R3" s="302">
        <f t="array" ref="R3">IF(R$2="","",IF($N3="","",(AVERAGEIFS('Raw data'!$V$4:$V$267,'Raw data'!$K$4:$K$267,Summary!R$2,'Raw data'!$N$4:$N$267,Summary!$N3))))</f>
        <v>1.4307244103296735</v>
      </c>
      <c r="T3" s="131" t="str">
        <f>IF(U39="","",T39)</f>
        <v>T1</v>
      </c>
      <c r="U3" s="297">
        <f t="array" ref="U3">IF(U$2="","",IF($T3="","",(AVERAGEIFS('Raw data'!$W$4:$W$267,'Raw data'!$K$4:$K$267,Summary!U$2,'Raw data'!$N$4:$N$267,Summary!$T3))))</f>
        <v>1.138436058792015</v>
      </c>
      <c r="V3" s="297">
        <f t="array" ref="V3">IF(V$2="","",IF($T3="","",(AVERAGEIFS('Raw data'!$W$4:$W$267,'Raw data'!$K$4:$K$267,Summary!V$2,'Raw data'!$N$4:$N$267,Summary!$T3))))</f>
        <v>1.2723653898300842</v>
      </c>
      <c r="W3" s="297">
        <f t="array" ref="W3">IF(W$2="","",IF($T3="","",(AVERAGEIFS('Raw data'!$W$4:$W$267,'Raw data'!$K$4:$K$267,Summary!W$2,'Raw data'!$N$4:$N$267,Summary!$T3))))</f>
        <v>1.791379783747127</v>
      </c>
      <c r="X3" s="302">
        <f t="array" ref="X3">IF(X$2="","",IF($T3="","",(AVERAGEIFS('Raw data'!$W$4:$W$267,'Raw data'!$K$4:$K$267,Summary!X$2,'Raw data'!$N$4:$N$267,Summary!$T3))))</f>
        <v>1.7586059473440385</v>
      </c>
    </row>
    <row r="4" spans="1:24" x14ac:dyDescent="0.25">
      <c r="A4" s="131" t="str">
        <f>IF(A3="","","Std.Dev.")</f>
        <v>Std.Dev.</v>
      </c>
      <c r="B4" s="297">
        <f t="array" ref="B4">IF(A3="","",IF($B$2="",0,_xlfn.STDEV.S(IF('Raw data'!$B$4:$B$69=A3,'Raw data'!$F$4:$F$69))))</f>
        <v>2.3088269355198263E-4</v>
      </c>
      <c r="C4" s="298">
        <f t="array" ref="C4">IF(C$2="","",IF($A3="","",_xlfn.STDEV.S(IF('Raw data'!$K$4:$K$267=Summary!C$2,IF('Raw data'!$N$4:$N$267=Summary!$A3,'Raw data'!$Q$4:$Q$267)))))</f>
        <v>1.3532244076068652E-2</v>
      </c>
      <c r="D4" s="297">
        <f t="array" ref="D4">IF(D$2="","",IF($A3="","",_xlfn.STDEV.S(IF('Raw data'!$K$4:$K$267=Summary!D$2,IF('Raw data'!$N$4:$N$267=Summary!$A3,'Raw data'!$Q$4:$Q$267)))))</f>
        <v>3.9000590866663201E-2</v>
      </c>
      <c r="E4" s="298">
        <f t="array" ref="E4">IF(E$2="","",IF($A3="","",_xlfn.STDEV.S(IF('Raw data'!$K$4:$K$267=Summary!E$2,IF('Raw data'!$N$4:$N$267=Summary!$A3,'Raw data'!$Q$4:$Q$267)))))</f>
        <v>6.3753422981905533E-2</v>
      </c>
      <c r="F4" s="303">
        <f t="array" ref="F4">IF(F$2="","",IF($A3="","",_xlfn.STDEV.S(IF('Raw data'!$K$4:$K$267=Summary!F$2,IF('Raw data'!$N$4:$N$267=Summary!$A3,'Raw data'!$Q$4:$Q$267)))))</f>
        <v>8.5759765636406471E-2</v>
      </c>
      <c r="H4" s="131" t="str">
        <f>IF(H3="","","Std.Dev.")</f>
        <v>Std.Dev.</v>
      </c>
      <c r="I4" s="297">
        <f t="array" ref="I4">IF(I$2="","",IF($H3="","",_xlfn.STDEV.S(IF('Raw data'!$K$4:$K$267=Summary!I$2,IF('Raw data'!$N$4:$N$267=Summary!$H3,'Raw data'!$S$4:$S$267)))))</f>
        <v>1.3558886393724013E-2</v>
      </c>
      <c r="J4" s="298">
        <f t="array" ref="J4">IF(J$2="","",IF($H3="","",_xlfn.STDEV.S(IF('Raw data'!$K$4:$K$267=Summary!J$2,IF('Raw data'!$N$4:$N$267=Summary!$H3,'Raw data'!$S$4:$S$267)))))</f>
        <v>2.7260508239430443E-2</v>
      </c>
      <c r="K4" s="297">
        <f t="array" ref="K4">IF(K$2="","",IF($H3="","",_xlfn.STDEV.S(IF('Raw data'!$K$4:$K$267=Summary!K$2,IF('Raw data'!$N$4:$N$267=Summary!$H3,'Raw data'!$S$4:$S$267)))))</f>
        <v>3.8867392067994132E-2</v>
      </c>
      <c r="L4" s="302">
        <f t="array" ref="L4">IF(L$2="","",IF($H3="","",_xlfn.STDEV.S(IF('Raw data'!$K$4:$K$267=Summary!L$2,IF('Raw data'!$N$4:$N$267=Summary!$H3,'Raw data'!$S$4:$S$267)))))</f>
        <v>3.2198353253633016E-2</v>
      </c>
      <c r="M4" s="42"/>
      <c r="N4" s="131" t="str">
        <f>IF(N3="","","Std.Dev.")</f>
        <v>Std.Dev.</v>
      </c>
      <c r="O4" s="297">
        <f t="array" ref="O4">IF(O$2="","",IF($N3="","",_xlfn.STDEV.S(IF('Raw data'!$K$4:$K$267=Summary!O$2,IF('Raw data'!$N$4:$N$267=Summary!$N3,'Raw data'!$V$4:$V$267)))))</f>
        <v>1.7359172263887505E-2</v>
      </c>
      <c r="P4" s="298">
        <f t="array" ref="P4">IF(P$2="","",IF($N3="","",_xlfn.STDEV.S(IF('Raw data'!$K$4:$K$267=Summary!P$2,IF('Raw data'!$N$4:$N$267=Summary!$N3,'Raw data'!$V$4:$V$267)))))</f>
        <v>2.6474486699823638E-2</v>
      </c>
      <c r="Q4" s="297">
        <f t="array" ref="Q4">IF(Q$2="","",IF($N3="","",_xlfn.STDEV.S(IF('Raw data'!$K$4:$K$267=Summary!Q$2,IF('Raw data'!$N$4:$N$267=Summary!$N3,'Raw data'!$V$4:$V$267)))))</f>
        <v>5.3190777081738562E-2</v>
      </c>
      <c r="R4" s="302">
        <f t="array" ref="R4">IF(R$2="","",IF($N3="","",_xlfn.STDEV.S(IF('Raw data'!$K$4:$K$267=Summary!R$2,IF('Raw data'!$N$4:$N$267=Summary!$N3,'Raw data'!$V$4:$V$267)))))</f>
        <v>5.8968797819434995E-2</v>
      </c>
      <c r="T4" s="131" t="str">
        <f>IF(T3="","","Std.Dev.")</f>
        <v>Std.Dev.</v>
      </c>
      <c r="U4" s="297">
        <f t="array" ref="U4">IF(U$2="","",IF($T3="","",_xlfn.STDEV.S(IF('Raw data'!$K$4:$K$267=Summary!U$2,IF('Raw data'!$N$4:$N$267=Summary!$T3,'Raw data'!$W$4:$W$267)))))</f>
        <v>1.8997296078379994E-2</v>
      </c>
      <c r="V4" s="298">
        <f t="array" ref="V4">IF(V$2="","",IF($T3="","",_xlfn.STDEV.S(IF('Raw data'!$K$4:$K$267=Summary!V$2,IF('Raw data'!$N$4:$N$267=Summary!$T3,'Raw data'!$W$4:$W$267)))))</f>
        <v>2.4431571986129476E-2</v>
      </c>
      <c r="W4" s="297">
        <f t="array" ref="W4">IF(W$2="","",IF($T3="","",_xlfn.STDEV.S(IF('Raw data'!$K$4:$K$267=Summary!W$2,IF('Raw data'!$N$4:$N$267=Summary!$T3,'Raw data'!$W$4:$W$267)))))</f>
        <v>3.1835257445119856E-2</v>
      </c>
      <c r="X4" s="302">
        <f t="array" ref="X4">IF(X$2="","",IF($T3="","",_xlfn.STDEV.S(IF('Raw data'!$K$4:$K$267=Summary!X$2,IF('Raw data'!$N$4:$N$267=Summary!$T3,'Raw data'!$W$4:$W$267)))))</f>
        <v>2.3043127667458942E-2</v>
      </c>
    </row>
    <row r="5" spans="1:24" x14ac:dyDescent="0.25">
      <c r="A5" s="131" t="str">
        <f>IF(B40="","",A40)</f>
        <v>T2</v>
      </c>
      <c r="B5" s="297">
        <f>IF(A5="","",IF($B$2="",0,AVERAGEIF('Raw data'!$B$4:$B$69,Summary!A5,'Raw data'!$F$4:$F$69)))</f>
        <v>4.5695454545454546E-2</v>
      </c>
      <c r="C5" s="297">
        <f>IF(C$2="","",IF($A5="","",(AVERAGEIFS('Raw data'!$Q$4:$Q$267,'Raw data'!$K$4:$K$267,Summary!C$2,'Raw data'!$N$4:$N$267,Summary!$A5))))</f>
        <v>0.35690493290493291</v>
      </c>
      <c r="D5" s="297">
        <f>IF(D$2="","",IF($A5="","",(AVERAGEIFS('Raw data'!$Q$4:$Q$267,'Raw data'!$K$4:$K$267,Summary!D$2,'Raw data'!$N$4:$N$267,Summary!$A5))))</f>
        <v>0.95578064953064945</v>
      </c>
      <c r="E5" s="298">
        <f>IF(E$2="","",IF($A5="","",(AVERAGEIFS('Raw data'!$Q$4:$Q$267,'Raw data'!$K$4:$K$267,Summary!E$2,'Raw data'!$N$4:$N$267,Summary!$A5))))</f>
        <v>1.4588880875722978</v>
      </c>
      <c r="F5" s="303">
        <f>IF(F$2="","",IF($A5="","",(AVERAGEIFS('Raw data'!$Q$4:$Q$267,'Raw data'!$K$4:$K$267,Summary!F$2,'Raw data'!$N$4:$N$267,Summary!$A5))))</f>
        <v>2.2823023880609017</v>
      </c>
      <c r="H5" s="131" t="str">
        <f>IF(I40="","",H40)</f>
        <v>T2</v>
      </c>
      <c r="I5" s="298">
        <f t="array" ref="I5">IF(I$2="","",IF($H5="","",(AVERAGEIFS('Raw data'!$S$4:$S$267,'Raw data'!$K$4:$K$267,Summary!I$2,'Raw data'!$N$4:$N$267,Summary!$H5))))</f>
        <v>0.31120947835947838</v>
      </c>
      <c r="J5" s="298">
        <f t="array" ref="J5">IF(J$2="","",IF($H5="","",(AVERAGEIFS('Raw data'!$S$4:$S$267,'Raw data'!$K$4:$K$267,Summary!J$2,'Raw data'!$N$4:$N$267,Summary!$H5))))</f>
        <v>0.59887571662571659</v>
      </c>
      <c r="K5" s="297">
        <f t="array" ref="K5">IF(K$2="","",IF($H5="","",(AVERAGEIFS('Raw data'!$S$4:$S$267,'Raw data'!$K$4:$K$267,Summary!K$2,'Raw data'!$N$4:$N$267,Summary!$H5))))</f>
        <v>0.50310743804164859</v>
      </c>
      <c r="L5" s="302">
        <f t="array" ref="L5">IF(L$2="","",IF($H5="","",(AVERAGEIFS('Raw data'!$S$4:$S$267,'Raw data'!$K$4:$K$267,Summary!L$2,'Raw data'!$N$4:$N$267,Summary!$H5))))</f>
        <v>0.82341430048860387</v>
      </c>
      <c r="M5" s="42"/>
      <c r="N5" s="131" t="str">
        <f>IF(O40="","",N40)</f>
        <v>T2</v>
      </c>
      <c r="O5" s="298">
        <f t="array" ref="O5">IF(O$2="","",IF($N5="","",(AVERAGEIFS('Raw data'!$V$4:$V$267,'Raw data'!$K$4:$K$267,Summary!O$2,'Raw data'!$N$4:$N$267,Summary!$N5))))</f>
        <v>0.41430377055377049</v>
      </c>
      <c r="P5" s="298">
        <f t="array" ref="P5">IF(P$2="","",IF($N5="","",(AVERAGEIFS('Raw data'!$V$4:$V$267,'Raw data'!$K$4:$K$267,Summary!P$2,'Raw data'!$N$4:$N$267,Summary!$N5))))</f>
        <v>0.81357055219555219</v>
      </c>
      <c r="Q5" s="297">
        <f t="array" ref="Q5">IF(Q$2="","",IF($N5="","",(AVERAGEIFS('Raw data'!$V$4:$V$267,'Raw data'!$K$4:$K$267,Summary!Q$2,'Raw data'!$N$4:$N$267,Summary!$N5))))</f>
        <v>1.4027930170824907</v>
      </c>
      <c r="R5" s="302">
        <f t="array" ref="R5">IF(R$2="","",IF($N5="","",(AVERAGEIFS('Raw data'!$V$4:$V$267,'Raw data'!$K$4:$K$267,Summary!R$2,'Raw data'!$N$4:$N$267,Summary!$N5))))</f>
        <v>1.4070652327618272</v>
      </c>
      <c r="T5" s="131" t="str">
        <f>IF(U40="","",T40)</f>
        <v>T2</v>
      </c>
      <c r="U5" s="298">
        <f t="array" ref="U5">IF(U$2="","",IF($T5="","",(AVERAGEIFS('Raw data'!$W$4:$W$267,'Raw data'!$K$4:$K$267,Summary!U$2,'Raw data'!$N$4:$N$267,Summary!$T5))))</f>
        <v>1.1467248349884895</v>
      </c>
      <c r="V5" s="298">
        <f t="array" ref="V5">IF(V$2="","",IF($T5="","",(AVERAGEIFS('Raw data'!$W$4:$W$267,'Raw data'!$K$4:$K$267,Summary!V$2,'Raw data'!$N$4:$N$267,Summary!$T5))))</f>
        <v>1.2780451849640015</v>
      </c>
      <c r="W5" s="297">
        <f t="array" ref="W5">IF(W$2="","",IF($T5="","",(AVERAGEIFS('Raw data'!$W$4:$W$267,'Raw data'!$K$4:$K$267,Summary!W$2,'Raw data'!$N$4:$N$267,Summary!$T5))))</f>
        <v>1.7837140967366367</v>
      </c>
      <c r="X5" s="302">
        <f t="array" ref="X5">IF(X$2="","",IF($T5="","",(AVERAGEIFS('Raw data'!$W$4:$W$267,'Raw data'!$K$4:$K$267,Summary!X$2,'Raw data'!$N$4:$N$267,Summary!$T5))))</f>
        <v>1.749826969288879</v>
      </c>
    </row>
    <row r="6" spans="1:24" x14ac:dyDescent="0.25">
      <c r="A6" s="131" t="str">
        <f>IF(A5="","","Std.Dev.")</f>
        <v>Std.Dev.</v>
      </c>
      <c r="B6" s="297">
        <f t="array" ref="B6">IF(A5="","",IF($B$2="",0,_xlfn.STDEV.S(IF('Raw data'!$B$4:$B$69=A5,'Raw data'!$F$4:$F$69))))</f>
        <v>1.5922397032882042E-4</v>
      </c>
      <c r="C6" s="298">
        <f t="array" ref="C6">IF(C$2="","",IF($A5="","",_xlfn.STDEV.S(IF('Raw data'!$K$4:$K$267=Summary!C$2,IF('Raw data'!$N$4:$N$267=Summary!$A5,'Raw data'!$Q$4:$Q$267)))))</f>
        <v>1.7242836490997501E-2</v>
      </c>
      <c r="D6" s="297">
        <f t="array" ref="D6">IF(D$2="","",IF($A5="","",_xlfn.STDEV.S(IF('Raw data'!$K$4:$K$267=Summary!D$2,IF('Raw data'!$N$4:$N$267=Summary!$A5,'Raw data'!$Q$4:$Q$267)))))</f>
        <v>4.9369475964709808E-2</v>
      </c>
      <c r="E6" s="298">
        <f t="array" ref="E6">IF(E$2="","",IF($A5="","",_xlfn.STDEV.S(IF('Raw data'!$K$4:$K$267=Summary!E$2,IF('Raw data'!$N$4:$N$267=Summary!$A5,'Raw data'!$Q$4:$Q$267)))))</f>
        <v>6.7971340475540487E-2</v>
      </c>
      <c r="F6" s="303">
        <f t="array" ref="F6">IF(F$2="","",IF($A5="","",_xlfn.STDEV.S(IF('Raw data'!$K$4:$K$267=Summary!F$2,IF('Raw data'!$N$4:$N$267=Summary!$A5,'Raw data'!$Q$4:$Q$267)))))</f>
        <v>8.8281823265193335E-2</v>
      </c>
      <c r="H6" s="131" t="str">
        <f>IF(H5="","","Std.Dev.")</f>
        <v>Std.Dev.</v>
      </c>
      <c r="I6" s="298">
        <f t="array" ref="I6">IF(I$2="","",IF($H5="","",_xlfn.STDEV.S(IF('Raw data'!$K$4:$K$267=Summary!I$2,IF('Raw data'!$N$4:$N$267=Summary!$H5,'Raw data'!$S$4:$S$267)))))</f>
        <v>1.7236279525330335E-2</v>
      </c>
      <c r="J6" s="298">
        <f t="array" ref="J6">IF(J$2="","",IF($H5="","",_xlfn.STDEV.S(IF('Raw data'!$K$4:$K$267=Summary!J$2,IF('Raw data'!$N$4:$N$267=Summary!$H5,'Raw data'!$S$4:$S$267)))))</f>
        <v>3.669237698014513E-2</v>
      </c>
      <c r="K6" s="297">
        <f t="array" ref="K6">IF(K$2="","",IF($H5="","",_xlfn.STDEV.S(IF('Raw data'!$K$4:$K$267=Summary!K$2,IF('Raw data'!$N$4:$N$267=Summary!$H5,'Raw data'!$S$4:$S$267)))))</f>
        <v>5.186336882686856E-2</v>
      </c>
      <c r="L6" s="302">
        <f t="array" ref="L6">IF(L$2="","",IF($H5="","",_xlfn.STDEV.S(IF('Raw data'!$K$4:$K$267=Summary!L$2,IF('Raw data'!$N$4:$N$267=Summary!$H5,'Raw data'!$S$4:$S$267)))))</f>
        <v>4.1492214775774923E-2</v>
      </c>
      <c r="M6" s="42"/>
      <c r="N6" s="131" t="str">
        <f>IF(N5="","","Std.Dev.")</f>
        <v>Std.Dev.</v>
      </c>
      <c r="O6" s="298">
        <f t="array" ref="O6">IF(O$2="","",IF($N5="","",_xlfn.STDEV.S(IF('Raw data'!$K$4:$K$267=Summary!O$2,IF('Raw data'!$N$4:$N$267=Summary!$N5,'Raw data'!$V$4:$V$267)))))</f>
        <v>2.1968056575959041E-2</v>
      </c>
      <c r="P6" s="298">
        <f t="array" ref="P6">IF(P$2="","",IF($N5="","",_xlfn.STDEV.S(IF('Raw data'!$K$4:$K$267=Summary!P$2,IF('Raw data'!$N$4:$N$267=Summary!$N5,'Raw data'!$V$4:$V$267)))))</f>
        <v>4.5737777159922742E-2</v>
      </c>
      <c r="Q6" s="297">
        <f t="array" ref="Q6">IF(Q$2="","",IF($N5="","",_xlfn.STDEV.S(IF('Raw data'!$K$4:$K$267=Summary!Q$2,IF('Raw data'!$N$4:$N$267=Summary!$N5,'Raw data'!$V$4:$V$267)))))</f>
        <v>5.2117099315556581E-2</v>
      </c>
      <c r="R6" s="302">
        <f t="array" ref="R6">IF(R$2="","",IF($N5="","",_xlfn.STDEV.S(IF('Raw data'!$K$4:$K$267=Summary!R$2,IF('Raw data'!$N$4:$N$267=Summary!$N5,'Raw data'!$V$4:$V$267)))))</f>
        <v>3.3820227687135114E-2</v>
      </c>
      <c r="T6" s="131" t="str">
        <f>IF(T5="","","Std.Dev.")</f>
        <v>Std.Dev.</v>
      </c>
      <c r="U6" s="298">
        <f t="array" ref="U6">IF(U$2="","",IF($T5="","",_xlfn.STDEV.S(IF('Raw data'!$K$4:$K$267=Summary!U$2,IF('Raw data'!$N$4:$N$267=Summary!$T5,'Raw data'!$W$4:$W$267)))))</f>
        <v>2.2768006750455937E-2</v>
      </c>
      <c r="V6" s="298">
        <f t="array" ref="V6">IF(V$2="","",IF($T5="","",_xlfn.STDEV.S(IF('Raw data'!$K$4:$K$267=Summary!V$2,IF('Raw data'!$N$4:$N$267=Summary!$T5,'Raw data'!$W$4:$W$267)))))</f>
        <v>2.2806033192635695E-2</v>
      </c>
      <c r="W6" s="297">
        <f t="array" ref="W6">IF(W$2="","",IF($T5="","",_xlfn.STDEV.S(IF('Raw data'!$K$4:$K$267=Summary!W$2,IF('Raw data'!$N$4:$N$267=Summary!$T5,'Raw data'!$W$4:$W$267)))))</f>
        <v>3.5248274781032388E-2</v>
      </c>
      <c r="X6" s="302">
        <f t="array" ref="X6">IF(X$2="","",IF($T5="","",_xlfn.STDEV.S(IF('Raw data'!$K$4:$K$267=Summary!X$2,IF('Raw data'!$N$4:$N$267=Summary!$T5,'Raw data'!$W$4:$W$267)))))</f>
        <v>2.7062554163442769E-2</v>
      </c>
    </row>
    <row r="7" spans="1:24" x14ac:dyDescent="0.25">
      <c r="A7" s="131" t="str">
        <f>IF(B41="","",A41)</f>
        <v>T3</v>
      </c>
      <c r="B7" s="297">
        <f>IF(A7="","",IF($B$2="",0,AVERAGEIF('Raw data'!$B$4:$B$69,Summary!A7,'Raw data'!$F$4:$F$69)))</f>
        <v>4.5609090909090912E-2</v>
      </c>
      <c r="C7" s="297">
        <f>IF(C$2="","",IF($A7="","",(AVERAGEIFS('Raw data'!$Q$4:$Q$267,'Raw data'!$K$4:$K$267,Summary!C$2,'Raw data'!$N$4:$N$267,Summary!$A7))))</f>
        <v>0.34890090172984911</v>
      </c>
      <c r="D7" s="297">
        <f>IF(D$2="","",IF($A7="","",(AVERAGEIFS('Raw data'!$Q$4:$Q$267,'Raw data'!$K$4:$K$267,Summary!D$2,'Raw data'!$N$4:$N$267,Summary!$A7))))</f>
        <v>0.9567332860637815</v>
      </c>
      <c r="E7" s="298">
        <f>IF(E$2="","",IF($A7="","",(AVERAGEIFS('Raw data'!$Q$4:$Q$267,'Raw data'!$K$4:$K$267,Summary!E$2,'Raw data'!$N$4:$N$267,Summary!$A7))))</f>
        <v>1.4510038460270656</v>
      </c>
      <c r="F7" s="303">
        <f>IF(F$2="","",IF($A7="","",(AVERAGEIFS('Raw data'!$Q$4:$Q$267,'Raw data'!$K$4:$K$267,Summary!F$2,'Raw data'!$N$4:$N$267,Summary!$A7))))</f>
        <v>2.2948927341032608</v>
      </c>
      <c r="H7" s="131" t="str">
        <f>IF(I41="","",H41)</f>
        <v>T3</v>
      </c>
      <c r="I7" s="298">
        <f t="array" ref="I7">IF(I$2="","",IF($H7="","",(AVERAGEIFS('Raw data'!$S$4:$S$267,'Raw data'!$K$4:$K$267,Summary!I$2,'Raw data'!$N$4:$N$267,Summary!$H7))))</f>
        <v>0.30329181082075823</v>
      </c>
      <c r="J7" s="298">
        <f t="array" ref="J7">IF(J$2="","",IF($H7="","",(AVERAGEIFS('Raw data'!$S$4:$S$267,'Raw data'!$K$4:$K$267,Summary!J$2,'Raw data'!$N$4:$N$267,Summary!$H7))))</f>
        <v>0.60783238433393239</v>
      </c>
      <c r="K7" s="298">
        <f t="array" ref="K7">IF(K$2="","",IF($H7="","",(AVERAGEIFS('Raw data'!$S$4:$S$267,'Raw data'!$K$4:$K$267,Summary!K$2,'Raw data'!$N$4:$N$267,Summary!$H7))))</f>
        <v>0.49427055996328434</v>
      </c>
      <c r="L7" s="302">
        <f t="array" ref="L7">IF(L$2="","",IF($H7="","",(AVERAGEIFS('Raw data'!$S$4:$S$267,'Raw data'!$K$4:$K$267,Summary!L$2,'Raw data'!$N$4:$N$267,Summary!$H7))))</f>
        <v>0.84388888807619467</v>
      </c>
      <c r="M7" s="42"/>
      <c r="N7" s="131" t="str">
        <f>IF(O41="","",N41)</f>
        <v>T3</v>
      </c>
      <c r="O7" s="298">
        <f t="array" ref="O7">IF(O$2="","",IF($N7="","",(AVERAGEIFS('Raw data'!$V$4:$V$267,'Raw data'!$K$4:$K$267,Summary!O$2,'Raw data'!$N$4:$N$267,Summary!$N7))))</f>
        <v>0.40400298531877488</v>
      </c>
      <c r="P7" s="298">
        <f t="array" ref="P7">IF(P$2="","",IF($N7="","",(AVERAGEIFS('Raw data'!$V$4:$V$267,'Raw data'!$K$4:$K$267,Summary!P$2,'Raw data'!$N$4:$N$267,Summary!$N7))))</f>
        <v>0.82762907564571642</v>
      </c>
      <c r="Q7" s="298">
        <f t="array" ref="Q7">IF(Q$2="","",IF($N7="","",(AVERAGEIFS('Raw data'!$V$4:$V$267,'Raw data'!$K$4:$K$267,Summary!Q$2,'Raw data'!$N$4:$N$267,Summary!$N7))))</f>
        <v>1.395852424692982</v>
      </c>
      <c r="R7" s="302">
        <f t="array" ref="R7">IF(R$2="","",IF($N7="","",(AVERAGEIFS('Raw data'!$V$4:$V$267,'Raw data'!$K$4:$K$267,Summary!R$2,'Raw data'!$N$4:$N$267,Summary!$N7))))</f>
        <v>1.4164089142456016</v>
      </c>
      <c r="T7" s="131" t="str">
        <f>IF(U41="","",T41)</f>
        <v>T3</v>
      </c>
      <c r="U7" s="298">
        <f t="array" ref="U7">IF(U$2="","",IF($T7="","",(AVERAGEIFS('Raw data'!$W$4:$W$267,'Raw data'!$K$4:$K$267,Summary!U$2,'Raw data'!$N$4:$N$267,Summary!$T7))))</f>
        <v>1.1404130278350424</v>
      </c>
      <c r="V7" s="298">
        <f t="array" ref="V7">IF(V$2="","",IF($T7="","",(AVERAGEIFS('Raw data'!$W$4:$W$267,'Raw data'!$K$4:$K$267,Summary!V$2,'Raw data'!$N$4:$N$267,Summary!$T7))))</f>
        <v>1.2778342630542663</v>
      </c>
      <c r="W7" s="298">
        <f t="array" ref="W7">IF(W$2="","",IF($T7="","",(AVERAGEIFS('Raw data'!$W$4:$W$267,'Raw data'!$K$4:$K$267,Summary!W$2,'Raw data'!$N$4:$N$267,Summary!$T7))))</f>
        <v>1.7970580204156257</v>
      </c>
      <c r="X7" s="302">
        <f t="array" ref="X7">IF(X$2="","",IF($T7="","",(AVERAGEIFS('Raw data'!$W$4:$W$267,'Raw data'!$K$4:$K$267,Summary!X$2,'Raw data'!$N$4:$N$267,Summary!$T7))))</f>
        <v>1.7478586159346856</v>
      </c>
    </row>
    <row r="8" spans="1:24" x14ac:dyDescent="0.25">
      <c r="A8" s="131" t="str">
        <f>IF(A7="","","Std.Dev.")</f>
        <v>Std.Dev.</v>
      </c>
      <c r="B8" s="298">
        <f t="array" ref="B8">IF(A7="","",IF($B$2="",0,_xlfn.STDEV.S(IF('Raw data'!$B$4:$B$69=A7,'Raw data'!$F$4:$F$69))))</f>
        <v>1.5259125436633403E-4</v>
      </c>
      <c r="C8" s="298">
        <f t="array" ref="C8">IF(C$2="","",IF($A7="","",_xlfn.STDEV.S(IF('Raw data'!$K$4:$K$267=Summary!C$2,IF('Raw data'!$N$4:$N$267=Summary!$A7,'Raw data'!$Q$4:$Q$267)))))</f>
        <v>1.2863052576866846E-2</v>
      </c>
      <c r="D8" s="297">
        <f t="array" ref="D8">IF(D$2="","",IF($A7="","",_xlfn.STDEV.S(IF('Raw data'!$K$4:$K$267=Summary!D$2,IF('Raw data'!$N$4:$N$267=Summary!$A7,'Raw data'!$Q$4:$Q$267)))))</f>
        <v>3.4793018395718786E-2</v>
      </c>
      <c r="E8" s="298">
        <f t="array" ref="E8">IF(E$2="","",IF($A7="","",_xlfn.STDEV.S(IF('Raw data'!$K$4:$K$267=Summary!E$2,IF('Raw data'!$N$4:$N$267=Summary!$A7,'Raw data'!$Q$4:$Q$267)))))</f>
        <v>5.2426251726070544E-2</v>
      </c>
      <c r="F8" s="303">
        <f t="array" ref="F8">IF(F$2="","",IF($A7="","",_xlfn.STDEV.S(IF('Raw data'!$K$4:$K$267=Summary!F$2,IF('Raw data'!$N$4:$N$267=Summary!$A7,'Raw data'!$Q$4:$Q$267)))))</f>
        <v>6.2145356260847405E-2</v>
      </c>
      <c r="H8" s="131" t="str">
        <f>IF(H7="","","Std.Dev.")</f>
        <v>Std.Dev.</v>
      </c>
      <c r="I8" s="298">
        <f t="array" ref="I8">IF(I$2="","",IF($H7="","",_xlfn.STDEV.S(IF('Raw data'!$K$4:$K$267=Summary!I$2,IF('Raw data'!$N$4:$N$267=Summary!$H7,'Raw data'!$S$4:$S$267)))))</f>
        <v>1.2864470550052286E-2</v>
      </c>
      <c r="J8" s="298">
        <f t="array" ref="J8">IF(J$2="","",IF($H7="","",_xlfn.STDEV.S(IF('Raw data'!$K$4:$K$267=Summary!J$2,IF('Raw data'!$N$4:$N$267=Summary!$H7,'Raw data'!$S$4:$S$267)))))</f>
        <v>2.6347353296224313E-2</v>
      </c>
      <c r="K8" s="297">
        <f t="array" ref="K8">IF(K$2="","",IF($H7="","",_xlfn.STDEV.S(IF('Raw data'!$K$4:$K$267=Summary!K$2,IF('Raw data'!$N$4:$N$267=Summary!$H7,'Raw data'!$S$4:$S$267)))))</f>
        <v>3.5295932743135194E-2</v>
      </c>
      <c r="L8" s="302">
        <f t="array" ref="L8">IF(L$2="","",IF($H7="","",_xlfn.STDEV.S(IF('Raw data'!$K$4:$K$267=Summary!L$2,IF('Raw data'!$N$4:$N$267=Summary!$H7,'Raw data'!$S$4:$S$267)))))</f>
        <v>2.5242751594622408E-2</v>
      </c>
      <c r="M8" s="42"/>
      <c r="N8" s="131" t="str">
        <f>IF(N7="","","Std.Dev.")</f>
        <v>Std.Dev.</v>
      </c>
      <c r="O8" s="298">
        <f t="array" ref="O8">IF(O$2="","",IF($N7="","",_xlfn.STDEV.S(IF('Raw data'!$K$4:$K$267=Summary!O$2,IF('Raw data'!$N$4:$N$267=Summary!$N7,'Raw data'!$V$4:$V$267)))))</f>
        <v>1.4498187713991043E-2</v>
      </c>
      <c r="P8" s="298">
        <f t="array" ref="P8">IF(P$2="","",IF($N7="","",_xlfn.STDEV.S(IF('Raw data'!$K$4:$K$267=Summary!P$2,IF('Raw data'!$N$4:$N$267=Summary!$N7,'Raw data'!$V$4:$V$267)))))</f>
        <v>2.7717459827184397E-2</v>
      </c>
      <c r="Q8" s="297">
        <f t="array" ref="Q8">IF(Q$2="","",IF($N7="","",_xlfn.STDEV.S(IF('Raw data'!$K$4:$K$267=Summary!Q$2,IF('Raw data'!$N$4:$N$267=Summary!$N7,'Raw data'!$V$4:$V$267)))))</f>
        <v>4.017276965077049E-2</v>
      </c>
      <c r="R8" s="302">
        <f t="array" ref="R8">IF(R$2="","",IF($N7="","",_xlfn.STDEV.S(IF('Raw data'!$K$4:$K$267=Summary!R$2,IF('Raw data'!$N$4:$N$267=Summary!$N7,'Raw data'!$V$4:$V$267)))))</f>
        <v>3.6949497401034558E-2</v>
      </c>
      <c r="T8" s="131" t="str">
        <f>IF(T7="","","Std.Dev.")</f>
        <v>Std.Dev.</v>
      </c>
      <c r="U8" s="298">
        <f t="array" ref="U8">IF(U$2="","",IF($T7="","",_xlfn.STDEV.S(IF('Raw data'!$K$4:$K$267=Summary!U$2,IF('Raw data'!$N$4:$N$267=Summary!$T7,'Raw data'!$W$4:$W$267)))))</f>
        <v>2.9598874580614006E-2</v>
      </c>
      <c r="V8" s="298">
        <f t="array" ref="V8">IF(V$2="","",IF($T7="","",_xlfn.STDEV.S(IF('Raw data'!$K$4:$K$267=Summary!V$2,IF('Raw data'!$N$4:$N$267=Summary!$T7,'Raw data'!$W$4:$W$267)))))</f>
        <v>1.7393636594672936E-2</v>
      </c>
      <c r="W8" s="297">
        <f t="array" ref="W8">IF(W$2="","",IF($T7="","",_xlfn.STDEV.S(IF('Raw data'!$K$4:$K$267=Summary!W$2,IF('Raw data'!$N$4:$N$267=Summary!$T7,'Raw data'!$W$4:$W$267)))))</f>
        <v>2.7022848764426E-2</v>
      </c>
      <c r="X8" s="302">
        <f t="array" ref="X8">IF(X$2="","",IF($T7="","",_xlfn.STDEV.S(IF('Raw data'!$K$4:$K$267=Summary!X$2,IF('Raw data'!$N$4:$N$267=Summary!$T7,'Raw data'!$W$4:$W$267)))))</f>
        <v>1.5991605137089419E-2</v>
      </c>
    </row>
    <row r="9" spans="1:24" x14ac:dyDescent="0.25">
      <c r="A9" s="131" t="str">
        <f>IF(B42="","",A42)</f>
        <v>T4</v>
      </c>
      <c r="B9" s="297">
        <f>IF(A9="","",IF($B$2="",0,AVERAGEIF('Raw data'!$B$4:$B$69,Summary!A9,'Raw data'!$F$4:$F$69)))</f>
        <v>4.568409090909091E-2</v>
      </c>
      <c r="C9" s="297">
        <f>IF(C$2="","",IF($A9="","",(AVERAGEIFS('Raw data'!$Q$4:$Q$267,'Raw data'!$K$4:$K$267,Summary!C$2,'Raw data'!$N$4:$N$267,Summary!$A9))))</f>
        <v>0.35277339208918151</v>
      </c>
      <c r="D9" s="297">
        <f>IF(D$2="","",IF($A9="","",(AVERAGEIFS('Raw data'!$Q$4:$Q$267,'Raw data'!$K$4:$K$267,Summary!D$2,'Raw data'!$N$4:$N$267,Summary!$A9))))</f>
        <v>0.97169784755311062</v>
      </c>
      <c r="E9" s="298">
        <f>IF(E$2="","",IF($A9="","",(AVERAGEIFS('Raw data'!$Q$4:$Q$267,'Raw data'!$K$4:$K$267,Summary!E$2,'Raw data'!$N$4:$N$267,Summary!$A9))))</f>
        <v>1.4444678207836104</v>
      </c>
      <c r="F9" s="303">
        <f>IF(F$2="","",IF($A9="","",(AVERAGEIFS('Raw data'!$Q$4:$Q$267,'Raw data'!$K$4:$K$267,Summary!F$2,'Raw data'!$N$4:$N$267,Summary!$A9))))</f>
        <v>2.2654007923086872</v>
      </c>
      <c r="H9" s="131" t="str">
        <f>IF(I42="","",H42)</f>
        <v>T4</v>
      </c>
      <c r="I9" s="298">
        <f t="array" ref="I9">IF(I$2="","",IF($H9="","",(AVERAGEIFS('Raw data'!$S$4:$S$267,'Raw data'!$K$4:$K$267,Summary!I$2,'Raw data'!$N$4:$N$267,Summary!$H9))))</f>
        <v>0.30708930118009065</v>
      </c>
      <c r="J9" s="298">
        <f t="array" ref="J9">IF(J$2="","",IF($H9="","",(AVERAGEIFS('Raw data'!$S$4:$S$267,'Raw data'!$K$4:$K$267,Summary!J$2,'Raw data'!$N$4:$N$267,Summary!$H9))))</f>
        <v>0.61892445546392916</v>
      </c>
      <c r="K9" s="297">
        <f t="array" ref="K9">IF(K$2="","",IF($H9="","",(AVERAGEIFS('Raw data'!$S$4:$S$267,'Raw data'!$K$4:$K$267,Summary!K$2,'Raw data'!$N$4:$N$267,Summary!$H9))))</f>
        <v>0.47276997323049952</v>
      </c>
      <c r="L9" s="302">
        <f t="array" ref="L9">IF(L$2="","",IF($H9="","",(AVERAGEIFS('Raw data'!$S$4:$S$267,'Raw data'!$K$4:$K$267,Summary!L$2,'Raw data'!$N$4:$N$267,Summary!$H9))))</f>
        <v>0.82093297152507672</v>
      </c>
      <c r="M9" s="42"/>
      <c r="N9" s="131" t="str">
        <f>IF(O42="","",N42)</f>
        <v>T4</v>
      </c>
      <c r="O9" s="298">
        <f t="array" ref="O9">IF(O$2="","",IF($N9="","",(AVERAGEIFS('Raw data'!$V$4:$V$267,'Raw data'!$K$4:$K$267,Summary!O$2,'Raw data'!$N$4:$N$267,Summary!$N9))))</f>
        <v>0.41310109520635835</v>
      </c>
      <c r="P9" s="298">
        <f t="array" ref="P9">IF(P$2="","",IF($N9="","",(AVERAGEIFS('Raw data'!$V$4:$V$267,'Raw data'!$K$4:$K$267,Summary!P$2,'Raw data'!$N$4:$N$267,Summary!$N9))))</f>
        <v>0.8428904213377898</v>
      </c>
      <c r="Q9" s="297">
        <f t="array" ref="Q9">IF(Q$2="","",IF($N9="","",(AVERAGEIFS('Raw data'!$V$4:$V$267,'Raw data'!$K$4:$K$267,Summary!Q$2,'Raw data'!$N$4:$N$267,Summary!$N9))))</f>
        <v>1.4069081346442027</v>
      </c>
      <c r="R9" s="302">
        <f t="array" ref="R9">IF(R$2="","",IF($N9="","",(AVERAGEIFS('Raw data'!$V$4:$V$267,'Raw data'!$K$4:$K$267,Summary!R$2,'Raw data'!$N$4:$N$267,Summary!$N9))))</f>
        <v>1.4064272011475958</v>
      </c>
      <c r="T9" s="131" t="str">
        <f>IF(U42="","",T42)</f>
        <v>T4</v>
      </c>
      <c r="U9" s="298">
        <f t="array" ref="U9">IF(U$2="","",IF($T9="","",(AVERAGEIFS('Raw data'!$W$4:$W$267,'Raw data'!$K$4:$K$267,Summary!U$2,'Raw data'!$N$4:$N$267,Summary!$T9))))</f>
        <v>1.1474765419179798</v>
      </c>
      <c r="V9" s="298">
        <f t="array" ref="V9">IF(V$2="","",IF($T9="","",(AVERAGEIFS('Raw data'!$W$4:$W$267,'Raw data'!$K$4:$K$267,Summary!V$2,'Raw data'!$N$4:$N$267,Summary!$T9))))</f>
        <v>1.2809433939814312</v>
      </c>
      <c r="W9" s="297">
        <f t="array" ref="W9">IF(W$2="","",IF($T9="","",(AVERAGEIFS('Raw data'!$W$4:$W$267,'Raw data'!$K$4:$K$267,Summary!W$2,'Raw data'!$N$4:$N$267,Summary!$T9))))</f>
        <v>1.8186110950479895</v>
      </c>
      <c r="X9" s="302">
        <f t="array" ref="X9">IF(X$2="","",IF($T9="","",(AVERAGEIFS('Raw data'!$W$4:$W$267,'Raw data'!$K$4:$K$267,Summary!X$2,'Raw data'!$N$4:$N$267,Summary!$T9))))</f>
        <v>1.7747679487818631</v>
      </c>
    </row>
    <row r="10" spans="1:24" x14ac:dyDescent="0.25">
      <c r="A10" s="131" t="str">
        <f>IF(A9="","","Std.Dev.")</f>
        <v>Std.Dev.</v>
      </c>
      <c r="B10" s="298">
        <f t="array" ref="B10">IF(A9="","",IF($B$2="",0,_xlfn.STDEV.S(IF('Raw data'!$B$4:$B$69=A9,'Raw data'!$F$4:$F$69))))</f>
        <v>2.6463954902676833E-4</v>
      </c>
      <c r="C10" s="298">
        <f t="array" ref="C10">IF(C$2="","",IF($A9="","",_xlfn.STDEV.S(IF('Raw data'!$K$4:$K$267=Summary!C$2,IF('Raw data'!$N$4:$N$267=Summary!$A9,'Raw data'!$Q$4:$Q$267)))))</f>
        <v>1.705791225046463E-2</v>
      </c>
      <c r="D10" s="297">
        <f t="array" ref="D10">IF(D$2="","",IF($A9="","",_xlfn.STDEV.S(IF('Raw data'!$K$4:$K$267=Summary!D$2,IF('Raw data'!$N$4:$N$267=Summary!$A9,'Raw data'!$Q$4:$Q$267)))))</f>
        <v>3.1726132569291091E-2</v>
      </c>
      <c r="E10" s="298">
        <f t="array" ref="E10">IF(E$2="","",IF($A9="","",_xlfn.STDEV.S(IF('Raw data'!$K$4:$K$267=Summary!E$2,IF('Raw data'!$N$4:$N$267=Summary!$A9,'Raw data'!$Q$4:$Q$267)))))</f>
        <v>6.2145398914213397E-2</v>
      </c>
      <c r="F10" s="303">
        <f t="array" ref="F10">IF(F$2="","",IF($A9="","",_xlfn.STDEV.S(IF('Raw data'!$K$4:$K$267=Summary!F$2,IF('Raw data'!$N$4:$N$267=Summary!$A9,'Raw data'!$Q$4:$Q$267)))))</f>
        <v>9.4799405324699312E-2</v>
      </c>
      <c r="H10" s="131" t="str">
        <f>IF(H9="","","Std.Dev.")</f>
        <v>Std.Dev.</v>
      </c>
      <c r="I10" s="298">
        <f t="array" ref="I10">IF(I$2="","",IF($H9="","",_xlfn.STDEV.S(IF('Raw data'!$K$4:$K$267=Summary!I$2,IF('Raw data'!$N$4:$N$267=Summary!$H9,'Raw data'!$S$4:$S$267)))))</f>
        <v>1.7068387251369176E-2</v>
      </c>
      <c r="J10" s="298">
        <f t="array" ref="J10">IF(J$2="","",IF($H9="","",_xlfn.STDEV.S(IF('Raw data'!$K$4:$K$267=Summary!J$2,IF('Raw data'!$N$4:$N$267=Summary!$H9,'Raw data'!$S$4:$S$267)))))</f>
        <v>1.8237512284656251E-2</v>
      </c>
      <c r="K10" s="297">
        <f t="array" ref="K10">IF(K$2="","",IF($H9="","",_xlfn.STDEV.S(IF('Raw data'!$K$4:$K$267=Summary!K$2,IF('Raw data'!$N$4:$N$267=Summary!$H9,'Raw data'!$S$4:$S$267)))))</f>
        <v>4.1795942944111424E-2</v>
      </c>
      <c r="L10" s="302">
        <f t="array" ref="L10">IF(L$2="","",IF($H9="","",_xlfn.STDEV.S(IF('Raw data'!$K$4:$K$267=Summary!L$2,IF('Raw data'!$N$4:$N$267=Summary!$H9,'Raw data'!$S$4:$S$267)))))</f>
        <v>4.2690296897251991E-2</v>
      </c>
      <c r="M10" s="42"/>
      <c r="N10" s="131" t="str">
        <f>IF(N9="","","Std.Dev.")</f>
        <v>Std.Dev.</v>
      </c>
      <c r="O10" s="298">
        <f t="array" ref="O10">IF(O$2="","",IF($N9="","",_xlfn.STDEV.S(IF('Raw data'!$K$4:$K$267=Summary!O$2,IF('Raw data'!$N$4:$N$267=Summary!$N9,'Raw data'!$V$4:$V$267)))))</f>
        <v>1.7937775394237705E-2</v>
      </c>
      <c r="P10" s="298">
        <f t="array" ref="P10">IF(P$2="","",IF($N9="","",_xlfn.STDEV.S(IF('Raw data'!$K$4:$K$267=Summary!P$2,IF('Raw data'!$N$4:$N$267=Summary!$N9,'Raw data'!$V$4:$V$267)))))</f>
        <v>1.9590200133163087E-2</v>
      </c>
      <c r="Q10" s="297">
        <f t="array" ref="Q10">IF(Q$2="","",IF($N9="","",_xlfn.STDEV.S(IF('Raw data'!$K$4:$K$267=Summary!Q$2,IF('Raw data'!$N$4:$N$267=Summary!$N9,'Raw data'!$V$4:$V$267)))))</f>
        <v>4.1400885337247513E-2</v>
      </c>
      <c r="R10" s="302">
        <f t="array" ref="R10">IF(R$2="","",IF($N9="","",_xlfn.STDEV.S(IF('Raw data'!$K$4:$K$267=Summary!R$2,IF('Raw data'!$N$4:$N$267=Summary!$N9,'Raw data'!$V$4:$V$267)))))</f>
        <v>4.8393644694676455E-2</v>
      </c>
      <c r="T10" s="131" t="str">
        <f>IF(T9="","","Std.Dev.")</f>
        <v>Std.Dev.</v>
      </c>
      <c r="U10" s="298">
        <f t="array" ref="U10">IF(U$2="","",IF($T9="","",_xlfn.STDEV.S(IF('Raw data'!$K$4:$K$267=Summary!U$2,IF('Raw data'!$N$4:$N$267=Summary!$T9,'Raw data'!$W$4:$W$267)))))</f>
        <v>2.5327358751437913E-2</v>
      </c>
      <c r="V10" s="298">
        <f t="array" ref="V10">IF(V$2="","",IF($T9="","",_xlfn.STDEV.S(IF('Raw data'!$K$4:$K$267=Summary!V$2,IF('Raw data'!$N$4:$N$267=Summary!$T9,'Raw data'!$W$4:$W$267)))))</f>
        <v>1.711139943475402E-2</v>
      </c>
      <c r="W10" s="297">
        <f t="array" ref="W10">IF(W$2="","",IF($T9="","",_xlfn.STDEV.S(IF('Raw data'!$K$4:$K$267=Summary!W$2,IF('Raw data'!$N$4:$N$267=Summary!$T9,'Raw data'!$W$4:$W$267)))))</f>
        <v>4.463962926770261E-2</v>
      </c>
      <c r="X10" s="302">
        <f t="array" ref="X10">IF(X$2="","",IF($T9="","",_xlfn.STDEV.S(IF('Raw data'!$K$4:$K$267=Summary!X$2,IF('Raw data'!$N$4:$N$267=Summary!$T9,'Raw data'!$W$4:$W$267)))))</f>
        <v>3.11597248815642E-2</v>
      </c>
    </row>
    <row r="11" spans="1:24" x14ac:dyDescent="0.25">
      <c r="A11" s="131" t="str">
        <f>IF(B43="","",A43)</f>
        <v>T5</v>
      </c>
      <c r="B11" s="297">
        <f>IF(A11="","",IF($B$2="",0,AVERAGEIF('Raw data'!$B$4:$B$69,Summary!A11,'Raw data'!$F$4:$F$69)))</f>
        <v>4.5611363636363637E-2</v>
      </c>
      <c r="C11" s="297">
        <f>IF(C$2="","",IF($A11="","",(AVERAGEIFS('Raw data'!$Q$4:$Q$267,'Raw data'!$K$4:$K$267,Summary!C$2,'Raw data'!$N$4:$N$267,Summary!$A11))))</f>
        <v>0.35378477603477598</v>
      </c>
      <c r="D11" s="297">
        <f>IF(D$2="","",IF($A11="","",(AVERAGEIFS('Raw data'!$Q$4:$Q$267,'Raw data'!$K$4:$K$267,Summary!D$2,'Raw data'!$N$4:$N$267,Summary!$A11))))</f>
        <v>0.96528428778428788</v>
      </c>
      <c r="E11" s="298">
        <f>IF(E$2="","",IF($A11="","",(AVERAGEIFS('Raw data'!$Q$4:$Q$267,'Raw data'!$K$4:$K$267,Summary!E$2,'Raw data'!$N$4:$N$267,Summary!$A11))))</f>
        <v>1.4464131936500357</v>
      </c>
      <c r="F11" s="303">
        <f>IF(F$2="","",IF($A11="","",(AVERAGEIFS('Raw data'!$Q$4:$Q$267,'Raw data'!$K$4:$K$267,Summary!F$2,'Raw data'!$N$4:$N$267,Summary!$A11))))</f>
        <v>2.263556957504326</v>
      </c>
      <c r="H11" s="131" t="str">
        <f>IF(I43="","",H43)</f>
        <v>T5</v>
      </c>
      <c r="I11" s="298">
        <f t="array" ref="I11">IF(I$2="","",IF($H11="","",(AVERAGEIFS('Raw data'!$S$4:$S$267,'Raw data'!$K$4:$K$267,Summary!I$2,'Raw data'!$N$4:$N$267,Summary!$H11))))</f>
        <v>0.30817341239841239</v>
      </c>
      <c r="J11" s="298">
        <f t="array" ref="J11">IF(J$2="","",IF($H11="","",(AVERAGEIFS('Raw data'!$S$4:$S$267,'Raw data'!$K$4:$K$267,Summary!J$2,'Raw data'!$N$4:$N$267,Summary!$H11))))</f>
        <v>0.61149951174951178</v>
      </c>
      <c r="K11" s="297">
        <f t="array" ref="K11">IF(K$2="","",IF($H11="","",(AVERAGEIFS('Raw data'!$S$4:$S$267,'Raw data'!$K$4:$K$267,Summary!K$2,'Raw data'!$N$4:$N$267,Summary!$H11))))</f>
        <v>0.48112890586574797</v>
      </c>
      <c r="L11" s="302">
        <f t="array" ref="L11">IF(L$2="","",IF($H11="","",(AVERAGEIFS('Raw data'!$S$4:$S$267,'Raw data'!$K$4:$K$267,Summary!L$2,'Raw data'!$N$4:$N$267,Summary!$H11))))</f>
        <v>0.81714376385429044</v>
      </c>
      <c r="M11" s="42"/>
      <c r="N11" s="131" t="str">
        <f>IF(O43="","",N43)</f>
        <v>T5</v>
      </c>
      <c r="O11" s="298">
        <f t="array" ref="O11">IF(O$2="","",IF($N11="","",(AVERAGEIFS('Raw data'!$V$4:$V$267,'Raw data'!$K$4:$K$267,Summary!O$2,'Raw data'!$N$4:$N$267,Summary!$N11))))</f>
        <v>0.40498259623259619</v>
      </c>
      <c r="P11" s="298">
        <f t="array" ref="P11">IF(P$2="","",IF($N11="","",(AVERAGEIFS('Raw data'!$V$4:$V$267,'Raw data'!$K$4:$K$267,Summary!P$2,'Raw data'!$N$4:$N$267,Summary!$N11))))</f>
        <v>0.83064934427434423</v>
      </c>
      <c r="Q11" s="297">
        <f t="array" ref="Q11">IF(Q$2="","",IF($N11="","",(AVERAGEIFS('Raw data'!$V$4:$V$267,'Raw data'!$K$4:$K$267,Summary!Q$2,'Raw data'!$N$4:$N$267,Summary!$N11))))</f>
        <v>1.398038988473199</v>
      </c>
      <c r="R11" s="302">
        <f t="array" ref="R11">IF(R$2="","",IF($N11="","",(AVERAGEIFS('Raw data'!$V$4:$V$267,'Raw data'!$K$4:$K$267,Summary!R$2,'Raw data'!$N$4:$N$267,Summary!$N11))))</f>
        <v>1.3921908627171786</v>
      </c>
      <c r="T11" s="131" t="str">
        <f>IF(U43="","",T43)</f>
        <v>T5</v>
      </c>
      <c r="U11" s="298">
        <f t="array" ref="U11">IF(U$2="","",IF($T11="","",(AVERAGEIFS('Raw data'!$W$4:$W$267,'Raw data'!$K$4:$K$267,Summary!U$2,'Raw data'!$N$4:$N$267,Summary!$T11))))</f>
        <v>1.1302547107422707</v>
      </c>
      <c r="V11" s="298">
        <f t="array" ref="V11">IF(V$2="","",IF($T11="","",(AVERAGEIFS('Raw data'!$W$4:$W$267,'Raw data'!$K$4:$K$267,Summary!V$2,'Raw data'!$N$4:$N$267,Summary!$T11))))</f>
        <v>1.2725125752921711</v>
      </c>
      <c r="W11" s="297">
        <f t="array" ref="W11">IF(W$2="","",IF($T11="","",(AVERAGEIFS('Raw data'!$W$4:$W$267,'Raw data'!$K$4:$K$267,Summary!W$2,'Raw data'!$N$4:$N$267,Summary!$T11))))</f>
        <v>1.8049763425762164</v>
      </c>
      <c r="X11" s="302">
        <f t="array" ref="X11">IF(X$2="","",IF($T11="","",(AVERAGEIFS('Raw data'!$W$4:$W$267,'Raw data'!$K$4:$K$267,Summary!X$2,'Raw data'!$N$4:$N$267,Summary!$T11))))</f>
        <v>1.7591574027066814</v>
      </c>
    </row>
    <row r="12" spans="1:24" x14ac:dyDescent="0.25">
      <c r="A12" s="131" t="str">
        <f>IF(A11="","","Std.Dev.")</f>
        <v>Std.Dev.</v>
      </c>
      <c r="B12" s="298">
        <f t="array" ref="B12">IF(A11="","",IF($B$2="",0,_xlfn.STDEV.S(IF('Raw data'!$B$4:$B$69=A11,'Raw data'!$F$4:$F$69))))</f>
        <v>1.8753787496251126E-4</v>
      </c>
      <c r="C12" s="298">
        <f t="array" ref="C12">IF(C$2="","",IF($A11="","",_xlfn.STDEV.S(IF('Raw data'!$K$4:$K$267=Summary!C$2,IF('Raw data'!$N$4:$N$267=Summary!$A11,'Raw data'!$Q$4:$Q$267)))))</f>
        <v>8.6196200928925753E-3</v>
      </c>
      <c r="D12" s="297">
        <f t="array" ref="D12">IF(D$2="","",IF($A11="","",_xlfn.STDEV.S(IF('Raw data'!$K$4:$K$267=Summary!D$2,IF('Raw data'!$N$4:$N$267=Summary!$A11,'Raw data'!$Q$4:$Q$267)))))</f>
        <v>3.3928933343015458E-2</v>
      </c>
      <c r="E12" s="298">
        <f t="array" ref="E12">IF(E$2="","",IF($A11="","",_xlfn.STDEV.S(IF('Raw data'!$K$4:$K$267=Summary!E$2,IF('Raw data'!$N$4:$N$267=Summary!$A11,'Raw data'!$Q$4:$Q$267)))))</f>
        <v>4.9430397486273016E-2</v>
      </c>
      <c r="F12" s="303">
        <f t="array" ref="F12">IF(F$2="","",IF($A11="","",_xlfn.STDEV.S(IF('Raw data'!$K$4:$K$267=Summary!F$2,IF('Raw data'!$N$4:$N$267=Summary!$A11,'Raw data'!$Q$4:$Q$267)))))</f>
        <v>5.65516835285792E-2</v>
      </c>
      <c r="H12" s="131" t="str">
        <f>IF(H11="","","Std.Dev.")</f>
        <v>Std.Dev.</v>
      </c>
      <c r="I12" s="298">
        <f t="array" ref="I12">IF(I$2="","",IF($H11="","",_xlfn.STDEV.S(IF('Raw data'!$K$4:$K$267=Summary!I$2,IF('Raw data'!$N$4:$N$267=Summary!$H11,'Raw data'!$S$4:$S$267)))))</f>
        <v>8.7564104860836899E-3</v>
      </c>
      <c r="J12" s="298">
        <f t="array" ref="J12">IF(J$2="","",IF($H11="","",_xlfn.STDEV.S(IF('Raw data'!$K$4:$K$267=Summary!J$2,IF('Raw data'!$N$4:$N$267=Summary!$H11,'Raw data'!$S$4:$S$267)))))</f>
        <v>2.9114602641784122E-2</v>
      </c>
      <c r="K12" s="297">
        <f t="array" ref="K12">IF(K$2="","",IF($H11="","",_xlfn.STDEV.S(IF('Raw data'!$K$4:$K$267=Summary!K$2,IF('Raw data'!$N$4:$N$267=Summary!$H11,'Raw data'!$S$4:$S$267)))))</f>
        <v>3.4824892805550671E-2</v>
      </c>
      <c r="L12" s="302">
        <f t="array" ref="L12">IF(L$2="","",IF($H11="","",_xlfn.STDEV.S(IF('Raw data'!$K$4:$K$267=Summary!L$2,IF('Raw data'!$N$4:$N$267=Summary!$H11,'Raw data'!$S$4:$S$267)))))</f>
        <v>4.4121017352313809E-2</v>
      </c>
      <c r="M12" s="42"/>
      <c r="N12" s="131" t="str">
        <f>IF(N11="","","Std.Dev.")</f>
        <v>Std.Dev.</v>
      </c>
      <c r="O12" s="298">
        <f t="array" ref="O12">IF(O$2="","",IF($N11="","",_xlfn.STDEV.S(IF('Raw data'!$K$4:$K$267=Summary!O$2,IF('Raw data'!$N$4:$N$267=Summary!$N11,'Raw data'!$V$4:$V$267)))))</f>
        <v>1.246257769315885E-2</v>
      </c>
      <c r="P12" s="298">
        <f t="array" ref="P12">IF(P$2="","",IF($N11="","",_xlfn.STDEV.S(IF('Raw data'!$K$4:$K$267=Summary!P$2,IF('Raw data'!$N$4:$N$267=Summary!$N11,'Raw data'!$V$4:$V$267)))))</f>
        <v>3.67750377850838E-2</v>
      </c>
      <c r="Q12" s="297">
        <f t="array" ref="Q12">IF(Q$2="","",IF($N11="","",_xlfn.STDEV.S(IF('Raw data'!$K$4:$K$267=Summary!Q$2,IF('Raw data'!$N$4:$N$267=Summary!$N11,'Raw data'!$V$4:$V$267)))))</f>
        <v>3.4860727481190901E-2</v>
      </c>
      <c r="R12" s="302">
        <f t="array" ref="R12">IF(R$2="","",IF($N11="","",_xlfn.STDEV.S(IF('Raw data'!$K$4:$K$267=Summary!R$2,IF('Raw data'!$N$4:$N$267=Summary!$N11,'Raw data'!$V$4:$V$267)))))</f>
        <v>4.1173663278456479E-2</v>
      </c>
      <c r="T12" s="131" t="str">
        <f>IF(T11="","","Std.Dev.")</f>
        <v>Std.Dev.</v>
      </c>
      <c r="U12" s="298">
        <f t="array" ref="U12">IF(U$2="","",IF($T11="","",_xlfn.STDEV.S(IF('Raw data'!$K$4:$K$267=Summary!U$2,IF('Raw data'!$N$4:$N$267=Summary!$T11,'Raw data'!$W$4:$W$267)))))</f>
        <v>2.8070060897280921E-2</v>
      </c>
      <c r="V12" s="298">
        <f t="array" ref="V12">IF(V$2="","",IF($T11="","",_xlfn.STDEV.S(IF('Raw data'!$K$4:$K$267=Summary!V$2,IF('Raw data'!$N$4:$N$267=Summary!$T11,'Raw data'!$W$4:$W$267)))))</f>
        <v>1.8147042381371877E-2</v>
      </c>
      <c r="W12" s="297">
        <f t="array" ref="W12">IF(W$2="","",IF($T11="","",_xlfn.STDEV.S(IF('Raw data'!$K$4:$K$267=Summary!W$2,IF('Raw data'!$N$4:$N$267=Summary!$T11,'Raw data'!$W$4:$W$267)))))</f>
        <v>3.4348888679753602E-2</v>
      </c>
      <c r="X12" s="302">
        <f t="array" ref="X12">IF(X$2="","",IF($T11="","",_xlfn.STDEV.S(IF('Raw data'!$K$4:$K$267=Summary!X$2,IF('Raw data'!$N$4:$N$267=Summary!$T11,'Raw data'!$W$4:$W$267)))))</f>
        <v>2.3989711277022849E-2</v>
      </c>
    </row>
    <row r="13" spans="1:24" x14ac:dyDescent="0.25">
      <c r="A13" s="131" t="str">
        <f>IF(B44="","",A44)</f>
        <v>T6</v>
      </c>
      <c r="B13" s="297">
        <f>IF(A13="","",IF($B$2="",0,AVERAGEIF('Raw data'!$B$4:$B$69,Summary!A13,'Raw data'!$F$4:$F$69)))</f>
        <v>4.5686363636363629E-2</v>
      </c>
      <c r="C13" s="297">
        <f>IF(C$2="","",IF($A13="","",(AVERAGEIFS('Raw data'!$Q$4:$Q$267,'Raw data'!$K$4:$K$267,Summary!C$2,'Raw data'!$N$4:$N$267,Summary!$A13))))</f>
        <v>0.34848564593301434</v>
      </c>
      <c r="D13" s="297">
        <f>IF(D$2="","",IF($A13="","",(AVERAGEIFS('Raw data'!$Q$4:$Q$267,'Raw data'!$K$4:$K$267,Summary!D$2,'Raw data'!$N$4:$N$267,Summary!$A13))))</f>
        <v>0.96758035823825306</v>
      </c>
      <c r="E13" s="298">
        <f>IF(E$2="","",IF($A13="","",(AVERAGEIFS('Raw data'!$Q$4:$Q$267,'Raw data'!$K$4:$K$267,Summary!E$2,'Raw data'!$N$4:$N$267,Summary!$A13))))</f>
        <v>1.4647659879238824</v>
      </c>
      <c r="F13" s="303">
        <f>IF(F$2="","",IF($A13="","",(AVERAGEIFS('Raw data'!$Q$4:$Q$267,'Raw data'!$K$4:$K$267,Summary!F$2,'Raw data'!$N$4:$N$267,Summary!$A13))))</f>
        <v>2.3057885867096393</v>
      </c>
      <c r="H13" s="131" t="str">
        <f>IF(I44="","",H44)</f>
        <v>T6</v>
      </c>
      <c r="I13" s="298">
        <f t="array" ref="I13">IF(I$2="","",IF($H13="","",(AVERAGEIFS('Raw data'!$S$4:$S$267,'Raw data'!$K$4:$K$267,Summary!I$2,'Raw data'!$N$4:$N$267,Summary!$H13))))</f>
        <v>0.30279928229665071</v>
      </c>
      <c r="J13" s="298">
        <f t="array" ref="J13">IF(J$2="","",IF($H13="","",(AVERAGEIFS('Raw data'!$S$4:$S$267,'Raw data'!$K$4:$K$267,Summary!J$2,'Raw data'!$N$4:$N$267,Summary!$H13))))</f>
        <v>0.6190947123052386</v>
      </c>
      <c r="K13" s="297">
        <f t="array" ref="K13">IF(K$2="","",IF($H13="","",(AVERAGEIFS('Raw data'!$S$4:$S$267,'Raw data'!$K$4:$K$267,Summary!K$2,'Raw data'!$N$4:$N$267,Summary!$H13))))</f>
        <v>0.49718562968562968</v>
      </c>
      <c r="L13" s="302">
        <f t="array" ref="L13">IF(L$2="","",IF($H13="","",(AVERAGEIFS('Raw data'!$S$4:$S$267,'Raw data'!$K$4:$K$267,Summary!L$2,'Raw data'!$N$4:$N$267,Summary!$H13))))</f>
        <v>0.8410225987857568</v>
      </c>
      <c r="M13" s="42"/>
      <c r="N13" s="131" t="str">
        <f>IF(O44="","",N44)</f>
        <v>T6</v>
      </c>
      <c r="O13" s="298">
        <f t="array" ref="O13">IF(O$2="","",IF($N13="","",(AVERAGEIFS('Raw data'!$V$4:$V$267,'Raw data'!$K$4:$K$267,Summary!O$2,'Raw data'!$N$4:$N$267,Summary!$N13))))</f>
        <v>0.39615430622009579</v>
      </c>
      <c r="P13" s="298">
        <f t="array" ref="P13">IF(P$2="","",IF($N13="","",(AVERAGEIFS('Raw data'!$V$4:$V$267,'Raw data'!$K$4:$K$267,Summary!P$2,'Raw data'!$N$4:$N$267,Summary!$N13))))</f>
        <v>0.83872994111151999</v>
      </c>
      <c r="Q13" s="297">
        <f t="array" ref="Q13">IF(Q$2="","",IF($N13="","",(AVERAGEIFS('Raw data'!$V$4:$V$267,'Raw data'!$K$4:$K$267,Summary!Q$2,'Raw data'!$N$4:$N$267,Summary!$N13))))</f>
        <v>1.4084490959490961</v>
      </c>
      <c r="R13" s="302">
        <f t="array" ref="R13">IF(R$2="","",IF($N13="","",(AVERAGEIFS('Raw data'!$V$4:$V$267,'Raw data'!$K$4:$K$267,Summary!R$2,'Raw data'!$N$4:$N$267,Summary!$N13))))</f>
        <v>1.4240151819099189</v>
      </c>
      <c r="T13" s="131" t="str">
        <f>IF(U44="","",T44)</f>
        <v>T6</v>
      </c>
      <c r="U13" s="298">
        <f t="array" ref="U13">IF(U$2="","",IF($T13="","",(AVERAGEIFS('Raw data'!$W$4:$W$267,'Raw data'!$K$4:$K$267,Summary!U$2,'Raw data'!$N$4:$N$267,Summary!$T13))))</f>
        <v>1.1339164088807392</v>
      </c>
      <c r="V13" s="298">
        <f t="array" ref="V13">IF(V$2="","",IF($T13="","",(AVERAGEIFS('Raw data'!$W$4:$W$267,'Raw data'!$K$4:$K$267,Summary!V$2,'Raw data'!$N$4:$N$267,Summary!$T13))))</f>
        <v>1.2739308927848343</v>
      </c>
      <c r="W13" s="297">
        <f t="array" ref="W13">IF(W$2="","",IF($T13="","",(AVERAGEIFS('Raw data'!$W$4:$W$267,'Raw data'!$K$4:$K$267,Summary!W$2,'Raw data'!$N$4:$N$267,Summary!$T13))))</f>
        <v>1.7912721743634483</v>
      </c>
      <c r="X13" s="302">
        <f t="array" ref="X13">IF(X$2="","",IF($T13="","",(AVERAGEIFS('Raw data'!$W$4:$W$267,'Raw data'!$K$4:$K$267,Summary!X$2,'Raw data'!$N$4:$N$267,Summary!$T13))))</f>
        <v>1.7463125237525192</v>
      </c>
    </row>
    <row r="14" spans="1:24" x14ac:dyDescent="0.25">
      <c r="A14" s="131" t="str">
        <f>IF(A13="","","Std.Dev.")</f>
        <v>Std.Dev.</v>
      </c>
      <c r="B14" s="298">
        <f t="array" ref="B14">IF(A13="","",IF($B$2="",0,_xlfn.STDEV.S(IF('Raw data'!$B$4:$B$69=A13,'Raw data'!$F$4:$F$69))))</f>
        <v>2.1458204618619693E-4</v>
      </c>
      <c r="C14" s="298">
        <f t="array" ref="C14">IF(C$2="","",IF($A13="","",_xlfn.STDEV.S(IF('Raw data'!$K$4:$K$267=Summary!C$2,IF('Raw data'!$N$4:$N$267=Summary!$A13,'Raw data'!$Q$4:$Q$267)))))</f>
        <v>1.5535043771782098E-2</v>
      </c>
      <c r="D14" s="297">
        <f t="array" ref="D14">IF(D$2="","",IF($A13="","",_xlfn.STDEV.S(IF('Raw data'!$K$4:$K$267=Summary!D$2,IF('Raw data'!$N$4:$N$267=Summary!$A13,'Raw data'!$Q$4:$Q$267)))))</f>
        <v>4.0925314191345978E-2</v>
      </c>
      <c r="E14" s="298">
        <f t="array" ref="E14">IF(E$2="","",IF($A13="","",_xlfn.STDEV.S(IF('Raw data'!$K$4:$K$267=Summary!E$2,IF('Raw data'!$N$4:$N$267=Summary!$A13,'Raw data'!$Q$4:$Q$267)))))</f>
        <v>7.1266218838193299E-2</v>
      </c>
      <c r="F14" s="303">
        <f t="array" ref="F14">IF(F$2="","",IF($A13="","",_xlfn.STDEV.S(IF('Raw data'!$K$4:$K$267=Summary!F$2,IF('Raw data'!$N$4:$N$267=Summary!$A13,'Raw data'!$Q$4:$Q$267)))))</f>
        <v>9.018034413364541E-2</v>
      </c>
      <c r="H14" s="131" t="str">
        <f>IF(H13="","","Std.Dev.")</f>
        <v>Std.Dev.</v>
      </c>
      <c r="I14" s="298">
        <f t="array" ref="I14">IF(I$2="","",IF($H13="","",_xlfn.STDEV.S(IF('Raw data'!$K$4:$K$267=Summary!I$2,IF('Raw data'!$N$4:$N$267=Summary!$H13,'Raw data'!$S$4:$S$267)))))</f>
        <v>1.5412532768201939E-2</v>
      </c>
      <c r="J14" s="298">
        <f t="array" ref="J14">IF(J$2="","",IF($H13="","",_xlfn.STDEV.S(IF('Raw data'!$K$4:$K$267=Summary!J$2,IF('Raw data'!$N$4:$N$267=Summary!$H13,'Raw data'!$S$4:$S$267)))))</f>
        <v>3.3720675852339364E-2</v>
      </c>
      <c r="K14" s="297">
        <f t="array" ref="K14">IF(K$2="","",IF($H13="","",_xlfn.STDEV.S(IF('Raw data'!$K$4:$K$267=Summary!K$2,IF('Raw data'!$N$4:$N$267=Summary!$H13,'Raw data'!$S$4:$S$267)))))</f>
        <v>4.0484088706363053E-2</v>
      </c>
      <c r="L14" s="302">
        <f t="array" ref="L14">IF(L$2="","",IF($H13="","",_xlfn.STDEV.S(IF('Raw data'!$K$4:$K$267=Summary!L$2,IF('Raw data'!$N$4:$N$267=Summary!$H13,'Raw data'!$S$4:$S$267)))))</f>
        <v>3.9386727978411119E-2</v>
      </c>
      <c r="M14" s="42"/>
      <c r="N14" s="131" t="str">
        <f>IF(N13="","","Std.Dev.")</f>
        <v>Std.Dev.</v>
      </c>
      <c r="O14" s="298">
        <f t="array" ref="O14">IF(O$2="","",IF($N13="","",_xlfn.STDEV.S(IF('Raw data'!$K$4:$K$267=Summary!O$2,IF('Raw data'!$N$4:$N$267=Summary!$N13,'Raw data'!$V$4:$V$267)))))</f>
        <v>1.9906754664288349E-2</v>
      </c>
      <c r="P14" s="298">
        <f t="array" ref="P14">IF(P$2="","",IF($N13="","",_xlfn.STDEV.S(IF('Raw data'!$K$4:$K$267=Summary!P$2,IF('Raw data'!$N$4:$N$267=Summary!$N13,'Raw data'!$V$4:$V$267)))))</f>
        <v>3.7724365664550952E-2</v>
      </c>
      <c r="Q14" s="297">
        <f t="array" ref="Q14">IF(Q$2="","",IF($N13="","",_xlfn.STDEV.S(IF('Raw data'!$K$4:$K$267=Summary!Q$2,IF('Raw data'!$N$4:$N$267=Summary!$N13,'Raw data'!$V$4:$V$267)))))</f>
        <v>6.0519323470422735E-2</v>
      </c>
      <c r="R14" s="302">
        <f t="array" ref="R14">IF(R$2="","",IF($N13="","",_xlfn.STDEV.S(IF('Raw data'!$K$4:$K$267=Summary!R$2,IF('Raw data'!$N$4:$N$267=Summary!$N13,'Raw data'!$V$4:$V$267)))))</f>
        <v>5.3954944812983005E-2</v>
      </c>
      <c r="T14" s="131" t="str">
        <f>IF(T13="","","Std.Dev.")</f>
        <v>Std.Dev.</v>
      </c>
      <c r="U14" s="298">
        <f t="array" ref="U14">IF(U$2="","",IF($T13="","",_xlfn.STDEV.S(IF('Raw data'!$K$4:$K$267=Summary!U$2,IF('Raw data'!$N$4:$N$267=Summary!$T13,'Raw data'!$W$4:$W$267)))))</f>
        <v>1.5414079906616154E-2</v>
      </c>
      <c r="V14" s="298">
        <f t="array" ref="V14">IF(V$2="","",IF($T13="","",_xlfn.STDEV.S(IF('Raw data'!$K$4:$K$267=Summary!V$2,IF('Raw data'!$N$4:$N$267=Summary!$T13,'Raw data'!$W$4:$W$267)))))</f>
        <v>2.6652014715895234E-2</v>
      </c>
      <c r="W14" s="297">
        <f t="array" ref="W14">IF(W$2="","",IF($T13="","",_xlfn.STDEV.S(IF('Raw data'!$K$4:$K$267=Summary!W$2,IF('Raw data'!$N$4:$N$267=Summary!$T13,'Raw data'!$W$4:$W$267)))))</f>
        <v>2.0376494512333535E-2</v>
      </c>
      <c r="X14" s="302">
        <f t="array" ref="X14">IF(X$2="","",IF($T13="","",_xlfn.STDEV.S(IF('Raw data'!$K$4:$K$267=Summary!X$2,IF('Raw data'!$N$4:$N$267=Summary!$T13,'Raw data'!$W$4:$W$267)))))</f>
        <v>2.3243416664527939E-2</v>
      </c>
    </row>
    <row r="15" spans="1:24" hidden="1" x14ac:dyDescent="0.25">
      <c r="A15" s="131" t="str">
        <f>IF(B45="","",A45)</f>
        <v/>
      </c>
      <c r="B15" s="297" t="str">
        <f>IF(A15="","",IF($B$2="",0,AVERAGEIF('Raw data'!$B$4:$B$69,Summary!A15,'Raw data'!$F$4:$F$69)))</f>
        <v/>
      </c>
      <c r="C15" s="297" t="str">
        <f>IF(C$2="","",IF($A15="","",(AVERAGEIFS('Raw data'!$Q$4:$Q$267,'Raw data'!$K$4:$K$267,Summary!C$2,'Raw data'!$N$4:$N$267,Summary!$A15))))</f>
        <v/>
      </c>
      <c r="D15" s="297" t="str">
        <f>IF(D$2="","",IF($A15="","",(AVERAGEIFS('Raw data'!$Q$4:$Q$267,'Raw data'!$K$4:$K$267,Summary!D$2,'Raw data'!$N$4:$N$267,Summary!$A15))))</f>
        <v/>
      </c>
      <c r="E15" s="298" t="str">
        <f>IF(E$2="","",IF($A15="","",(AVERAGEIFS('Raw data'!$Q$4:$Q$267,'Raw data'!$K$4:$K$267,Summary!E$2,'Raw data'!$N$4:$N$267,Summary!$A15))))</f>
        <v/>
      </c>
      <c r="F15" s="303" t="str">
        <f>IF(F$2="","",IF($A15="","",(AVERAGEIFS('Raw data'!$Q$4:$Q$267,'Raw data'!$K$4:$K$267,Summary!F$2,'Raw data'!$N$4:$N$267,Summary!$A15))))</f>
        <v/>
      </c>
      <c r="H15" s="131" t="str">
        <f>IF(B45="","",A45)</f>
        <v/>
      </c>
      <c r="I15" s="298" t="str">
        <f t="array" ref="I15">IF(I$2="","",IF($H15="","",(AVERAGEIFS('Raw data'!$S$4:$S$267,'Raw data'!$K$4:$K$267,Summary!I$2,'Raw data'!$N$4:$N$267,Summary!$H15))))</f>
        <v/>
      </c>
      <c r="J15" s="298" t="str">
        <f t="array" ref="J15">IF(J$2="","",IF($H15="","",(AVERAGEIFS('Raw data'!$S$4:$S$267,'Raw data'!$K$4:$K$267,Summary!J$2,'Raw data'!$N$4:$N$267,Summary!$H15))))</f>
        <v/>
      </c>
      <c r="K15" s="297" t="str">
        <f t="array" ref="K15">IF(K$2="","",IF($H15="","",(AVERAGEIFS('Raw data'!$S$4:$S$267,'Raw data'!$K$4:$K$267,Summary!K$2,'Raw data'!$N$4:$N$267,Summary!$H15))))</f>
        <v/>
      </c>
      <c r="L15" s="302" t="str">
        <f t="array" ref="L15">IF(L$2="","",IF($H15="","",(AVERAGEIFS('Raw data'!$S$4:$S$267,'Raw data'!$K$4:$K$267,Summary!L$2,'Raw data'!$N$4:$N$267,Summary!$H15))))</f>
        <v/>
      </c>
      <c r="M15" s="42"/>
      <c r="N15" s="131" t="str">
        <f>IF(B45="","",A45)</f>
        <v/>
      </c>
      <c r="O15" s="298" t="str">
        <f t="array" ref="O15">IF(O$2="","",IF($N15="","",(AVERAGEIFS('Raw data'!$V$4:$V$267,'Raw data'!$K$4:$K$267,Summary!O$2,'Raw data'!$N$4:$N$267,Summary!$N15))))</f>
        <v/>
      </c>
      <c r="P15" s="298" t="str">
        <f t="array" ref="P15">IF(P$2="","",IF($N15="","",(AVERAGEIFS('Raw data'!$V$4:$V$267,'Raw data'!$K$4:$K$267,Summary!P$2,'Raw data'!$N$4:$N$267,Summary!$N15))))</f>
        <v/>
      </c>
      <c r="Q15" s="297" t="str">
        <f t="array" ref="Q15">IF(Q$2="","",IF($N15="","",(AVERAGEIFS('Raw data'!$V$4:$V$267,'Raw data'!$K$4:$K$267,Summary!Q$2,'Raw data'!$N$4:$N$267,Summary!$N15))))</f>
        <v/>
      </c>
      <c r="R15" s="302" t="str">
        <f t="array" ref="R15">IF(R$2="","",IF($N15="","",(AVERAGEIFS('Raw data'!$V$4:$V$267,'Raw data'!$K$4:$K$267,Summary!R$2,'Raw data'!$N$4:$N$267,Summary!$N15))))</f>
        <v/>
      </c>
      <c r="T15" s="131" t="str">
        <f>IF(B45="","",A45)</f>
        <v/>
      </c>
      <c r="U15" s="298" t="str">
        <f t="array" ref="U15">IF(U$2="","",IF($T15="","",(AVERAGEIFS('Raw data'!$W$4:$W$267,'Raw data'!$K$4:$K$267,Summary!U$2,'Raw data'!$N$4:$N$267,Summary!$T15))))</f>
        <v/>
      </c>
      <c r="V15" s="298" t="str">
        <f t="array" ref="V15">IF(V$2="","",IF($T15="","",(AVERAGEIFS('Raw data'!$W$4:$W$267,'Raw data'!$K$4:$K$267,Summary!V$2,'Raw data'!$N$4:$N$267,Summary!$T15))))</f>
        <v/>
      </c>
      <c r="W15" s="297" t="str">
        <f t="array" ref="W15">IF(W$2="","",IF($T15="","",(AVERAGEIFS('Raw data'!$W$4:$W$267,'Raw data'!$K$4:$K$267,Summary!W$2,'Raw data'!$N$4:$N$267,Summary!$T15))))</f>
        <v/>
      </c>
      <c r="X15" s="302" t="str">
        <f t="array" ref="X15">IF(X$2="","",IF($T15="","",(AVERAGEIFS('Raw data'!$W$4:$W$267,'Raw data'!$K$4:$K$267,Summary!X$2,'Raw data'!$N$4:$N$267,Summary!$T15))))</f>
        <v/>
      </c>
    </row>
    <row r="16" spans="1:24" hidden="1" x14ac:dyDescent="0.25">
      <c r="A16" s="131" t="str">
        <f>IF(A15="","","Std.Dev.")</f>
        <v/>
      </c>
      <c r="B16" s="298" t="str">
        <f t="array" ref="B16">IF(A15="","",IF($B$2="",0,_xlfn.STDEV.S(IF('Raw data'!$B$4:$B$69=A15,'Raw data'!$F$4:$F$69))))</f>
        <v/>
      </c>
      <c r="C16" s="298" t="str">
        <f t="array" ref="C16">IF(C$2="","",IF($A15="","",_xlfn.STDEV.S(IF('Raw data'!$K$4:$K$267=Summary!C$2,IF('Raw data'!$N$4:$N$267=Summary!$A15,'Raw data'!$Q$4:$Q$267)))))</f>
        <v/>
      </c>
      <c r="D16" s="297" t="str">
        <f t="array" ref="D16">IF(D$2="","",IF($A15="","",_xlfn.STDEV.S(IF('Raw data'!$K$4:$K$267=Summary!D$2,IF('Raw data'!$N$4:$N$267=Summary!$A15,'Raw data'!$Q$4:$Q$267)))))</f>
        <v/>
      </c>
      <c r="E16" s="298" t="str">
        <f t="array" ref="E16">IF(E$2="","",IF($A15="","",_xlfn.STDEV.S(IF('Raw data'!$K$4:$K$267=Summary!E$2,IF('Raw data'!$N$4:$N$267=Summary!$A15,'Raw data'!$Q$4:$Q$267)))))</f>
        <v/>
      </c>
      <c r="F16" s="303" t="str">
        <f t="array" ref="F16">IF(F$2="","",IF($A15="","",_xlfn.STDEV.S(IF('Raw data'!$K$4:$K$267=Summary!F$2,IF('Raw data'!$N$4:$N$267=Summary!$A15,'Raw data'!$Q$4:$Q$267)))))</f>
        <v/>
      </c>
      <c r="H16" s="131" t="str">
        <f>IF(H15="","","Std.Dev.")</f>
        <v/>
      </c>
      <c r="I16" s="298" t="str">
        <f t="array" ref="I16">IF(I$2="","",IF($H15="","",_xlfn.STDEV.S(IF('Raw data'!$K$4:$K$267=Summary!I$2,IF('Raw data'!$N$4:$N$267=Summary!$H15,'Raw data'!$S$4:$S$267)))))</f>
        <v/>
      </c>
      <c r="J16" s="298" t="str">
        <f t="array" ref="J16">IF(J$2="","",IF($H15="","",_xlfn.STDEV.S(IF('Raw data'!$K$4:$K$267=Summary!J$2,IF('Raw data'!$N$4:$N$267=Summary!$H15,'Raw data'!$S$4:$S$267)))))</f>
        <v/>
      </c>
      <c r="K16" s="297" t="str">
        <f t="array" ref="K16">IF(K$2="","",IF($H15="","",_xlfn.STDEV.S(IF('Raw data'!$K$4:$K$267=Summary!K$2,IF('Raw data'!$N$4:$N$267=Summary!$H15,'Raw data'!$S$4:$S$267)))))</f>
        <v/>
      </c>
      <c r="L16" s="302" t="str">
        <f t="array" ref="L16">IF(L$2="","",IF($H15="","",_xlfn.STDEV.S(IF('Raw data'!$K$4:$K$267=Summary!L$2,IF('Raw data'!$N$4:$N$267=Summary!$H15,'Raw data'!$S$4:$S$267)))))</f>
        <v/>
      </c>
      <c r="M16" s="42"/>
      <c r="N16" s="131" t="str">
        <f>IF(N15="","","Std.Dev.")</f>
        <v/>
      </c>
      <c r="O16" s="298" t="str">
        <f t="array" ref="O16">IF(O$2="","",IF($N15="","",_xlfn.STDEV.S(IF('Raw data'!$K$4:$K$267=Summary!O$2,IF('Raw data'!$N$4:$N$267=Summary!$N15,'Raw data'!$V$4:$V$267)))))</f>
        <v/>
      </c>
      <c r="P16" s="298" t="str">
        <f t="array" ref="P16">IF(P$2="","",IF($N15="","",_xlfn.STDEV.S(IF('Raw data'!$K$4:$K$267=Summary!P$2,IF('Raw data'!$N$4:$N$267=Summary!$N15,'Raw data'!$V$4:$V$267)))))</f>
        <v/>
      </c>
      <c r="Q16" s="297" t="str">
        <f t="array" ref="Q16">IF(Q$2="","",IF($N15="","",_xlfn.STDEV.S(IF('Raw data'!$K$4:$K$267=Summary!Q$2,IF('Raw data'!$N$4:$N$267=Summary!$N15,'Raw data'!$V$4:$V$267)))))</f>
        <v/>
      </c>
      <c r="R16" s="302" t="str">
        <f t="array" ref="R16">IF(R$2="","",IF($N15="","",_xlfn.STDEV.S(IF('Raw data'!$K$4:$K$267=Summary!R$2,IF('Raw data'!$N$4:$N$267=Summary!$N15,'Raw data'!$V$4:$V$267)))))</f>
        <v/>
      </c>
      <c r="T16" s="131" t="str">
        <f>IF(T15="","","Std.Dev.")</f>
        <v/>
      </c>
      <c r="U16" s="298" t="str">
        <f t="array" ref="U16">IF(U$2="","",IF($T15="","",_xlfn.STDEV.S(IF('Raw data'!$K$4:$K$267=Summary!U$2,IF('Raw data'!$N$4:$N$267=Summary!$T15,'Raw data'!$W$4:$W$267)))))</f>
        <v/>
      </c>
      <c r="V16" s="298" t="str">
        <f t="array" ref="V16">IF(V$2="","",IF($T15="","",_xlfn.STDEV.S(IF('Raw data'!$K$4:$K$267=Summary!V$2,IF('Raw data'!$N$4:$N$267=Summary!$T15,'Raw data'!$W$4:$W$267)))))</f>
        <v/>
      </c>
      <c r="W16" s="297" t="str">
        <f t="array" ref="W16">IF(W$2="","",IF($T15="","",_xlfn.STDEV.S(IF('Raw data'!$K$4:$K$267=Summary!W$2,IF('Raw data'!$N$4:$N$267=Summary!$T15,'Raw data'!$W$4:$W$267)))))</f>
        <v/>
      </c>
      <c r="X16" s="302" t="str">
        <f t="array" ref="X16">IF(X$2="","",IF($T15="","",_xlfn.STDEV.S(IF('Raw data'!$K$4:$K$267=Summary!X$2,IF('Raw data'!$N$4:$N$267=Summary!$T15,'Raw data'!$W$4:$W$267)))))</f>
        <v/>
      </c>
    </row>
    <row r="17" spans="1:24" hidden="1" x14ac:dyDescent="0.25">
      <c r="A17" s="131" t="str">
        <f>IF(B46="","",A46)</f>
        <v/>
      </c>
      <c r="B17" s="297" t="str">
        <f>IF(A17="","",IF($B$2="",0,AVERAGEIF('Raw data'!$B$4:$B$69,Summary!A17,'Raw data'!$F$4:$F$69)))</f>
        <v/>
      </c>
      <c r="C17" s="297" t="str">
        <f>IF(C$2="","",IF($A17="","",(AVERAGEIFS('Raw data'!$Q$4:$Q$267,'Raw data'!$K$4:$K$267,Summary!C$2,'Raw data'!$N$4:$N$267,Summary!$A17))))</f>
        <v/>
      </c>
      <c r="D17" s="297" t="str">
        <f>IF(D$2="","",IF($A17="","",(AVERAGEIFS('Raw data'!$Q$4:$Q$267,'Raw data'!$K$4:$K$267,Summary!D$2,'Raw data'!$N$4:$N$267,Summary!$A17))))</f>
        <v/>
      </c>
      <c r="E17" s="298" t="str">
        <f>IF(E$2="","",IF($A17="","",(AVERAGEIFS('Raw data'!$Q$4:$Q$267,'Raw data'!$K$4:$K$267,Summary!E$2,'Raw data'!$N$4:$N$267,Summary!$A17))))</f>
        <v/>
      </c>
      <c r="F17" s="303" t="str">
        <f>IF(F$2="","",IF($A17="","",(AVERAGEIFS('Raw data'!$Q$4:$Q$267,'Raw data'!$K$4:$K$267,Summary!F$2,'Raw data'!$N$4:$N$267,Summary!$A17))))</f>
        <v/>
      </c>
      <c r="H17" s="131" t="str">
        <f>IF(I46="","",H46)</f>
        <v/>
      </c>
      <c r="I17" s="297" t="str">
        <f t="array" ref="I17">IF(I$2="","",IF($H17="","",(AVERAGEIFS('Raw data'!$S$4:$S$267,'Raw data'!$K$4:$K$267,Summary!I$2,'Raw data'!$N$4:$N$267,Summary!$H17))))</f>
        <v/>
      </c>
      <c r="J17" s="297" t="str">
        <f t="array" ref="J17">IF(J$2="","",IF($H17="","",(AVERAGEIFS('Raw data'!$S$4:$S$267,'Raw data'!$K$4:$K$267,Summary!J$2,'Raw data'!$N$4:$N$267,Summary!$H17))))</f>
        <v/>
      </c>
      <c r="K17" s="297" t="str">
        <f t="array" ref="K17">IF(K$2="","",IF($H17="","",(AVERAGEIFS('Raw data'!$S$4:$S$267,'Raw data'!$K$4:$K$267,Summary!K$2,'Raw data'!$N$4:$N$267,Summary!$H17))))</f>
        <v/>
      </c>
      <c r="L17" s="303" t="str">
        <f t="array" ref="L17">IF(L$2="","",IF($H17="","",(AVERAGEIFS('Raw data'!$S$4:$S$267,'Raw data'!$K$4:$K$267,Summary!L$2,'Raw data'!$N$4:$N$267,Summary!$H17))))</f>
        <v/>
      </c>
      <c r="N17" s="131" t="str">
        <f>IF(O46="","",N46)</f>
        <v/>
      </c>
      <c r="O17" s="297" t="str">
        <f t="array" ref="O17">IF(O$2="","",IF($N17="","",(AVERAGEIFS('Raw data'!$V$4:$V$267,'Raw data'!$K$4:$K$267,Summary!O$2,'Raw data'!$N$4:$N$267,Summary!$N17))))</f>
        <v/>
      </c>
      <c r="P17" s="297" t="str">
        <f t="array" ref="P17">IF(P$2="","",IF($N17="","",(AVERAGEIFS('Raw data'!$V$4:$V$267,'Raw data'!$K$4:$K$267,Summary!P$2,'Raw data'!$N$4:$N$267,Summary!$N17))))</f>
        <v/>
      </c>
      <c r="Q17" s="297" t="str">
        <f t="array" ref="Q17">IF(Q$2="","",IF($N17="","",(AVERAGEIFS('Raw data'!$V$4:$V$267,'Raw data'!$K$4:$K$267,Summary!Q$2,'Raw data'!$N$4:$N$267,Summary!$N17))))</f>
        <v/>
      </c>
      <c r="R17" s="303" t="str">
        <f t="array" ref="R17">IF(R$2="","",IF($N17="","",(AVERAGEIFS('Raw data'!$V$4:$V$267,'Raw data'!$K$4:$K$267,Summary!R$2,'Raw data'!$N$4:$N$267,Summary!$N17))))</f>
        <v/>
      </c>
      <c r="T17" s="131" t="str">
        <f>IF(U46="","",T46)</f>
        <v/>
      </c>
      <c r="U17" s="297" t="str">
        <f t="array" ref="U17">IF(U$2="","",IF($T17="","",(AVERAGEIFS('Raw data'!$W$4:$W$267,'Raw data'!$K$4:$K$267,Summary!U$2,'Raw data'!$N$4:$N$267,Summary!$T17))))</f>
        <v/>
      </c>
      <c r="V17" s="297" t="str">
        <f t="array" ref="V17">IF(V$2="","",IF($T17="","",(AVERAGEIFS('Raw data'!$W$4:$W$267,'Raw data'!$K$4:$K$267,Summary!V$2,'Raw data'!$N$4:$N$267,Summary!$T17))))</f>
        <v/>
      </c>
      <c r="W17" s="297" t="str">
        <f t="array" ref="W17">IF(W$2="","",IF($T17="","",(AVERAGEIFS('Raw data'!$W$4:$W$267,'Raw data'!$K$4:$K$267,Summary!W$2,'Raw data'!$N$4:$N$267,Summary!$T17))))</f>
        <v/>
      </c>
      <c r="X17" s="303" t="str">
        <f t="array" ref="X17">IF(X$2="","",IF($T17="","",(AVERAGEIFS('Raw data'!$W$4:$W$267,'Raw data'!$K$4:$K$267,Summary!X$2,'Raw data'!$N$4:$N$267,Summary!$T17))))</f>
        <v/>
      </c>
    </row>
    <row r="18" spans="1:24" ht="15.75" hidden="1" thickBot="1" x14ac:dyDescent="0.3">
      <c r="A18" s="132" t="str">
        <f>IF(A17="","","Std.Dev.")</f>
        <v/>
      </c>
      <c r="B18" s="299" t="str">
        <f t="array" ref="B18">IF(A17="","",IF($B$2="",0,_xlfn.STDEV.S(IF('Raw data'!$B$4:$B$69=A17,'Raw data'!$F$4:$F$69))))</f>
        <v/>
      </c>
      <c r="C18" s="300" t="str">
        <f t="array" ref="C18">IF(C$2="","",IF($A17="","",_xlfn.STDEV.S(IF('Raw data'!$K$4:$K$267=Summary!C$2,IF('Raw data'!$N$4:$N$267=Summary!$A17,'Raw data'!$Q$4:$Q$267)))))</f>
        <v/>
      </c>
      <c r="D18" s="301" t="str">
        <f t="array" ref="D18">IF(D$2="","",IF($A17="","",_xlfn.STDEV.S(IF('Raw data'!$K$4:$K$267=Summary!D$2,IF('Raw data'!$N$4:$N$267=Summary!$A17,'Raw data'!$Q$4:$Q$267)))))</f>
        <v/>
      </c>
      <c r="E18" s="300" t="str">
        <f t="array" ref="E18">IF(E$2="","",IF($A17="","",_xlfn.STDEV.S(IF('Raw data'!$K$4:$K$267=Summary!E$2,IF('Raw data'!$N$4:$N$267=Summary!$A17,'Raw data'!$Q$4:$Q$267)))))</f>
        <v/>
      </c>
      <c r="F18" s="304" t="str">
        <f t="array" ref="F18">IF(F$2="","",IF($A17="","",_xlfn.STDEV.S(IF('Raw data'!$K$4:$K$267=Summary!F$2,IF('Raw data'!$N$4:$N$267=Summary!$A17,'Raw data'!$Q$4:$Q$267)))))</f>
        <v/>
      </c>
      <c r="H18" s="132" t="str">
        <f>IF(H17="","","Std.Dev.")</f>
        <v/>
      </c>
      <c r="I18" s="301" t="str">
        <f t="array" ref="I18">IF(I$2="","",IF($H17="","",_xlfn.STDEV.S(IF('Raw data'!$K$4:$K$267=Summary!I$2,IF('Raw data'!$N$4:$N$267=Summary!$H17,'Raw data'!$S$4:$S$267)))))</f>
        <v/>
      </c>
      <c r="J18" s="301" t="str">
        <f t="array" ref="J18">IF(J$2="","",IF($H17="","",_xlfn.STDEV.S(IF('Raw data'!$K$4:$K$267=Summary!J$2,IF('Raw data'!$N$4:$N$267=Summary!$H17,'Raw data'!$S$4:$S$267)))))</f>
        <v/>
      </c>
      <c r="K18" s="301" t="str">
        <f t="array" ref="K18">IF(K$2="","",IF($H17="","",_xlfn.STDEV.S(IF('Raw data'!$K$4:$K$267=Summary!K$2,IF('Raw data'!$N$4:$N$267=Summary!$H17,'Raw data'!$S$4:$S$267)))))</f>
        <v/>
      </c>
      <c r="L18" s="304" t="str">
        <f t="array" ref="L18">IF(L$2="","",IF($H17="","",_xlfn.STDEV.S(IF('Raw data'!$K$4:$K$267=Summary!L$2,IF('Raw data'!$N$4:$N$267=Summary!$H17,'Raw data'!$S$4:$S$267)))))</f>
        <v/>
      </c>
      <c r="N18" s="132" t="str">
        <f>IF(N17="","","Std.Dev.")</f>
        <v/>
      </c>
      <c r="O18" s="301" t="str">
        <f t="array" ref="O18">IF(O$2="","",IF($N17="","",_xlfn.STDEV.S(IF('Raw data'!$K$4:$K$267=Summary!O$2,IF('Raw data'!$N$4:$N$267=Summary!$N17,'Raw data'!$V$4:$V$267)))))</f>
        <v/>
      </c>
      <c r="P18" s="301" t="str">
        <f t="array" ref="P18">IF(P$2="","",IF($N17="","",_xlfn.STDEV.S(IF('Raw data'!$K$4:$K$267=Summary!P$2,IF('Raw data'!$N$4:$N$267=Summary!$N17,'Raw data'!$V$4:$V$267)))))</f>
        <v/>
      </c>
      <c r="Q18" s="301" t="str">
        <f t="array" ref="Q18">IF(Q$2="","",IF($N17="","",_xlfn.STDEV.S(IF('Raw data'!$K$4:$K$267=Summary!Q$2,IF('Raw data'!$N$4:$N$267=Summary!$N17,'Raw data'!$V$4:$V$267)))))</f>
        <v/>
      </c>
      <c r="R18" s="304" t="str">
        <f t="array" ref="R18">IF(R$2="","",IF($N17="","",_xlfn.STDEV.S(IF('Raw data'!$K$4:$K$267=Summary!R$2,IF('Raw data'!$N$4:$N$267=Summary!$N17,'Raw data'!$V$4:$V$267)))))</f>
        <v/>
      </c>
      <c r="T18" s="132" t="str">
        <f>IF(T17="","","Std.Dev.")</f>
        <v/>
      </c>
      <c r="U18" s="301" t="str">
        <f t="array" ref="U18">IF(U$2="","",IF($T17="","",_xlfn.STDEV.S(IF('Raw data'!$K$4:$K$267=Summary!U$2,IF('Raw data'!$N$4:$N$267=Summary!$T17,'Raw data'!$W$4:$W$267)))))</f>
        <v/>
      </c>
      <c r="V18" s="301" t="str">
        <f t="array" ref="V18">IF(V$2="","",IF($T17="","",_xlfn.STDEV.S(IF('Raw data'!$K$4:$K$267=Summary!V$2,IF('Raw data'!$N$4:$N$267=Summary!$T17,'Raw data'!$W$4:$W$267)))))</f>
        <v/>
      </c>
      <c r="W18" s="301" t="str">
        <f t="array" ref="W18">IF(W$2="","",IF($T17="","",_xlfn.STDEV.S(IF('Raw data'!$K$4:$K$267=Summary!W$2,IF('Raw data'!$N$4:$N$267=Summary!$T17,'Raw data'!$W$4:$W$267)))))</f>
        <v/>
      </c>
      <c r="X18" s="304" t="str">
        <f t="array" ref="X18">IF(X$2="","",IF($T17="","",_xlfn.STDEV.S(IF('Raw data'!$K$4:$K$267=Summary!X$2,IF('Raw data'!$N$4:$N$267=Summary!$T17,'Raw data'!$W$4:$W$267)))))</f>
        <v/>
      </c>
    </row>
    <row r="39" spans="1:22" x14ac:dyDescent="0.25">
      <c r="A39" s="291" t="s">
        <v>10</v>
      </c>
      <c r="B39" s="305" t="s">
        <v>103</v>
      </c>
      <c r="H39" s="291" t="str">
        <f>A39</f>
        <v>T1</v>
      </c>
      <c r="I39" s="305" t="str">
        <f>IF(B39="","",B39)</f>
        <v>Negative control</v>
      </c>
      <c r="M39" s="296"/>
      <c r="N39" s="291" t="str">
        <f>A39</f>
        <v>T1</v>
      </c>
      <c r="O39" s="305" t="str">
        <f>IF(B39="","",B39)</f>
        <v>Negative control</v>
      </c>
      <c r="Q39" s="1"/>
      <c r="R39" s="1"/>
      <c r="T39" s="291" t="str">
        <f>A39</f>
        <v>T1</v>
      </c>
      <c r="U39" s="305" t="str">
        <f>IF(B39="","",B39)</f>
        <v>Negative control</v>
      </c>
    </row>
    <row r="40" spans="1:22" x14ac:dyDescent="0.25">
      <c r="A40" s="291" t="s">
        <v>13</v>
      </c>
      <c r="B40" s="305" t="s">
        <v>110</v>
      </c>
      <c r="H40" s="291" t="str">
        <f t="shared" ref="H40:H46" si="0">A40</f>
        <v>T2</v>
      </c>
      <c r="I40" s="305" t="str">
        <f t="shared" ref="I40:I46" si="1">IF(B40="","",B40)</f>
        <v>FLAVIMPEX 80</v>
      </c>
      <c r="M40" s="296"/>
      <c r="N40" s="291" t="str">
        <f t="shared" ref="N40:N46" si="2">A40</f>
        <v>T2</v>
      </c>
      <c r="O40" s="305" t="str">
        <f t="shared" ref="O40:O46" si="3">IF(B40="","",B40)</f>
        <v>FLAVIMPEX 80</v>
      </c>
      <c r="Q40" s="1"/>
      <c r="R40" s="1"/>
      <c r="T40" s="291" t="str">
        <f t="shared" ref="T40:T46" si="4">A40</f>
        <v>T2</v>
      </c>
      <c r="U40" s="305" t="str">
        <f t="shared" ref="U40:U46" si="5">IF(B40="","",B40)</f>
        <v>FLAVIMPEX 80</v>
      </c>
      <c r="V40" s="305"/>
    </row>
    <row r="41" spans="1:22" x14ac:dyDescent="0.25">
      <c r="A41" s="291" t="s">
        <v>12</v>
      </c>
      <c r="B41" s="305" t="s">
        <v>111</v>
      </c>
      <c r="H41" s="291" t="str">
        <f t="shared" si="0"/>
        <v>T3</v>
      </c>
      <c r="I41" s="305" t="str">
        <f t="shared" si="1"/>
        <v>BUTIFOUR CCB low</v>
      </c>
      <c r="N41" s="291" t="str">
        <f t="shared" si="2"/>
        <v>T3</v>
      </c>
      <c r="O41" s="305" t="str">
        <f t="shared" si="3"/>
        <v>BUTIFOUR CCB low</v>
      </c>
      <c r="T41" s="291" t="str">
        <f t="shared" si="4"/>
        <v>T3</v>
      </c>
      <c r="U41" s="305" t="str">
        <f t="shared" si="5"/>
        <v>BUTIFOUR CCB low</v>
      </c>
    </row>
    <row r="42" spans="1:22" x14ac:dyDescent="0.25">
      <c r="A42" s="291" t="s">
        <v>11</v>
      </c>
      <c r="B42" s="305" t="s">
        <v>112</v>
      </c>
      <c r="H42" s="291" t="str">
        <f t="shared" si="0"/>
        <v>T4</v>
      </c>
      <c r="I42" s="305" t="str">
        <f t="shared" si="1"/>
        <v>BUTIFOUR CCB high</v>
      </c>
      <c r="N42" s="291" t="str">
        <f t="shared" si="2"/>
        <v>T4</v>
      </c>
      <c r="O42" s="305" t="str">
        <f t="shared" si="3"/>
        <v>BUTIFOUR CCB high</v>
      </c>
      <c r="T42" s="291" t="str">
        <f t="shared" si="4"/>
        <v>T4</v>
      </c>
      <c r="U42" s="305" t="str">
        <f t="shared" si="5"/>
        <v>BUTIFOUR CCB high</v>
      </c>
    </row>
    <row r="43" spans="1:22" x14ac:dyDescent="0.25">
      <c r="A43" s="291" t="s">
        <v>14</v>
      </c>
      <c r="B43" s="305" t="s">
        <v>113</v>
      </c>
      <c r="H43" s="291" t="str">
        <f t="shared" si="0"/>
        <v>T5</v>
      </c>
      <c r="I43" s="305" t="str">
        <f t="shared" si="1"/>
        <v>NFORCE POULTRY</v>
      </c>
      <c r="N43" s="291" t="str">
        <f t="shared" si="2"/>
        <v>T5</v>
      </c>
      <c r="O43" s="305" t="str">
        <f t="shared" si="3"/>
        <v>NFORCE POULTRY</v>
      </c>
      <c r="T43" s="291" t="str">
        <f t="shared" si="4"/>
        <v>T5</v>
      </c>
      <c r="U43" s="305" t="str">
        <f t="shared" si="5"/>
        <v>NFORCE POULTRY</v>
      </c>
    </row>
    <row r="44" spans="1:22" x14ac:dyDescent="0.25">
      <c r="A44" s="291" t="s">
        <v>16</v>
      </c>
      <c r="B44" s="305" t="s">
        <v>114</v>
      </c>
      <c r="H44" s="291" t="str">
        <f t="shared" si="0"/>
        <v>T6</v>
      </c>
      <c r="I44" s="305" t="str">
        <f t="shared" si="1"/>
        <v>FLAVIMPEX 80 + CCB lower</v>
      </c>
      <c r="N44" s="291" t="str">
        <f t="shared" si="2"/>
        <v>T6</v>
      </c>
      <c r="O44" s="305" t="str">
        <f t="shared" si="3"/>
        <v>FLAVIMPEX 80 + CCB lower</v>
      </c>
      <c r="T44" s="291" t="str">
        <f t="shared" si="4"/>
        <v>T6</v>
      </c>
      <c r="U44" s="305" t="str">
        <f t="shared" si="5"/>
        <v>FLAVIMPEX 80 + CCB lower</v>
      </c>
    </row>
    <row r="45" spans="1:22" hidden="1" x14ac:dyDescent="0.25">
      <c r="A45" s="291" t="s">
        <v>15</v>
      </c>
      <c r="B45" s="305"/>
      <c r="H45" s="291" t="str">
        <f t="shared" si="0"/>
        <v>T7</v>
      </c>
      <c r="I45" s="305" t="str">
        <f t="shared" si="1"/>
        <v/>
      </c>
      <c r="N45" s="291" t="str">
        <f t="shared" si="2"/>
        <v>T7</v>
      </c>
      <c r="O45" s="305" t="str">
        <f t="shared" si="3"/>
        <v/>
      </c>
      <c r="T45" s="291" t="str">
        <f t="shared" si="4"/>
        <v>T7</v>
      </c>
      <c r="U45" s="305" t="str">
        <f t="shared" si="5"/>
        <v/>
      </c>
    </row>
    <row r="46" spans="1:22" hidden="1" x14ac:dyDescent="0.25">
      <c r="A46" s="291" t="s">
        <v>17</v>
      </c>
      <c r="B46" s="305"/>
      <c r="H46" s="291" t="str">
        <f t="shared" si="0"/>
        <v>T8</v>
      </c>
      <c r="I46" s="305" t="str">
        <f t="shared" si="1"/>
        <v/>
      </c>
      <c r="N46" s="291" t="str">
        <f t="shared" si="2"/>
        <v>T8</v>
      </c>
      <c r="O46" s="291" t="str">
        <f t="shared" si="3"/>
        <v/>
      </c>
      <c r="T46" s="291" t="str">
        <f t="shared" si="4"/>
        <v>T8</v>
      </c>
      <c r="U46" s="305" t="str">
        <f t="shared" si="5"/>
        <v/>
      </c>
    </row>
    <row r="47" spans="1:22" ht="15.75" thickBot="1" x14ac:dyDescent="0.3"/>
    <row r="48" spans="1:22" ht="15.75" customHeight="1" thickBot="1" x14ac:dyDescent="0.3">
      <c r="A48" s="547" t="s">
        <v>85</v>
      </c>
      <c r="B48" s="548"/>
      <c r="C48" s="548"/>
      <c r="D48" s="548"/>
      <c r="E48" s="561"/>
      <c r="H48" s="547" t="s">
        <v>91</v>
      </c>
      <c r="I48" s="548"/>
      <c r="J48" s="548"/>
      <c r="K48" s="548"/>
      <c r="L48" s="561"/>
      <c r="M48" s="291"/>
    </row>
    <row r="49" spans="1:13" x14ac:dyDescent="0.25">
      <c r="A49" s="130"/>
      <c r="B49" s="205" t="str">
        <f>IF('14 days'!$B$1="","","14 days")</f>
        <v>14 days</v>
      </c>
      <c r="C49" s="205" t="str">
        <f>IF('23 days'!$B$1="","","23 days")</f>
        <v>23 days</v>
      </c>
      <c r="D49" s="205" t="str">
        <f>IF('32 days'!$B$1="","","32 days")</f>
        <v>32 days</v>
      </c>
      <c r="E49" s="309" t="str">
        <f>IF('39 days'!$B$1="","","39 days")</f>
        <v>39 days</v>
      </c>
      <c r="H49" s="130"/>
      <c r="I49" s="205" t="str">
        <f>IF('14 days'!$B$1="","","14 days")</f>
        <v>14 days</v>
      </c>
      <c r="J49" s="205" t="str">
        <f>IF('23 days'!$B$1="","","23 days")</f>
        <v>23 days</v>
      </c>
      <c r="K49" s="205" t="str">
        <f>IF('32 days'!$B$1="","","32 days")</f>
        <v>32 days</v>
      </c>
      <c r="L49" s="309" t="str">
        <f>IF('39 days'!$B$1="","","39 days")</f>
        <v>39 days</v>
      </c>
      <c r="M49" s="291"/>
    </row>
    <row r="50" spans="1:13" x14ac:dyDescent="0.25">
      <c r="A50" s="131" t="str">
        <f>IF(B39="","",A39)</f>
        <v>T1</v>
      </c>
      <c r="B50" s="126">
        <f>IF($A50="","",IF(B$49="","",'Chi square'!C2/'Chi square'!C3))</f>
        <v>1.1494252873563218E-2</v>
      </c>
      <c r="C50" s="126">
        <f>IF($A50="","",IF(C$49="","",'Chi square'!E2/'Chi square'!E3))</f>
        <v>2.3255813953488372E-3</v>
      </c>
      <c r="D50" s="126">
        <f>IF($A50="","",IF(D$49="","",'Chi square'!G2/'Chi square'!G3))</f>
        <v>4.6728971962616819E-3</v>
      </c>
      <c r="E50" s="129">
        <f>IF($A50="","",IF(E$49="","",'Chi square'!I2/'Chi square'!I3))</f>
        <v>1.7073170731707318E-2</v>
      </c>
      <c r="H50" s="131" t="str">
        <f>IF(I39="","",H39)</f>
        <v>T1</v>
      </c>
      <c r="I50" s="126">
        <f>IF($A50="","",IF(I$49="","",'Chi square'!M2/'Chi square'!M3))</f>
        <v>9.1743119266055051E-3</v>
      </c>
      <c r="J50" s="126">
        <f>IF($A50="","",IF(J$49="","",'Chi square'!O2/'Chi square'!O3))</f>
        <v>0</v>
      </c>
      <c r="K50" s="126">
        <f>IF($A50="","",IF(K$49="","",'Chi square'!Q2/'Chi square'!Q3))</f>
        <v>2.6252983293556086E-2</v>
      </c>
      <c r="L50" s="129">
        <f>IF($A50="","",IF(L$49="","",'Chi square'!S2/'Chi square'!S3))</f>
        <v>0</v>
      </c>
      <c r="M50" s="291"/>
    </row>
    <row r="51" spans="1:13" x14ac:dyDescent="0.25">
      <c r="A51" s="131" t="str">
        <f t="shared" ref="A51:A57" si="6">IF(B40="","",A40)</f>
        <v>T2</v>
      </c>
      <c r="B51" s="126">
        <f>IF($A51="","",IF(B$49="","",'Chi square'!C4/'Chi square'!C5))</f>
        <v>1.6166281755196306E-2</v>
      </c>
      <c r="C51" s="126">
        <f>IF($A51="","",IF(C$49="","",'Chi square'!E4/'Chi square'!E5))</f>
        <v>0</v>
      </c>
      <c r="D51" s="126">
        <f>IF($A51="","",IF(D$49="","",'Chi square'!G4/'Chi square'!G5))</f>
        <v>4.7169811320754715E-3</v>
      </c>
      <c r="E51" s="129">
        <f>IF($A51="","",IF(E$49="","",'Chi square'!I4/'Chi square'!I5))</f>
        <v>1.4742014742014743E-2</v>
      </c>
      <c r="H51" s="131" t="str">
        <f t="shared" ref="H51:H57" si="7">IF(I40="","",H40)</f>
        <v>T2</v>
      </c>
      <c r="I51" s="126">
        <f>IF($A51="","",IF(I$49="","",'Chi square'!M4/'Chi square'!M5))</f>
        <v>1.3824884792626729E-2</v>
      </c>
      <c r="J51" s="126">
        <f>IF($A51="","",IF(J$49="","",'Chi square'!O4/'Chi square'!O5))</f>
        <v>2.3474178403755869E-3</v>
      </c>
      <c r="K51" s="126">
        <f>IF($A51="","",IF(K$49="","",'Chi square'!Q4/'Chi square'!Q5))</f>
        <v>2.6506024096385541E-2</v>
      </c>
      <c r="L51" s="129">
        <f>IF($A51="","",IF(L$49="","",'Chi square'!S4/'Chi square'!S5))</f>
        <v>0</v>
      </c>
      <c r="M51" s="291"/>
    </row>
    <row r="52" spans="1:13" x14ac:dyDescent="0.25">
      <c r="A52" s="131" t="str">
        <f t="shared" si="6"/>
        <v>T3</v>
      </c>
      <c r="B52" s="126">
        <f>IF($A52="","",IF(B$49="","",'Chi square'!C6/'Chi square'!C7))</f>
        <v>2.2779043280182231E-3</v>
      </c>
      <c r="C52" s="126">
        <f>IF($A52="","",IF(C$49="","",'Chi square'!E6/'Chi square'!E7))</f>
        <v>4.6728971962616819E-3</v>
      </c>
      <c r="D52" s="126">
        <f>IF($A52="","",IF(D$49="","",'Chi square'!G6/'Chi square'!G7))</f>
        <v>4.7169811320754715E-3</v>
      </c>
      <c r="E52" s="129">
        <f>IF($A52="","",IF(E$49="","",'Chi square'!I6/'Chi square'!I7))</f>
        <v>9.5238095238095247E-3</v>
      </c>
      <c r="H52" s="131" t="str">
        <f t="shared" si="7"/>
        <v>T3</v>
      </c>
      <c r="I52" s="126">
        <f>IF($A52="","",IF(I$49="","",'Chi square'!M6/'Chi square'!M7))</f>
        <v>2.0881670533642691E-2</v>
      </c>
      <c r="J52" s="126">
        <f>IF($A52="","",IF(J$49="","",'Chi square'!O6/'Chi square'!O7))</f>
        <v>4.6728971962616819E-3</v>
      </c>
      <c r="K52" s="126">
        <f>IF($A52="","",IF(K$49="","",'Chi square'!Q6/'Chi square'!Q7))</f>
        <v>0</v>
      </c>
      <c r="L52" s="129">
        <f>IF($A52="","",IF(L$49="","",'Chi square'!S6/'Chi square'!S7))</f>
        <v>0</v>
      </c>
      <c r="M52" s="291"/>
    </row>
    <row r="53" spans="1:13" x14ac:dyDescent="0.25">
      <c r="A53" s="131" t="str">
        <f t="shared" si="6"/>
        <v>T4</v>
      </c>
      <c r="B53" s="126">
        <f>IF($A53="","",IF(B$49="","",'Chi square'!C8/'Chi square'!C9))</f>
        <v>6.8649885583524023E-3</v>
      </c>
      <c r="C53" s="126">
        <f>IF($A53="","",IF(C$49="","",'Chi square'!E8/'Chi square'!E9))</f>
        <v>2.3640661938534278E-3</v>
      </c>
      <c r="D53" s="126">
        <f>IF($A53="","",IF(D$49="","",'Chi square'!G8/'Chi square'!G9))</f>
        <v>7.1942446043165471E-3</v>
      </c>
      <c r="E53" s="129">
        <f>IF($A53="","",IF(E$49="","",'Chi square'!I8/'Chi square'!I9))</f>
        <v>9.9255583126550868E-3</v>
      </c>
      <c r="H53" s="131" t="str">
        <f t="shared" si="7"/>
        <v>T4</v>
      </c>
      <c r="I53" s="126">
        <f>IF($A53="","",IF(I$49="","",'Chi square'!M8/'Chi square'!M9))</f>
        <v>3.0444964871194378E-2</v>
      </c>
      <c r="J53" s="126">
        <f>IF($A53="","",IF(J$49="","",'Chi square'!O8/'Chi square'!O9))</f>
        <v>7.1258907363420431E-3</v>
      </c>
      <c r="K53" s="126">
        <f>IF($A53="","",IF(K$49="","",'Chi square'!Q8/'Chi square'!Q9))</f>
        <v>2.4390243902439025E-2</v>
      </c>
      <c r="L53" s="129">
        <f>IF($A53="","",IF(L$49="","",'Chi square'!S8/'Chi square'!S9))</f>
        <v>0</v>
      </c>
      <c r="M53" s="291"/>
    </row>
    <row r="54" spans="1:13" x14ac:dyDescent="0.25">
      <c r="A54" s="131" t="str">
        <f t="shared" si="6"/>
        <v>T5</v>
      </c>
      <c r="B54" s="126">
        <f>IF($A54="","",IF(B$49="","",'Chi square'!C10/'Chi square'!C11))</f>
        <v>1.1494252873563218E-2</v>
      </c>
      <c r="C54" s="126">
        <f>IF($A54="","",IF(C$49="","",'Chi square'!E10/'Chi square'!E11))</f>
        <v>2.3364485981308409E-3</v>
      </c>
      <c r="D54" s="126">
        <f>IF($A54="","",IF(D$49="","",'Chi square'!G10/'Chi square'!G11))</f>
        <v>7.0754716981132077E-3</v>
      </c>
      <c r="E54" s="129">
        <f>IF($A54="","",IF(E$49="","",'Chi square'!I10/'Chi square'!I11))</f>
        <v>1.4388489208633094E-2</v>
      </c>
      <c r="H54" s="131" t="str">
        <f t="shared" si="7"/>
        <v>T5</v>
      </c>
      <c r="I54" s="126">
        <f>IF($A54="","",IF(I$49="","",'Chi square'!M10/'Chi square'!M11))</f>
        <v>1.3824884792626729E-2</v>
      </c>
      <c r="J54" s="126">
        <f>IF($A54="","",IF(J$49="","",'Chi square'!O10/'Chi square'!O11))</f>
        <v>2.3364485981308409E-3</v>
      </c>
      <c r="K54" s="126">
        <f>IF($A54="","",IF(K$49="","",'Chi square'!Q10/'Chi square'!Q11))</f>
        <v>2.3474178403755869E-3</v>
      </c>
      <c r="L54" s="129">
        <f>IF($A54="","",IF(L$49="","",'Chi square'!S10/'Chi square'!S11))</f>
        <v>0</v>
      </c>
      <c r="M54" s="291"/>
    </row>
    <row r="55" spans="1:13" x14ac:dyDescent="0.25">
      <c r="A55" s="131" t="str">
        <f t="shared" si="6"/>
        <v>T6</v>
      </c>
      <c r="B55" s="126">
        <f>IF($A55="","",IF(B$49="","",'Chi square'!C12/'Chi square'!C13))</f>
        <v>9.1743119266055051E-3</v>
      </c>
      <c r="C55" s="126">
        <f>IF($A55="","",IF(C$49="","",'Chi square'!E12/'Chi square'!E13))</f>
        <v>9.2592592592592587E-3</v>
      </c>
      <c r="D55" s="126">
        <f>IF($A55="","",IF(D$49="","",'Chi square'!G12/'Chi square'!G13))</f>
        <v>2.3201856148491878E-3</v>
      </c>
      <c r="E55" s="129">
        <f>IF($A55="","",IF(E$49="","",'Chi square'!I12/'Chi square'!I13))</f>
        <v>1.4492753623188406E-2</v>
      </c>
      <c r="H55" s="131" t="str">
        <f t="shared" si="7"/>
        <v>T6</v>
      </c>
      <c r="I55" s="126">
        <f>IF($A55="","",IF(I$49="","",'Chi square'!M12/'Chi square'!M13))</f>
        <v>0</v>
      </c>
      <c r="J55" s="126">
        <f>IF($A55="","",IF(J$49="","",'Chi square'!O12/'Chi square'!O13))</f>
        <v>0</v>
      </c>
      <c r="K55" s="126">
        <f>IF($A55="","",IF(K$49="","",'Chi square'!Q12/'Chi square'!Q13))</f>
        <v>2.6128266033254157E-2</v>
      </c>
      <c r="L55" s="129">
        <f>IF($A55="","",IF(L$49="","",'Chi square'!S12/'Chi square'!S13))</f>
        <v>0</v>
      </c>
      <c r="M55" s="291"/>
    </row>
    <row r="56" spans="1:13" hidden="1" x14ac:dyDescent="0.25">
      <c r="A56" s="131" t="str">
        <f t="shared" si="6"/>
        <v/>
      </c>
      <c r="B56" s="126" t="str">
        <f>IF($A56="","",IF(B$49="","",'Chi square'!C14/'Chi square'!C15))</f>
        <v/>
      </c>
      <c r="C56" s="126" t="str">
        <f>IF($A56="","",IF(C$49="","",'Chi square'!E14/'Chi square'!E15))</f>
        <v/>
      </c>
      <c r="D56" s="126" t="str">
        <f>IF($A56="","",IF(D$49="","",'Chi square'!G14/'Chi square'!G15))</f>
        <v/>
      </c>
      <c r="E56" s="129" t="str">
        <f>IF($A56="","",IF(E$49="","",'Chi square'!I14/'Chi square'!I15))</f>
        <v/>
      </c>
      <c r="H56" s="131" t="str">
        <f t="shared" si="7"/>
        <v/>
      </c>
      <c r="I56" s="126" t="str">
        <f>IF($A56="","",IF(I$49="","",'Chi square'!M14/'Chi square'!M15))</f>
        <v/>
      </c>
      <c r="J56" s="126" t="str">
        <f>IF($A56="","",IF(J$49="","",'Chi square'!O14/'Chi square'!O15))</f>
        <v/>
      </c>
      <c r="K56" s="126" t="str">
        <f>IF($A56="","",IF(K$49="","",'Chi square'!Q14/'Chi square'!Q15))</f>
        <v/>
      </c>
      <c r="L56" s="129" t="str">
        <f>IF($A56="","",IF(L$49="","",'Chi square'!S14/'Chi square'!S15))</f>
        <v/>
      </c>
      <c r="M56" s="291"/>
    </row>
    <row r="57" spans="1:13" ht="15.75" hidden="1" thickBot="1" x14ac:dyDescent="0.3">
      <c r="A57" s="132" t="str">
        <f t="shared" si="6"/>
        <v/>
      </c>
      <c r="B57" s="39" t="str">
        <f>IF($A57="","",IF(B$49="","",'Chi square'!C16/'Chi square'!C17))</f>
        <v/>
      </c>
      <c r="C57" s="39" t="str">
        <f>IF($A57="","",IF(C$49="","",'Chi square'!E16/'Chi square'!E17))</f>
        <v/>
      </c>
      <c r="D57" s="39" t="str">
        <f>IF($A57="","",IF(D$49="","",'Chi square'!G16/'Chi square'!G17))</f>
        <v/>
      </c>
      <c r="E57" s="133" t="str">
        <f>IF($A57="","",IF(E$49="","",'Chi square'!I16/'Chi square'!I17))</f>
        <v/>
      </c>
      <c r="H57" s="132" t="str">
        <f t="shared" si="7"/>
        <v/>
      </c>
      <c r="I57" s="39" t="str">
        <f>IF($A57="","",IF(I$49="","",'Chi square'!M16/'Chi square'!M17))</f>
        <v/>
      </c>
      <c r="J57" s="39" t="str">
        <f>IF($A57="","",IF(J$49="","",'Chi square'!O16/'Chi square'!O17))</f>
        <v/>
      </c>
      <c r="K57" s="39" t="str">
        <f>IF($A57="","",IF(K$49="","",'Chi square'!Q16/'Chi square'!Q17))</f>
        <v/>
      </c>
      <c r="L57" s="133" t="str">
        <f>IF($A57="","",IF(L$49="","",'Chi square'!S16/'Chi square'!S17))</f>
        <v/>
      </c>
      <c r="M57" s="291"/>
    </row>
    <row r="58" spans="1:13" x14ac:dyDescent="0.25">
      <c r="E58" s="291" t="s">
        <v>66</v>
      </c>
      <c r="L58" s="291" t="s">
        <v>66</v>
      </c>
    </row>
    <row r="72" spans="13:15" x14ac:dyDescent="0.25">
      <c r="M72" s="126"/>
      <c r="N72" s="215"/>
      <c r="O72" s="215"/>
    </row>
    <row r="73" spans="13:15" x14ac:dyDescent="0.25">
      <c r="M73" s="126"/>
      <c r="N73" s="215"/>
      <c r="O73" s="215"/>
    </row>
    <row r="74" spans="13:15" x14ac:dyDescent="0.25">
      <c r="M74" s="126"/>
      <c r="N74" s="215"/>
      <c r="O74" s="215"/>
    </row>
    <row r="75" spans="13:15" x14ac:dyDescent="0.25">
      <c r="M75" s="126"/>
      <c r="N75" s="215"/>
      <c r="O75" s="215"/>
    </row>
    <row r="76" spans="13:15" x14ac:dyDescent="0.25">
      <c r="M76" s="126"/>
      <c r="N76" s="215"/>
      <c r="O76" s="215"/>
    </row>
    <row r="77" spans="13:15" x14ac:dyDescent="0.25">
      <c r="M77" s="126"/>
      <c r="N77" s="215"/>
      <c r="O77" s="215"/>
    </row>
    <row r="84" spans="1:9" x14ac:dyDescent="0.25">
      <c r="A84" s="291" t="str">
        <f t="shared" ref="A84:A91" si="8">A39</f>
        <v>T1</v>
      </c>
      <c r="B84" s="291" t="str">
        <f t="shared" ref="B84:B91" si="9">IF(B39="","",B39)</f>
        <v>Negative control</v>
      </c>
      <c r="H84" s="291" t="str">
        <f t="shared" ref="H84:H91" si="10">H39</f>
        <v>T1</v>
      </c>
      <c r="I84" s="291" t="str">
        <f t="shared" ref="I84:I91" si="11">IF(I39="","",I39)</f>
        <v>Negative control</v>
      </c>
    </row>
    <row r="85" spans="1:9" x14ac:dyDescent="0.25">
      <c r="A85" s="291" t="str">
        <f t="shared" si="8"/>
        <v>T2</v>
      </c>
      <c r="B85" s="305" t="str">
        <f t="shared" si="9"/>
        <v>FLAVIMPEX 80</v>
      </c>
      <c r="H85" s="291" t="str">
        <f t="shared" si="10"/>
        <v>T2</v>
      </c>
      <c r="I85" s="305" t="str">
        <f t="shared" si="11"/>
        <v>FLAVIMPEX 80</v>
      </c>
    </row>
    <row r="86" spans="1:9" x14ac:dyDescent="0.25">
      <c r="A86" s="291" t="str">
        <f t="shared" si="8"/>
        <v>T3</v>
      </c>
      <c r="B86" s="291" t="str">
        <f t="shared" si="9"/>
        <v>BUTIFOUR CCB low</v>
      </c>
      <c r="H86" s="291" t="str">
        <f t="shared" si="10"/>
        <v>T3</v>
      </c>
      <c r="I86" s="291" t="str">
        <f t="shared" si="11"/>
        <v>BUTIFOUR CCB low</v>
      </c>
    </row>
    <row r="87" spans="1:9" x14ac:dyDescent="0.25">
      <c r="A87" s="291" t="str">
        <f t="shared" si="8"/>
        <v>T4</v>
      </c>
      <c r="B87" s="291" t="str">
        <f t="shared" si="9"/>
        <v>BUTIFOUR CCB high</v>
      </c>
      <c r="H87" s="291" t="str">
        <f t="shared" si="10"/>
        <v>T4</v>
      </c>
      <c r="I87" s="291" t="str">
        <f t="shared" si="11"/>
        <v>BUTIFOUR CCB high</v>
      </c>
    </row>
    <row r="88" spans="1:9" x14ac:dyDescent="0.25">
      <c r="A88" s="291" t="str">
        <f t="shared" si="8"/>
        <v>T5</v>
      </c>
      <c r="B88" s="291" t="str">
        <f t="shared" si="9"/>
        <v>NFORCE POULTRY</v>
      </c>
      <c r="H88" s="291" t="str">
        <f t="shared" si="10"/>
        <v>T5</v>
      </c>
      <c r="I88" s="291" t="str">
        <f t="shared" si="11"/>
        <v>NFORCE POULTRY</v>
      </c>
    </row>
    <row r="89" spans="1:9" x14ac:dyDescent="0.25">
      <c r="A89" s="291" t="str">
        <f t="shared" si="8"/>
        <v>T6</v>
      </c>
      <c r="B89" s="291" t="str">
        <f t="shared" si="9"/>
        <v>FLAVIMPEX 80 + CCB lower</v>
      </c>
      <c r="H89" s="291" t="str">
        <f t="shared" si="10"/>
        <v>T6</v>
      </c>
      <c r="I89" s="291" t="str">
        <f t="shared" si="11"/>
        <v>FLAVIMPEX 80 + CCB lower</v>
      </c>
    </row>
    <row r="90" spans="1:9" x14ac:dyDescent="0.25">
      <c r="A90" s="291" t="str">
        <f t="shared" si="8"/>
        <v>T7</v>
      </c>
      <c r="B90" s="291" t="str">
        <f t="shared" si="9"/>
        <v/>
      </c>
      <c r="H90" s="291" t="str">
        <f t="shared" si="10"/>
        <v>T7</v>
      </c>
      <c r="I90" s="291" t="str">
        <f t="shared" si="11"/>
        <v/>
      </c>
    </row>
    <row r="91" spans="1:9" hidden="1" x14ac:dyDescent="0.25">
      <c r="A91" s="291" t="str">
        <f t="shared" si="8"/>
        <v>T8</v>
      </c>
      <c r="B91" s="291" t="str">
        <f t="shared" si="9"/>
        <v/>
      </c>
      <c r="H91" s="291" t="str">
        <f t="shared" si="10"/>
        <v>T8</v>
      </c>
      <c r="I91" s="291" t="str">
        <f t="shared" si="11"/>
        <v/>
      </c>
    </row>
  </sheetData>
  <mergeCells count="6">
    <mergeCell ref="A48:E48"/>
    <mergeCell ref="H48:L48"/>
    <mergeCell ref="A1:F1"/>
    <mergeCell ref="T1:X1"/>
    <mergeCell ref="N1:R1"/>
    <mergeCell ref="H1:L1"/>
  </mergeCells>
  <pageMargins left="0.31496062992125984" right="0.31496062992125984" top="0.78740157480314965" bottom="0.78740157480314965" header="0.31496062992125984" footer="0.31496062992125984"/>
  <pageSetup paperSize="9" scale="90" orientation="portrait" horizontalDpi="4294967293" r:id="rId1"/>
  <rowBreaks count="1" manualBreakCount="1">
    <brk id="47" max="16383" man="1"/>
  </rowBreaks>
  <colBreaks count="3" manualBreakCount="3">
    <brk id="7" max="1048575" man="1"/>
    <brk id="13" max="1048575" man="1"/>
    <brk id="19" max="1048575" man="1"/>
  </colBreaks>
  <ignoredErrors>
    <ignoredError sqref="B5 B7 B9 B11 B17 A5:A12 H6 H5 M5:N5 H8 H7 M7:N7 H10 H9 M9:N9 H12 H11 M11:N11 H18 H17 M17:N17 M6:N6 M8:N8 M10:N10 M12:N12 M18:N18 S5:T5 S7:T7 S9:T9 S11:T11 S17:T17 S6:T6 S8:T8 S10:T10 S12:T12 S18:T18 O19:R19 A17:A18 A14 S14:T14 S13:T13 M14:N14 M13:N13 H13 H14 B13 A15:B15 A13 G13 B14 G14 H16 G15:H15 S16:T16 S15:T15 M16:N16 M15:N15" formula="1"/>
  </ignoredError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I93"/>
  <sheetViews>
    <sheetView workbookViewId="0">
      <pane xSplit="3" ySplit="1" topLeftCell="D53" activePane="bottomRight" state="frozen"/>
      <selection pane="topRight" activeCell="C1" sqref="C1"/>
      <selection pane="bottomLeft" activeCell="A2" sqref="A2"/>
      <selection pane="bottomRight" activeCell="N102" sqref="N102"/>
    </sheetView>
  </sheetViews>
  <sheetFormatPr defaultRowHeight="15" x14ac:dyDescent="0.25"/>
  <cols>
    <col min="1" max="1" width="4.7109375" style="291" bestFit="1" customWidth="1"/>
    <col min="2" max="2" width="11.7109375" style="23" bestFit="1" customWidth="1"/>
    <col min="3" max="3" width="10.140625" style="23" bestFit="1" customWidth="1"/>
    <col min="4" max="8" width="15.42578125" style="23" customWidth="1"/>
    <col min="9" max="16384" width="9.140625" style="23"/>
  </cols>
  <sheetData>
    <row r="1" spans="1:9" ht="15.75" thickBot="1" x14ac:dyDescent="0.3">
      <c r="A1" s="306" t="s">
        <v>0</v>
      </c>
      <c r="B1" s="307" t="s">
        <v>30</v>
      </c>
      <c r="C1" s="316" t="s">
        <v>31</v>
      </c>
      <c r="D1" s="307" t="str">
        <f>IF('1 day'!B1="","","1 day")</f>
        <v>1 day</v>
      </c>
      <c r="E1" s="307" t="str">
        <f>IF('14 days'!B1="","","14 days")</f>
        <v>14 days</v>
      </c>
      <c r="F1" s="307" t="str">
        <f>IF('23 days'!B1="","","23 days")</f>
        <v>23 days</v>
      </c>
      <c r="G1" s="307" t="str">
        <f>IF('32 days'!B1="","","32 days")</f>
        <v>32 days</v>
      </c>
      <c r="H1" s="308" t="str">
        <f>IF('39 days'!B1="","","39 days")</f>
        <v>39 days</v>
      </c>
      <c r="I1" s="24"/>
    </row>
    <row r="2" spans="1:9" x14ac:dyDescent="0.25">
      <c r="A2" s="130">
        <f t="array" ref="A2">IFERROR(INDEX(Map!$V$2:$V$67,MATCH('Body weight'!$B2&amp;'Body weight'!$C2,Map!$W$2:$W$67&amp;Map!$X$2:$X$67,0)),"")</f>
        <v>8</v>
      </c>
      <c r="B2" s="41" t="s">
        <v>10</v>
      </c>
      <c r="C2" s="219" t="s">
        <v>2</v>
      </c>
      <c r="D2" s="220">
        <f t="array" ref="D2">IFERROR(IF($D$1="","",INDEX('Raw data'!$F$4:$F$69,MATCH('Body weight'!$B2&amp;'Body weight'!$C2,'Raw data'!$B$4:$B$69&amp;'Raw data'!$C$4:$C$69,0))),"")</f>
        <v>4.5850000000000002E-2</v>
      </c>
      <c r="E2" s="220">
        <f t="array" ref="E2">IFERROR(IF($E$1="","",INDEX('Raw data'!$Q$4:$Q$267,MATCH('Body weight'!E$1&amp;$A$1&amp;$A2,'Raw data'!$K$4:$K$267&amp;'Raw data'!$L$2&amp;'Raw data'!$L$4:$L$267,0))),"")</f>
        <v>0.34974358974358971</v>
      </c>
      <c r="F2" s="220">
        <f t="array" ref="F2">IFERROR(IF($F$1="","",INDEX('Raw data'!$Q$4:$Q$267,MATCH('Body weight'!F$1&amp;$A$1&amp;$A2,'Raw data'!$K$4:$K$267&amp;'Raw data'!$L$2&amp;'Raw data'!$L$4:$L$267,0))),"")</f>
        <v>0.96923076923076912</v>
      </c>
      <c r="G2" s="220">
        <f t="array" ref="G2">IFERROR(IF($G$1="","",INDEX('Raw data'!$Q$4:$Q$267,MATCH('Body weight'!G$1&amp;$A$1&amp;$A2,'Raw data'!$K$4:$K$267&amp;'Raw data'!$L$2&amp;'Raw data'!$L$4:$L$267,0))),"")</f>
        <v>1.4223684210526315</v>
      </c>
      <c r="H2" s="350">
        <f t="array" ref="H2">IFERROR(IF($H$1="","",INDEX('Raw data'!$Q$4:$Q$267,MATCH('Body weight'!H$1&amp;$A$1&amp;$A2,'Raw data'!$K$4:$K$267&amp;'Raw data'!$L$2&amp;'Raw data'!$L$4:$L$267,0))),"")</f>
        <v>2.2458333333333331</v>
      </c>
      <c r="I2" s="24"/>
    </row>
    <row r="3" spans="1:9" x14ac:dyDescent="0.25">
      <c r="A3" s="131">
        <f t="array" ref="A3">IFERROR(INDEX(Map!$V$2:$V$67,MATCH('Body weight'!$B3&amp;'Body weight'!$C3,Map!$W$2:$W$67&amp;Map!$X$2:$X$67,0)),"")</f>
        <v>12</v>
      </c>
      <c r="B3" s="24" t="str">
        <f>B2</f>
        <v>T1</v>
      </c>
      <c r="C3" s="216" t="s">
        <v>3</v>
      </c>
      <c r="D3" s="38">
        <f t="array" ref="D3">IFERROR(IF($D$1="","",INDEX('Raw data'!$F$4:$F$69,MATCH('Body weight'!$B3&amp;'Body weight'!$C3,'Raw data'!$B$4:$B$69&amp;'Raw data'!$C$4:$C$69,0))),"")</f>
        <v>4.6024999999999996E-2</v>
      </c>
      <c r="E3" s="38">
        <f t="array" ref="E3">IFERROR(IF($E$1="","",INDEX('Raw data'!$Q$4:$Q$267,MATCH('Body weight'!E$1&amp;$A$1&amp;$A3,'Raw data'!$K$4:$K$267&amp;'Raw data'!$L$2&amp;'Raw data'!$L$4:$L$267,0))),"")</f>
        <v>0.3561538461538461</v>
      </c>
      <c r="F3" s="38">
        <f t="array" ref="F3">IFERROR(IF($F$1="","",INDEX('Raw data'!$Q$4:$Q$267,MATCH('Body weight'!F$1&amp;$A$1&amp;$A3,'Raw data'!$K$4:$K$267&amp;'Raw data'!$L$2&amp;'Raw data'!$L$4:$L$267,0))),"")</f>
        <v>0.95256410256410273</v>
      </c>
      <c r="G3" s="38">
        <f t="array" ref="G3">IFERROR(IF($G$1="","",INDEX('Raw data'!$Q$4:$Q$267,MATCH('Body weight'!G$1&amp;$A$1&amp;$A3,'Raw data'!$K$4:$K$267&amp;'Raw data'!$L$2&amp;'Raw data'!$L$4:$L$267,0))),"")</f>
        <v>1.3960526315789472</v>
      </c>
      <c r="H3" s="351">
        <f t="array" ref="H3">IFERROR(IF($H$1="","",INDEX('Raw data'!$Q$4:$Q$267,MATCH('Body weight'!H$1&amp;$A$1&amp;$A3,'Raw data'!$K$4:$K$267&amp;'Raw data'!$L$2&amp;'Raw data'!$L$4:$L$267,0))),"")</f>
        <v>2.189473684210526</v>
      </c>
      <c r="I3" s="24"/>
    </row>
    <row r="4" spans="1:9" x14ac:dyDescent="0.25">
      <c r="A4" s="131">
        <f t="array" ref="A4">IFERROR(INDEX(Map!$V$2:$V$67,MATCH('Body weight'!$B4&amp;'Body weight'!$C4,Map!$W$2:$W$67&amp;Map!$X$2:$X$67,0)),"")</f>
        <v>20</v>
      </c>
      <c r="B4" s="24" t="str">
        <f>B2</f>
        <v>T1</v>
      </c>
      <c r="C4" s="216" t="s">
        <v>4</v>
      </c>
      <c r="D4" s="38">
        <f t="array" ref="D4">IFERROR(IF($D$1="","",INDEX('Raw data'!$F$4:$F$69,MATCH('Body weight'!$B4&amp;'Body weight'!$C4,'Raw data'!$B$4:$B$69&amp;'Raw data'!$C$4:$C$69,0))),"")</f>
        <v>4.5624999999999999E-2</v>
      </c>
      <c r="E4" s="38">
        <f t="array" ref="E4">IFERROR(IF($E$1="","",INDEX('Raw data'!$Q$4:$Q$267,MATCH('Body weight'!E$1&amp;$A$1&amp;$A4,'Raw data'!$K$4:$K$267&amp;'Raw data'!$L$2&amp;'Raw data'!$L$4:$L$267,0))),"")</f>
        <v>0.35349999999999998</v>
      </c>
      <c r="F4" s="38">
        <f t="array" ref="F4">IFERROR(IF($F$1="","",INDEX('Raw data'!$Q$4:$Q$267,MATCH('Body weight'!F$1&amp;$A$1&amp;$A4,'Raw data'!$K$4:$K$267&amp;'Raw data'!$L$2&amp;'Raw data'!$L$4:$L$267,0))),"")</f>
        <v>0.94250000000000012</v>
      </c>
      <c r="G4" s="38">
        <f t="array" ref="G4">IFERROR(IF($G$1="","",INDEX('Raw data'!$Q$4:$Q$267,MATCH('Body weight'!G$1&amp;$A$1&amp;$A4,'Raw data'!$K$4:$K$267&amp;'Raw data'!$L$2&amp;'Raw data'!$L$4:$L$267,0))),"")</f>
        <v>1.4628205128205127</v>
      </c>
      <c r="H4" s="351">
        <f t="array" ref="H4">IFERROR(IF($H$1="","",INDEX('Raw data'!$Q$4:$Q$267,MATCH('Body weight'!H$1&amp;$A$1&amp;$A4,'Raw data'!$K$4:$K$267&amp;'Raw data'!$L$2&amp;'Raw data'!$L$4:$L$267,0))),"")</f>
        <v>2.2855263157894736</v>
      </c>
      <c r="I4" s="24"/>
    </row>
    <row r="5" spans="1:9" x14ac:dyDescent="0.25">
      <c r="A5" s="131">
        <f t="array" ref="A5">IFERROR(INDEX(Map!$V$2:$V$67,MATCH('Body weight'!$B5&amp;'Body weight'!$C5,Map!$W$2:$W$67&amp;Map!$X$2:$X$67,0)),"")</f>
        <v>27</v>
      </c>
      <c r="B5" s="24" t="str">
        <f>B2</f>
        <v>T1</v>
      </c>
      <c r="C5" s="216" t="s">
        <v>5</v>
      </c>
      <c r="D5" s="38">
        <f t="array" ref="D5">IFERROR(IF($D$1="","",INDEX('Raw data'!$F$4:$F$69,MATCH('Body weight'!$B5&amp;'Body weight'!$C5,'Raw data'!$B$4:$B$69&amp;'Raw data'!$C$4:$C$69,0))),"")</f>
        <v>4.5850000000000002E-2</v>
      </c>
      <c r="E5" s="38">
        <f t="array" ref="E5">IFERROR(IF($E$1="","",INDEX('Raw data'!$Q$4:$Q$267,MATCH('Body weight'!E$1&amp;$A$1&amp;$A5,'Raw data'!$K$4:$K$267&amp;'Raw data'!$L$2&amp;'Raw data'!$L$4:$L$267,0))),"")</f>
        <v>0.35475000000000001</v>
      </c>
      <c r="F5" s="38">
        <f t="array" ref="F5">IFERROR(IF($F$1="","",INDEX('Raw data'!$Q$4:$Q$267,MATCH('Body weight'!F$1&amp;$A$1&amp;$A5,'Raw data'!$K$4:$K$267&amp;'Raw data'!$L$2&amp;'Raw data'!$L$4:$L$267,0))),"")</f>
        <v>0.98000000000000009</v>
      </c>
      <c r="G5" s="38">
        <f t="array" ref="G5">IFERROR(IF($G$1="","",INDEX('Raw data'!$Q$4:$Q$267,MATCH('Body weight'!G$1&amp;$A$1&amp;$A5,'Raw data'!$K$4:$K$267&amp;'Raw data'!$L$2&amp;'Raw data'!$L$4:$L$267,0))),"")</f>
        <v>1.4999999999999998</v>
      </c>
      <c r="H5" s="351">
        <f t="array" ref="H5">IFERROR(IF($H$1="","",INDEX('Raw data'!$Q$4:$Q$267,MATCH('Body weight'!H$1&amp;$A$1&amp;$A5,'Raw data'!$K$4:$K$267&amp;'Raw data'!$L$2&amp;'Raw data'!$L$4:$L$267,0))),"")</f>
        <v>2.3512820512820509</v>
      </c>
      <c r="I5" s="24"/>
    </row>
    <row r="6" spans="1:9" x14ac:dyDescent="0.25">
      <c r="A6" s="131">
        <f t="array" ref="A6">IFERROR(INDEX(Map!$V$2:$V$67,MATCH('Body weight'!$B6&amp;'Body weight'!$C6,Map!$W$2:$W$67&amp;Map!$X$2:$X$67,0)),"")</f>
        <v>31</v>
      </c>
      <c r="B6" s="24" t="str">
        <f>B2</f>
        <v>T1</v>
      </c>
      <c r="C6" s="216" t="s">
        <v>6</v>
      </c>
      <c r="D6" s="38">
        <f t="array" ref="D6">IFERROR(IF($D$1="","",INDEX('Raw data'!$F$4:$F$69,MATCH('Body weight'!$B6&amp;'Body weight'!$C6,'Raw data'!$B$4:$B$69&amp;'Raw data'!$C$4:$C$69,0))),"")</f>
        <v>4.5524999999999996E-2</v>
      </c>
      <c r="E6" s="38">
        <f t="array" ref="E6">IFERROR(IF($E$1="","",INDEX('Raw data'!$Q$4:$Q$267,MATCH('Body weight'!E$1&amp;$A$1&amp;$A6,'Raw data'!$K$4:$K$267&amp;'Raw data'!$L$2&amp;'Raw data'!$L$4:$L$267,0))),"")</f>
        <v>0.32794871794871794</v>
      </c>
      <c r="F6" s="38">
        <f t="array" ref="F6">IFERROR(IF($F$1="","",INDEX('Raw data'!$Q$4:$Q$267,MATCH('Body weight'!F$1&amp;$A$1&amp;$A6,'Raw data'!$K$4:$K$267&amp;'Raw data'!$L$2&amp;'Raw data'!$L$4:$L$267,0))),"")</f>
        <v>0.89487179487179502</v>
      </c>
      <c r="G6" s="38">
        <f t="array" ref="G6">IFERROR(IF($G$1="","",INDEX('Raw data'!$Q$4:$Q$267,MATCH('Body weight'!G$1&amp;$A$1&amp;$A6,'Raw data'!$K$4:$K$267&amp;'Raw data'!$L$2&amp;'Raw data'!$L$4:$L$267,0))),"")</f>
        <v>1.3368421052631578</v>
      </c>
      <c r="H6" s="351">
        <f t="array" ref="H6">IFERROR(IF($H$1="","",INDEX('Raw data'!$Q$4:$Q$267,MATCH('Body weight'!H$1&amp;$A$1&amp;$A6,'Raw data'!$K$4:$K$267&amp;'Raw data'!$L$2&amp;'Raw data'!$L$4:$L$267,0))),"")</f>
        <v>2.1236842105263158</v>
      </c>
      <c r="I6" s="24"/>
    </row>
    <row r="7" spans="1:9" x14ac:dyDescent="0.25">
      <c r="A7" s="131">
        <f t="array" ref="A7">IFERROR(INDEX(Map!$V$2:$V$67,MATCH('Body weight'!$B7&amp;'Body weight'!$C7,Map!$W$2:$W$67&amp;Map!$X$2:$X$67,0)),"")</f>
        <v>41</v>
      </c>
      <c r="B7" s="24" t="str">
        <f>B2</f>
        <v>T1</v>
      </c>
      <c r="C7" s="216" t="s">
        <v>7</v>
      </c>
      <c r="D7" s="38">
        <f t="array" ref="D7">IFERROR(IF($D$1="","",INDEX('Raw data'!$F$4:$F$69,MATCH('Body weight'!$B7&amp;'Body weight'!$C7,'Raw data'!$B$4:$B$69&amp;'Raw data'!$C$4:$C$69,0))),"")</f>
        <v>4.5499999999999999E-2</v>
      </c>
      <c r="E7" s="38">
        <f t="array" ref="E7">IFERROR(IF($E$1="","",INDEX('Raw data'!$Q$4:$Q$267,MATCH('Body weight'!E$1&amp;$A$1&amp;$A7,'Raw data'!$K$4:$K$267&amp;'Raw data'!$L$2&amp;'Raw data'!$L$4:$L$267,0))),"")</f>
        <v>0.36225000000000002</v>
      </c>
      <c r="F7" s="38">
        <f t="array" ref="F7">IFERROR(IF($F$1="","",INDEX('Raw data'!$Q$4:$Q$267,MATCH('Body weight'!F$1&amp;$A$1&amp;$A7,'Raw data'!$K$4:$K$267&amp;'Raw data'!$L$2&amp;'Raw data'!$L$4:$L$267,0))),"")</f>
        <v>0.98625000000000007</v>
      </c>
      <c r="G7" s="38">
        <f t="array" ref="G7">IFERROR(IF($G$1="","",INDEX('Raw data'!$Q$4:$Q$267,MATCH('Body weight'!G$1&amp;$A$1&amp;$A7,'Raw data'!$K$4:$K$267&amp;'Raw data'!$L$2&amp;'Raw data'!$L$4:$L$267,0))),"")</f>
        <v>1.5076923076923077</v>
      </c>
      <c r="H7" s="351">
        <f t="array" ref="H7">IFERROR(IF($H$1="","",INDEX('Raw data'!$Q$4:$Q$267,MATCH('Body weight'!H$1&amp;$A$1&amp;$A7,'Raw data'!$K$4:$K$267&amp;'Raw data'!$L$2&amp;'Raw data'!$L$4:$L$267,0))),"")</f>
        <v>2.2974358974358973</v>
      </c>
      <c r="I7" s="24"/>
    </row>
    <row r="8" spans="1:9" x14ac:dyDescent="0.25">
      <c r="A8" s="131">
        <f t="array" ref="A8">IFERROR(INDEX(Map!$V$2:$V$67,MATCH('Body weight'!$B8&amp;'Body weight'!$C8,Map!$W$2:$W$67&amp;Map!$X$2:$X$67,0)),"")</f>
        <v>50</v>
      </c>
      <c r="B8" s="24" t="str">
        <f>B2</f>
        <v>T1</v>
      </c>
      <c r="C8" s="216" t="s">
        <v>8</v>
      </c>
      <c r="D8" s="38">
        <f t="array" ref="D8">IFERROR(IF($D$1="","",INDEX('Raw data'!$F$4:$F$69,MATCH('Body weight'!$B8&amp;'Body weight'!$C8,'Raw data'!$B$4:$B$69&amp;'Raw data'!$C$4:$C$69,0))),"")</f>
        <v>4.5975000000000002E-2</v>
      </c>
      <c r="E8" s="38">
        <f t="array" ref="E8">IFERROR(IF($E$1="","",INDEX('Raw data'!$Q$4:$Q$267,MATCH('Body weight'!E$1&amp;$A$1&amp;$A8,'Raw data'!$K$4:$K$267&amp;'Raw data'!$L$2&amp;'Raw data'!$L$4:$L$267,0))),"")</f>
        <v>0.3707894736842105</v>
      </c>
      <c r="F8" s="38">
        <f t="array" ref="F8">IFERROR(IF($F$1="","",INDEX('Raw data'!$Q$4:$Q$267,MATCH('Body weight'!F$1&amp;$A$1&amp;$A8,'Raw data'!$K$4:$K$267&amp;'Raw data'!$L$2&amp;'Raw data'!$L$4:$L$267,0))),"")</f>
        <v>0.98684210526315785</v>
      </c>
      <c r="G8" s="38">
        <f t="array" ref="G8">IFERROR(IF($G$1="","",INDEX('Raw data'!$Q$4:$Q$267,MATCH('Body weight'!G$1&amp;$A$1&amp;$A8,'Raw data'!$K$4:$K$267&amp;'Raw data'!$L$2&amp;'Raw data'!$L$4:$L$267,0))),"")</f>
        <v>1.5270270270270268</v>
      </c>
      <c r="H8" s="351">
        <f t="array" ref="H8">IFERROR(IF($H$1="","",INDEX('Raw data'!$Q$4:$Q$267,MATCH('Body weight'!H$1&amp;$A$1&amp;$A8,'Raw data'!$K$4:$K$267&amp;'Raw data'!$L$2&amp;'Raw data'!$L$4:$L$267,0))),"")</f>
        <v>2.3763888888888887</v>
      </c>
      <c r="I8" s="24"/>
    </row>
    <row r="9" spans="1:9" x14ac:dyDescent="0.25">
      <c r="A9" s="131">
        <f t="array" ref="A9">IFERROR(INDEX(Map!$V$2:$V$67,MATCH('Body weight'!$B9&amp;'Body weight'!$C9,Map!$W$2:$W$67&amp;Map!$X$2:$X$67,0)),"")</f>
        <v>58</v>
      </c>
      <c r="B9" s="24" t="str">
        <f>B2</f>
        <v>T1</v>
      </c>
      <c r="C9" s="216" t="s">
        <v>9</v>
      </c>
      <c r="D9" s="38">
        <f t="array" ref="D9">IFERROR(IF($D$1="","",INDEX('Raw data'!$F$4:$F$69,MATCH('Body weight'!$B9&amp;'Body weight'!$C9,'Raw data'!$B$4:$B$69&amp;'Raw data'!$C$4:$C$69,0))),"")</f>
        <v>4.5600000000000002E-2</v>
      </c>
      <c r="E9" s="38">
        <f t="array" ref="E9">IFERROR(IF($E$1="","",INDEX('Raw data'!$Q$4:$Q$267,MATCH('Body weight'!E$1&amp;$A$1&amp;$A9,'Raw data'!$K$4:$K$267&amp;'Raw data'!$L$2&amp;'Raw data'!$L$4:$L$267,0))),"")</f>
        <v>0.36641025641025643</v>
      </c>
      <c r="F9" s="38">
        <f t="array" ref="F9">IFERROR(IF($F$1="","",INDEX('Raw data'!$Q$4:$Q$267,MATCH('Body weight'!F$1&amp;$A$1&amp;$A9,'Raw data'!$K$4:$K$267&amp;'Raw data'!$L$2&amp;'Raw data'!$L$4:$L$267,0))),"")</f>
        <v>0.98846153846153839</v>
      </c>
      <c r="G9" s="38">
        <f t="array" ref="G9">IFERROR(IF($G$1="","",INDEX('Raw data'!$Q$4:$Q$267,MATCH('Body weight'!G$1&amp;$A$1&amp;$A9,'Raw data'!$K$4:$K$267&amp;'Raw data'!$L$2&amp;'Raw data'!$L$4:$L$267,0))),"")</f>
        <v>1.4776315789473684</v>
      </c>
      <c r="H9" s="351">
        <f t="array" ref="H9">IFERROR(IF($H$1="","",INDEX('Raw data'!$Q$4:$Q$267,MATCH('Body weight'!H$1&amp;$A$1&amp;$A9,'Raw data'!$K$4:$K$267&amp;'Raw data'!$L$2&amp;'Raw data'!$L$4:$L$267,0))),"")</f>
        <v>2.293421052631579</v>
      </c>
      <c r="I9" s="24"/>
    </row>
    <row r="10" spans="1:9" x14ac:dyDescent="0.25">
      <c r="A10" s="432">
        <f t="array" ref="A10">IFERROR(INDEX(Map!$V$2:$V$67,MATCH('Body weight'!$B10&amp;'Body weight'!$C10,Map!$W$2:$W$67&amp;Map!$X$2:$X$67,0)),"")</f>
        <v>63</v>
      </c>
      <c r="B10" s="418" t="str">
        <f>B3</f>
        <v>T1</v>
      </c>
      <c r="C10" s="436" t="s">
        <v>22</v>
      </c>
      <c r="D10" s="419">
        <f t="array" ref="D10">IFERROR(IF($D$1="","",INDEX('Raw data'!$F$4:$F$69,MATCH('Body weight'!$B10&amp;'Body weight'!$C10,'Raw data'!$B$4:$B$69&amp;'Raw data'!$C$4:$C$69,0))),"")</f>
        <v>4.5900000000000003E-2</v>
      </c>
      <c r="E10" s="419">
        <f t="array" ref="E10">IFERROR(IF($E$1="","",INDEX('Raw data'!$Q$4:$Q$267,MATCH('Body weight'!E$1&amp;$A$1&amp;$A10,'Raw data'!$K$4:$K$267&amp;'Raw data'!$L$2&amp;'Raw data'!$L$4:$L$267,0))),"")</f>
        <v>0.36512820512820515</v>
      </c>
      <c r="F10" s="419">
        <f t="array" ref="F10">IFERROR(IF($F$1="","",INDEX('Raw data'!$Q$4:$Q$267,MATCH('Body weight'!F$1&amp;$A$1&amp;$A10,'Raw data'!$K$4:$K$267&amp;'Raw data'!$L$2&amp;'Raw data'!$L$4:$L$267,0))),"")</f>
        <v>1.0166666666666668</v>
      </c>
      <c r="G10" s="419">
        <f t="array" ref="G10">IFERROR(IF($G$1="","",INDEX('Raw data'!$Q$4:$Q$267,MATCH('Body weight'!G$1&amp;$A$1&amp;$A10,'Raw data'!$K$4:$K$267&amp;'Raw data'!$L$2&amp;'Raw data'!$L$4:$L$267,0))),"")</f>
        <v>1.5368421052631576</v>
      </c>
      <c r="H10" s="442">
        <f t="array" ref="H10">IFERROR(IF($H$1="","",INDEX('Raw data'!$Q$4:$Q$267,MATCH('Body weight'!H$1&amp;$A$1&amp;$A10,'Raw data'!$K$4:$K$267&amp;'Raw data'!$L$2&amp;'Raw data'!$L$4:$L$267,0))),"")</f>
        <v>2.3486486486486489</v>
      </c>
      <c r="I10" s="24"/>
    </row>
    <row r="11" spans="1:9" s="417" customFormat="1" x14ac:dyDescent="0.25">
      <c r="A11" s="432">
        <f t="array" ref="A11">IFERROR(INDEX(Map!$V$2:$V$67,MATCH('Body weight'!$B11&amp;'Body weight'!$C11,Map!$W$2:$W$67&amp;Map!$X$2:$X$67,0)),"")</f>
        <v>46</v>
      </c>
      <c r="B11" s="418" t="str">
        <f>B4</f>
        <v>T1</v>
      </c>
      <c r="C11" s="436" t="s">
        <v>101</v>
      </c>
      <c r="D11" s="419">
        <f t="array" ref="D11">IFERROR(IF($D$1="","",INDEX('Raw data'!$F$4:$F$69,MATCH('Body weight'!$B11&amp;'Body weight'!$C11,'Raw data'!$B$4:$B$69&amp;'Raw data'!$C$4:$C$69,0))),"")</f>
        <v>4.5499999999999999E-2</v>
      </c>
      <c r="E11" s="419">
        <f t="array" ref="E11">IFERROR(IF($E$1="","",INDEX('Raw data'!$Q$4:$Q$267,MATCH('Body weight'!E$1&amp;$A$1&amp;$A11,'Raw data'!$K$4:$K$267&amp;'Raw data'!$L$2&amp;'Raw data'!$L$4:$L$267,0))),"")</f>
        <v>0.36769230769230765</v>
      </c>
      <c r="F11" s="419">
        <f t="array" ref="F11">IFERROR(IF($F$1="","",INDEX('Raw data'!$Q$4:$Q$267,MATCH('Body weight'!F$1&amp;$A$1&amp;$A11,'Raw data'!$K$4:$K$267&amp;'Raw data'!$L$2&amp;'Raw data'!$L$4:$L$267,0))),"")</f>
        <v>1.0192307692307692</v>
      </c>
      <c r="G11" s="419">
        <f t="array" ref="G11">IFERROR(IF($G$1="","",INDEX('Raw data'!$Q$4:$Q$267,MATCH('Body weight'!G$1&amp;$A$1&amp;$A11,'Raw data'!$K$4:$K$267&amp;'Raw data'!$L$2&amp;'Raw data'!$L$4:$L$267,0))),"")</f>
        <v>1.5407894736842105</v>
      </c>
      <c r="H11" s="442">
        <f t="array" ref="H11">IFERROR(IF($H$1="","",INDEX('Raw data'!$Q$4:$Q$267,MATCH('Body weight'!H$1&amp;$A$1&amp;$A11,'Raw data'!$K$4:$K$267&amp;'Raw data'!$L$2&amp;'Raw data'!$L$4:$L$267,0))),"")</f>
        <v>2.4166666666666665</v>
      </c>
      <c r="I11" s="418"/>
    </row>
    <row r="12" spans="1:9" s="417" customFormat="1" x14ac:dyDescent="0.25">
      <c r="A12" s="446">
        <f t="array" ref="A12">IFERROR(INDEX(Map!$V$2:$V$67,MATCH('Body weight'!$B12&amp;'Body weight'!$C12,Map!$W$2:$W$67&amp;Map!$X$2:$X$67,0)),"")</f>
        <v>66</v>
      </c>
      <c r="B12" s="418" t="str">
        <f>B4</f>
        <v>T1</v>
      </c>
      <c r="C12" s="436" t="s">
        <v>102</v>
      </c>
      <c r="D12" s="434">
        <f t="array" ref="D12">IFERROR(IF($D$1="","",INDEX('Raw data'!$F$4:$F$69,MATCH('Body weight'!$B12&amp;'Body weight'!$C12,'Raw data'!$B$4:$B$69&amp;'Raw data'!$C$4:$C$69,0))),"")</f>
        <v>4.5324999999999997E-2</v>
      </c>
      <c r="E12" s="435">
        <f t="array" ref="E12">IFERROR(IF($E$1="","",INDEX('Raw data'!$Q$4:$Q$267,MATCH('Body weight'!E$1&amp;$A$1&amp;$A12,'Raw data'!$K$4:$K$267&amp;'Raw data'!$L$2&amp;'Raw data'!$L$4:$L$267,0))),"")</f>
        <v>0.37923076923076926</v>
      </c>
      <c r="F12" s="435">
        <f t="array" ref="F12">IFERROR(IF($F$1="","",INDEX('Raw data'!$Q$4:$Q$267,MATCH('Body weight'!F$1&amp;$A$1&amp;$A12,'Raw data'!$K$4:$K$267&amp;'Raw data'!$L$2&amp;'Raw data'!$L$4:$L$267,0))),"")</f>
        <v>1.0315789473684212</v>
      </c>
      <c r="G12" s="435">
        <f t="array" ref="G12">IFERROR(IF($G$1="","",INDEX('Raw data'!$Q$4:$Q$267,MATCH('Body weight'!G$1&amp;$A$1&amp;$A12,'Raw data'!$K$4:$K$267&amp;'Raw data'!$L$2&amp;'Raw data'!$L$4:$L$267,0))),"")</f>
        <v>1.4757142857142855</v>
      </c>
      <c r="H12" s="443">
        <f t="array" ref="H12">IFERROR(IF($H$1="","",INDEX('Raw data'!$Q$4:$Q$267,MATCH('Body weight'!H$1&amp;$A$1&amp;$A12,'Raw data'!$K$4:$K$267&amp;'Raw data'!$L$2&amp;'Raw data'!$L$4:$L$267,0))),"")</f>
        <v>2.3514285714285714</v>
      </c>
      <c r="I12" s="418"/>
    </row>
    <row r="13" spans="1:9" s="417" customFormat="1" x14ac:dyDescent="0.25">
      <c r="A13" s="432"/>
      <c r="B13" s="462" t="s">
        <v>82</v>
      </c>
      <c r="C13" s="463"/>
      <c r="D13" s="437" t="str">
        <f>IF($D$1="","",(ROUND(AVERAGE(D2:D12),3)&amp;" ± "&amp;(ROUND(STDEV(D2:D12),3))))</f>
        <v>0,046 ± 0</v>
      </c>
      <c r="E13" s="437" t="str">
        <f>IF($E$1="","",(ROUND(AVERAGE(E2:E12),3)&amp;" ± "&amp;(ROUND(STDEV(E2:E12),3))))</f>
        <v>0,359 ± 0,014</v>
      </c>
      <c r="F13" s="437" t="str">
        <f>IF($F$1="","",(ROUND(AVERAGE(F2:F12),3)&amp;" ± "&amp;(ROUND(STDEV(F2:F12),3))))</f>
        <v>0,979 ± 0,039</v>
      </c>
      <c r="G13" s="437" t="str">
        <f>IF($G$1="","",(ROUND(AVERAGE(G2:G12),3)&amp;" ± "&amp;(ROUND(STDEV(G2:G12),3))))</f>
        <v>1,471 ± 0,064</v>
      </c>
      <c r="H13" s="444" t="str">
        <f>IF($H$1="","",(ROUND(AVERAGE(H2:H12),3)&amp;" ± "&amp;(ROUND(STDEV(H2:H12),3))))</f>
        <v>2,298 ± 0,086</v>
      </c>
      <c r="I13" s="418"/>
    </row>
    <row r="14" spans="1:9" s="417" customFormat="1" ht="15.75" thickBot="1" x14ac:dyDescent="0.3">
      <c r="A14" s="433"/>
      <c r="B14" s="460" t="s">
        <v>83</v>
      </c>
      <c r="C14" s="461"/>
      <c r="D14" s="438">
        <f>IF($D$1="","",STDEV(D2:D12)/(AVERAGE(D2:D12)))</f>
        <v>5.0523889771160475E-3</v>
      </c>
      <c r="E14" s="438">
        <f>IF($E$1="","",STDEV(E2:E12)/(AVERAGE(E2:E12)))</f>
        <v>3.7650443023678565E-2</v>
      </c>
      <c r="F14" s="438">
        <f>IF($F$1="","",STDEV(F2:F12)/(AVERAGE(F2:F12)))</f>
        <v>3.9840143316289191E-2</v>
      </c>
      <c r="G14" s="438">
        <f>IF($G$1="","",STDEV(G2:G12)/(AVERAGE(G2:G12)))</f>
        <v>4.3332746326424865E-2</v>
      </c>
      <c r="H14" s="445">
        <f>IF($H$1="","",STDEV(H2:H12)/(AVERAGE(H2:H12)))</f>
        <v>3.7316664709017941E-2</v>
      </c>
      <c r="I14" s="418"/>
    </row>
    <row r="15" spans="1:9" x14ac:dyDescent="0.25">
      <c r="A15" s="130">
        <f t="array" ref="A15">IFERROR(INDEX(Map!$V$2:$V$67,MATCH('Body weight'!$B15&amp;'Body weight'!$C15,Map!$W$2:$W$67&amp;Map!$X$2:$X$67,0)),"")</f>
        <v>7</v>
      </c>
      <c r="B15" s="41" t="s">
        <v>13</v>
      </c>
      <c r="C15" s="219" t="s">
        <v>2</v>
      </c>
      <c r="D15" s="220">
        <f t="array" ref="D15">IFERROR(IF($D$1="","",INDEX('Raw data'!$F$4:$F$69,MATCH('Body weight'!$B15&amp;'Body weight'!$C15,'Raw data'!$B$4:$B$69&amp;'Raw data'!$C$4:$C$69,0))),"")</f>
        <v>4.5850000000000002E-2</v>
      </c>
      <c r="E15" s="440">
        <f t="array" ref="E15">IFERROR(IF($E$1="","",INDEX('Raw data'!$Q$4:$Q$267,MATCH('Body weight'!E$1&amp;$A$1&amp;$A15,'Raw data'!$K$4:$K$267&amp;'Raw data'!$L$2&amp;'Raw data'!$L$4:$L$267,0))),"")</f>
        <v>0.36000000000000004</v>
      </c>
      <c r="F15" s="440">
        <f t="array" ref="F15">IFERROR(IF($F$1="","",INDEX('Raw data'!$Q$4:$Q$267,MATCH('Body weight'!F$1&amp;$A$1&amp;$A15,'Raw data'!$K$4:$K$267&amp;'Raw data'!$L$2&amp;'Raw data'!$L$4:$L$267,0))),"")</f>
        <v>0.99358974358974361</v>
      </c>
      <c r="G15" s="440">
        <f t="array" ref="G15">IFERROR(IF($G$1="","",INDEX('Raw data'!$Q$4:$Q$267,MATCH('Body weight'!G$1&amp;$A$1&amp;$A15,'Raw data'!$K$4:$K$267&amp;'Raw data'!$L$2&amp;'Raw data'!$L$4:$L$267,0))),"")</f>
        <v>1.5276315789473685</v>
      </c>
      <c r="H15" s="441">
        <f t="array" ref="H15">IFERROR(IF($H$1="","",INDEX('Raw data'!$Q$4:$Q$267,MATCH('Body weight'!H$1&amp;$A$1&amp;$A15,'Raw data'!$K$4:$K$267&amp;'Raw data'!$L$2&amp;'Raw data'!$L$4:$L$267,0))),"")</f>
        <v>2.3131578947368423</v>
      </c>
      <c r="I15" s="24"/>
    </row>
    <row r="16" spans="1:9" x14ac:dyDescent="0.25">
      <c r="A16" s="131">
        <f t="array" ref="A16">IFERROR(INDEX(Map!$V$2:$V$67,MATCH('Body weight'!$B16&amp;'Body weight'!$C16,Map!$W$2:$W$67&amp;Map!$X$2:$X$67,0)),"")</f>
        <v>11</v>
      </c>
      <c r="B16" s="24" t="str">
        <f>B15</f>
        <v>T2</v>
      </c>
      <c r="C16" s="216" t="s">
        <v>3</v>
      </c>
      <c r="D16" s="38">
        <f t="array" ref="D16">IFERROR(IF($D$1="","",INDEX('Raw data'!$F$4:$F$69,MATCH('Body weight'!$B16&amp;'Body weight'!$C16,'Raw data'!$B$4:$B$69&amp;'Raw data'!$C$4:$C$69,0))),"")</f>
        <v>4.5749999999999999E-2</v>
      </c>
      <c r="E16" s="419">
        <f t="array" ref="E16">IFERROR(IF($E$1="","",INDEX('Raw data'!$Q$4:$Q$267,MATCH('Body weight'!E$1&amp;$A$1&amp;$A16,'Raw data'!$K$4:$K$267&amp;'Raw data'!$L$2&amp;'Raw data'!$L$4:$L$267,0))),"")</f>
        <v>0.3215384615384615</v>
      </c>
      <c r="F16" s="419">
        <f t="array" ref="F16">IFERROR(IF($F$1="","",INDEX('Raw data'!$Q$4:$Q$267,MATCH('Body weight'!F$1&amp;$A$1&amp;$A16,'Raw data'!$K$4:$K$267&amp;'Raw data'!$L$2&amp;'Raw data'!$L$4:$L$267,0))),"")</f>
        <v>0.86666666666666659</v>
      </c>
      <c r="G16" s="419">
        <f t="array" ref="G16">IFERROR(IF($G$1="","",INDEX('Raw data'!$Q$4:$Q$267,MATCH('Body weight'!G$1&amp;$A$1&amp;$A16,'Raw data'!$K$4:$K$267&amp;'Raw data'!$L$2&amp;'Raw data'!$L$4:$L$267,0))),"")</f>
        <v>1.3210526315789473</v>
      </c>
      <c r="H16" s="442">
        <f t="array" ref="H16">IFERROR(IF($H$1="","",INDEX('Raw data'!$Q$4:$Q$267,MATCH('Body weight'!H$1&amp;$A$1&amp;$A16,'Raw data'!$K$4:$K$267&amp;'Raw data'!$L$2&amp;'Raw data'!$L$4:$L$267,0))),"")</f>
        <v>2.1394736842105262</v>
      </c>
      <c r="I16" s="24"/>
    </row>
    <row r="17" spans="1:9" x14ac:dyDescent="0.25">
      <c r="A17" s="131">
        <f t="array" ref="A17">IFERROR(INDEX(Map!$V$2:$V$67,MATCH('Body weight'!$B17&amp;'Body weight'!$C17,Map!$W$2:$W$67&amp;Map!$X$2:$X$67,0)),"")</f>
        <v>16</v>
      </c>
      <c r="B17" s="24" t="str">
        <f>B15</f>
        <v>T2</v>
      </c>
      <c r="C17" s="216" t="s">
        <v>4</v>
      </c>
      <c r="D17" s="38">
        <f t="array" ref="D17">IFERROR(IF($D$1="","",INDEX('Raw data'!$F$4:$F$69,MATCH('Body weight'!$B17&amp;'Body weight'!$C17,'Raw data'!$B$4:$B$69&amp;'Raw data'!$C$4:$C$69,0))),"")</f>
        <v>4.58E-2</v>
      </c>
      <c r="E17" s="419">
        <f t="array" ref="E17">IFERROR(IF($E$1="","",INDEX('Raw data'!$Q$4:$Q$267,MATCH('Body weight'!E$1&amp;$A$1&amp;$A17,'Raw data'!$K$4:$K$267&amp;'Raw data'!$L$2&amp;'Raw data'!$L$4:$L$267,0))),"")</f>
        <v>0.38051282051282048</v>
      </c>
      <c r="F17" s="419">
        <f t="array" ref="F17">IFERROR(IF($F$1="","",INDEX('Raw data'!$Q$4:$Q$267,MATCH('Body weight'!F$1&amp;$A$1&amp;$A17,'Raw data'!$K$4:$K$267&amp;'Raw data'!$L$2&amp;'Raw data'!$L$4:$L$267,0))),"")</f>
        <v>1.0012820512820513</v>
      </c>
      <c r="G17" s="419">
        <f t="array" ref="G17">IFERROR(IF($G$1="","",INDEX('Raw data'!$Q$4:$Q$267,MATCH('Body weight'!G$1&amp;$A$1&amp;$A17,'Raw data'!$K$4:$K$267&amp;'Raw data'!$L$2&amp;'Raw data'!$L$4:$L$267,0))),"")</f>
        <v>1.5210526315789472</v>
      </c>
      <c r="H17" s="442">
        <f t="array" ref="H17">IFERROR(IF($H$1="","",INDEX('Raw data'!$Q$4:$Q$267,MATCH('Body weight'!H$1&amp;$A$1&amp;$A17,'Raw data'!$K$4:$K$267&amp;'Raw data'!$L$2&amp;'Raw data'!$L$4:$L$267,0))),"")</f>
        <v>2.4289473684210527</v>
      </c>
      <c r="I17" s="24"/>
    </row>
    <row r="18" spans="1:9" x14ac:dyDescent="0.25">
      <c r="A18" s="131">
        <f t="array" ref="A18">IFERROR(INDEX(Map!$V$2:$V$67,MATCH('Body weight'!$B18&amp;'Body weight'!$C18,Map!$W$2:$W$67&amp;Map!$X$2:$X$67,0)),"")</f>
        <v>25</v>
      </c>
      <c r="B18" s="24" t="str">
        <f>B15</f>
        <v>T2</v>
      </c>
      <c r="C18" s="216" t="s">
        <v>5</v>
      </c>
      <c r="D18" s="38">
        <f t="array" ref="D18">IFERROR(IF($D$1="","",INDEX('Raw data'!$F$4:$F$69,MATCH('Body weight'!$B18&amp;'Body weight'!$C18,'Raw data'!$B$4:$B$69&amp;'Raw data'!$C$4:$C$69,0))),"")</f>
        <v>4.5624999999999999E-2</v>
      </c>
      <c r="E18" s="419">
        <f t="array" ref="E18">IFERROR(IF($E$1="","",INDEX('Raw data'!$Q$4:$Q$267,MATCH('Body weight'!E$1&amp;$A$1&amp;$A18,'Raw data'!$K$4:$K$267&amp;'Raw data'!$L$2&amp;'Raw data'!$L$4:$L$267,0))),"")</f>
        <v>0.35224999999999995</v>
      </c>
      <c r="F18" s="419">
        <f t="array" ref="F18">IFERROR(IF($F$1="","",INDEX('Raw data'!$Q$4:$Q$267,MATCH('Body weight'!F$1&amp;$A$1&amp;$A18,'Raw data'!$K$4:$K$267&amp;'Raw data'!$L$2&amp;'Raw data'!$L$4:$L$267,0))),"")</f>
        <v>0.95625000000000004</v>
      </c>
      <c r="G18" s="419">
        <f t="array" ref="G18">IFERROR(IF($G$1="","",INDEX('Raw data'!$Q$4:$Q$267,MATCH('Body weight'!G$1&amp;$A$1&amp;$A18,'Raw data'!$K$4:$K$267&amp;'Raw data'!$L$2&amp;'Raw data'!$L$4:$L$267,0))),"")</f>
        <v>1.4602564102564102</v>
      </c>
      <c r="H18" s="442">
        <f t="array" ref="H18">IFERROR(IF($H$1="","",INDEX('Raw data'!$Q$4:$Q$267,MATCH('Body weight'!H$1&amp;$A$1&amp;$A18,'Raw data'!$K$4:$K$267&amp;'Raw data'!$L$2&amp;'Raw data'!$L$4:$L$267,0))),"")</f>
        <v>2.3153846153846152</v>
      </c>
      <c r="I18" s="24"/>
    </row>
    <row r="19" spans="1:9" x14ac:dyDescent="0.25">
      <c r="A19" s="131">
        <f t="array" ref="A19">IFERROR(INDEX(Map!$V$2:$V$67,MATCH('Body weight'!$B19&amp;'Body weight'!$C19,Map!$W$2:$W$67&amp;Map!$X$2:$X$67,0)),"")</f>
        <v>34</v>
      </c>
      <c r="B19" s="24" t="str">
        <f>B15</f>
        <v>T2</v>
      </c>
      <c r="C19" s="216" t="s">
        <v>6</v>
      </c>
      <c r="D19" s="38">
        <f t="array" ref="D19">IFERROR(IF($D$1="","",INDEX('Raw data'!$F$4:$F$69,MATCH('Body weight'!$B19&amp;'Body weight'!$C19,'Raw data'!$B$4:$B$69&amp;'Raw data'!$C$4:$C$69,0))),"")</f>
        <v>4.5374999999999999E-2</v>
      </c>
      <c r="E19" s="419">
        <f t="array" ref="E19">IFERROR(IF($E$1="","",INDEX('Raw data'!$Q$4:$Q$267,MATCH('Body weight'!E$1&amp;$A$1&amp;$A19,'Raw data'!$K$4:$K$267&amp;'Raw data'!$L$2&amp;'Raw data'!$L$4:$L$267,0))),"")</f>
        <v>0.34975000000000001</v>
      </c>
      <c r="F19" s="419">
        <f t="array" ref="F19">IFERROR(IF($F$1="","",INDEX('Raw data'!$Q$4:$Q$267,MATCH('Body weight'!F$1&amp;$A$1&amp;$A19,'Raw data'!$K$4:$K$267&amp;'Raw data'!$L$2&amp;'Raw data'!$L$4:$L$267,0))),"")</f>
        <v>0.94499999999999995</v>
      </c>
      <c r="G19" s="419">
        <f t="array" ref="G19">IFERROR(IF($G$1="","",INDEX('Raw data'!$Q$4:$Q$267,MATCH('Body weight'!G$1&amp;$A$1&amp;$A19,'Raw data'!$K$4:$K$267&amp;'Raw data'!$L$2&amp;'Raw data'!$L$4:$L$267,0))),"")</f>
        <v>1.4461538461538459</v>
      </c>
      <c r="H19" s="442">
        <f t="array" ref="H19">IFERROR(IF($H$1="","",INDEX('Raw data'!$Q$4:$Q$267,MATCH('Body weight'!H$1&amp;$A$1&amp;$A19,'Raw data'!$K$4:$K$267&amp;'Raw data'!$L$2&amp;'Raw data'!$L$4:$L$267,0))),"")</f>
        <v>2.2972972972972974</v>
      </c>
      <c r="I19" s="24"/>
    </row>
    <row r="20" spans="1:9" x14ac:dyDescent="0.25">
      <c r="A20" s="131">
        <f t="array" ref="A20">IFERROR(INDEX(Map!$V$2:$V$67,MATCH('Body weight'!$B20&amp;'Body weight'!$C20,Map!$W$2:$W$67&amp;Map!$X$2:$X$67,0)),"")</f>
        <v>37</v>
      </c>
      <c r="B20" s="24" t="str">
        <f>B15</f>
        <v>T2</v>
      </c>
      <c r="C20" s="216" t="s">
        <v>7</v>
      </c>
      <c r="D20" s="38">
        <f t="array" ref="D20">IFERROR(IF($D$1="","",INDEX('Raw data'!$F$4:$F$69,MATCH('Body weight'!$B20&amp;'Body weight'!$C20,'Raw data'!$B$4:$B$69&amp;'Raw data'!$C$4:$C$69,0))),"")</f>
        <v>4.5524999999999996E-2</v>
      </c>
      <c r="E20" s="419">
        <f t="array" ref="E20">IFERROR(IF($E$1="","",INDEX('Raw data'!$Q$4:$Q$267,MATCH('Body weight'!E$1&amp;$A$1&amp;$A20,'Raw data'!$K$4:$K$267&amp;'Raw data'!$L$2&amp;'Raw data'!$L$4:$L$267,0))),"")</f>
        <v>0.34975000000000001</v>
      </c>
      <c r="F20" s="419">
        <f t="array" ref="F20">IFERROR(IF($F$1="","",INDEX('Raw data'!$Q$4:$Q$267,MATCH('Body weight'!F$1&amp;$A$1&amp;$A20,'Raw data'!$K$4:$K$267&amp;'Raw data'!$L$2&amp;'Raw data'!$L$4:$L$267,0))),"")</f>
        <v>0.87820512820512819</v>
      </c>
      <c r="G20" s="419">
        <f t="array" ref="G20">IFERROR(IF($G$1="","",INDEX('Raw data'!$Q$4:$Q$267,MATCH('Body weight'!G$1&amp;$A$1&amp;$A20,'Raw data'!$K$4:$K$267&amp;'Raw data'!$L$2&amp;'Raw data'!$L$4:$L$267,0))),"")</f>
        <v>1.485135135135135</v>
      </c>
      <c r="H20" s="442">
        <f t="array" ref="H20">IFERROR(IF($H$1="","",INDEX('Raw data'!$Q$4:$Q$267,MATCH('Body weight'!H$1&amp;$A$1&amp;$A20,'Raw data'!$K$4:$K$267&amp;'Raw data'!$L$2&amp;'Raw data'!$L$4:$L$267,0))),"")</f>
        <v>2.2624999999999997</v>
      </c>
      <c r="I20" s="24"/>
    </row>
    <row r="21" spans="1:9" x14ac:dyDescent="0.25">
      <c r="A21" s="131">
        <f t="array" ref="A21">IFERROR(INDEX(Map!$V$2:$V$67,MATCH('Body weight'!$B21&amp;'Body weight'!$C21,Map!$W$2:$W$67&amp;Map!$X$2:$X$67,0)),"")</f>
        <v>52</v>
      </c>
      <c r="B21" s="24" t="str">
        <f>B15</f>
        <v>T2</v>
      </c>
      <c r="C21" s="216" t="s">
        <v>8</v>
      </c>
      <c r="D21" s="38">
        <f t="array" ref="D21">IFERROR(IF($D$1="","",INDEX('Raw data'!$F$4:$F$69,MATCH('Body weight'!$B21&amp;'Body weight'!$C21,'Raw data'!$B$4:$B$69&amp;'Raw data'!$C$4:$C$69,0))),"")</f>
        <v>4.5524999999999996E-2</v>
      </c>
      <c r="E21" s="419">
        <f t="array" ref="E21">IFERROR(IF($E$1="","",INDEX('Raw data'!$Q$4:$Q$267,MATCH('Body weight'!E$1&amp;$A$1&amp;$A21,'Raw data'!$K$4:$K$267&amp;'Raw data'!$L$2&amp;'Raw data'!$L$4:$L$267,0))),"")</f>
        <v>0.38179487179487176</v>
      </c>
      <c r="F21" s="419">
        <f t="array" ref="F21">IFERROR(IF($F$1="","",INDEX('Raw data'!$Q$4:$Q$267,MATCH('Body weight'!F$1&amp;$A$1&amp;$A21,'Raw data'!$K$4:$K$267&amp;'Raw data'!$L$2&amp;'Raw data'!$L$4:$L$267,0))),"")</f>
        <v>0.98076923076923073</v>
      </c>
      <c r="G21" s="419">
        <f t="array" ref="G21">IFERROR(IF($G$1="","",INDEX('Raw data'!$Q$4:$Q$267,MATCH('Body weight'!G$1&amp;$A$1&amp;$A21,'Raw data'!$K$4:$K$267&amp;'Raw data'!$L$2&amp;'Raw data'!$L$4:$L$267,0))),"")</f>
        <v>1.5513157894736842</v>
      </c>
      <c r="H21" s="442">
        <f t="array" ref="H21">IFERROR(IF($H$1="","",INDEX('Raw data'!$Q$4:$Q$267,MATCH('Body weight'!H$1&amp;$A$1&amp;$A21,'Raw data'!$K$4:$K$267&amp;'Raw data'!$L$2&amp;'Raw data'!$L$4:$L$267,0))),"")</f>
        <v>2.3736842105263154</v>
      </c>
      <c r="I21" s="24"/>
    </row>
    <row r="22" spans="1:9" x14ac:dyDescent="0.25">
      <c r="A22" s="131">
        <f t="array" ref="A22">IFERROR(INDEX(Map!$V$2:$V$67,MATCH('Body weight'!$B22&amp;'Body weight'!$C22,Map!$W$2:$W$67&amp;Map!$X$2:$X$67,0)),"")</f>
        <v>57</v>
      </c>
      <c r="B22" s="24" t="str">
        <f>B15</f>
        <v>T2</v>
      </c>
      <c r="C22" s="216" t="s">
        <v>9</v>
      </c>
      <c r="D22" s="38">
        <f t="array" ref="D22">IFERROR(IF($D$1="","",INDEX('Raw data'!$F$4:$F$69,MATCH('Body weight'!$B22&amp;'Body weight'!$C22,'Raw data'!$B$4:$B$69&amp;'Raw data'!$C$4:$C$69,0))),"")</f>
        <v>4.5824999999999998E-2</v>
      </c>
      <c r="E22" s="419">
        <f t="array" ref="E22">IFERROR(IF($E$1="","",INDEX('Raw data'!$Q$4:$Q$267,MATCH('Body weight'!E$1&amp;$A$1&amp;$A22,'Raw data'!$K$4:$K$267&amp;'Raw data'!$L$2&amp;'Raw data'!$L$4:$L$267,0))),"")</f>
        <v>0.36189189189189186</v>
      </c>
      <c r="F22" s="419">
        <f t="array" ref="F22">IFERROR(IF($F$1="","",INDEX('Raw data'!$Q$4:$Q$267,MATCH('Body weight'!F$1&amp;$A$1&amp;$A22,'Raw data'!$K$4:$K$267&amp;'Raw data'!$L$2&amp;'Raw data'!$L$4:$L$267,0))),"")</f>
        <v>0.98243243243243228</v>
      </c>
      <c r="G22" s="419">
        <f t="array" ref="G22">IFERROR(IF($G$1="","",INDEX('Raw data'!$Q$4:$Q$267,MATCH('Body weight'!G$1&amp;$A$1&amp;$A22,'Raw data'!$K$4:$K$267&amp;'Raw data'!$L$2&amp;'Raw data'!$L$4:$L$267,0))),"")</f>
        <v>1.4319444444444445</v>
      </c>
      <c r="H22" s="442">
        <f t="array" ref="H22">IFERROR(IF($H$1="","",INDEX('Raw data'!$Q$4:$Q$267,MATCH('Body weight'!H$1&amp;$A$1&amp;$A22,'Raw data'!$K$4:$K$267&amp;'Raw data'!$L$2&amp;'Raw data'!$L$4:$L$267,0))),"")</f>
        <v>2.2085714285714291</v>
      </c>
      <c r="I22" s="24"/>
    </row>
    <row r="23" spans="1:9" x14ac:dyDescent="0.25">
      <c r="A23" s="432">
        <f t="array" ref="A23">IFERROR(INDEX(Map!$V$2:$V$67,MATCH('Body weight'!$B23&amp;'Body weight'!$C23,Map!$W$2:$W$67&amp;Map!$X$2:$X$67,0)),"")</f>
        <v>61</v>
      </c>
      <c r="B23" s="418" t="str">
        <f>B16</f>
        <v>T2</v>
      </c>
      <c r="C23" s="436" t="s">
        <v>22</v>
      </c>
      <c r="D23" s="419">
        <f t="array" ref="D23">IFERROR(IF($D$1="","",INDEX('Raw data'!$F$4:$F$69,MATCH('Body weight'!$B23&amp;'Body weight'!$C23,'Raw data'!$B$4:$B$69&amp;'Raw data'!$C$4:$C$69,0))),"")</f>
        <v>4.5749999999999999E-2</v>
      </c>
      <c r="E23" s="419">
        <f t="array" ref="E23">IFERROR(IF($E$1="","",INDEX('Raw data'!$Q$4:$Q$267,MATCH('Body weight'!E$1&amp;$A$1&amp;$A23,'Raw data'!$K$4:$K$267&amp;'Raw data'!$L$2&amp;'Raw data'!$L$4:$L$267,0))),"")</f>
        <v>0.36594594594594593</v>
      </c>
      <c r="F23" s="419">
        <f t="array" ref="F23">IFERROR(IF($F$1="","",INDEX('Raw data'!$Q$4:$Q$267,MATCH('Body weight'!F$1&amp;$A$1&amp;$A23,'Raw data'!$K$4:$K$267&amp;'Raw data'!$L$2&amp;'Raw data'!$L$4:$L$267,0))),"")</f>
        <v>1.0202702702702702</v>
      </c>
      <c r="G23" s="419">
        <f t="array" ref="G23">IFERROR(IF($G$1="","",INDEX('Raw data'!$Q$4:$Q$267,MATCH('Body weight'!G$1&amp;$A$1&amp;$A23,'Raw data'!$K$4:$K$267&amp;'Raw data'!$L$2&amp;'Raw data'!$L$4:$L$267,0))),"")</f>
        <v>1.4819444444444443</v>
      </c>
      <c r="H23" s="442">
        <f t="array" ref="H23">IFERROR(IF($H$1="","",INDEX('Raw data'!$Q$4:$Q$267,MATCH('Body weight'!H$1&amp;$A$1&amp;$A23,'Raw data'!$K$4:$K$267&amp;'Raw data'!$L$2&amp;'Raw data'!$L$4:$L$267,0))),"")</f>
        <v>2.3319444444444439</v>
      </c>
      <c r="I23" s="24"/>
    </row>
    <row r="24" spans="1:9" s="417" customFormat="1" x14ac:dyDescent="0.25">
      <c r="A24" s="432">
        <f t="array" ref="A24">IFERROR(INDEX(Map!$V$2:$V$67,MATCH('Body weight'!$B24&amp;'Body weight'!$C24,Map!$W$2:$W$67&amp;Map!$X$2:$X$67,0)),"")</f>
        <v>2</v>
      </c>
      <c r="B24" s="418" t="str">
        <f>B17</f>
        <v>T2</v>
      </c>
      <c r="C24" s="436" t="s">
        <v>101</v>
      </c>
      <c r="D24" s="419">
        <f t="array" ref="D24">IFERROR(IF($D$1="","",INDEX('Raw data'!$F$4:$F$69,MATCH('Body weight'!$B24&amp;'Body weight'!$C24,'Raw data'!$B$4:$B$69&amp;'Raw data'!$C$4:$C$69,0))),"")</f>
        <v>4.5850000000000002E-2</v>
      </c>
      <c r="E24" s="419">
        <f t="array" ref="E24">IFERROR(IF($E$1="","",INDEX('Raw data'!$Q$4:$Q$267,MATCH('Body weight'!E$1&amp;$A$1&amp;$A24,'Raw data'!$K$4:$K$267&amp;'Raw data'!$L$2&amp;'Raw data'!$L$4:$L$267,0))),"")</f>
        <v>0.36225000000000002</v>
      </c>
      <c r="F24" s="419">
        <f t="array" ref="F24">IFERROR(IF($F$1="","",INDEX('Raw data'!$Q$4:$Q$267,MATCH('Body weight'!F$1&amp;$A$1&amp;$A24,'Raw data'!$K$4:$K$267&amp;'Raw data'!$L$2&amp;'Raw data'!$L$4:$L$267,0))),"")</f>
        <v>0.96750000000000003</v>
      </c>
      <c r="G24" s="419">
        <f t="array" ref="G24">IFERROR(IF($G$1="","",INDEX('Raw data'!$Q$4:$Q$267,MATCH('Body weight'!G$1&amp;$A$1&amp;$A24,'Raw data'!$K$4:$K$267&amp;'Raw data'!$L$2&amp;'Raw data'!$L$4:$L$267,0))),"")</f>
        <v>1.4512820512820512</v>
      </c>
      <c r="H24" s="442">
        <f t="array" ref="H24">IFERROR(IF($H$1="","",INDEX('Raw data'!$Q$4:$Q$267,MATCH('Body weight'!H$1&amp;$A$1&amp;$A24,'Raw data'!$K$4:$K$267&amp;'Raw data'!$L$2&amp;'Raw data'!$L$4:$L$267,0))),"")</f>
        <v>2.2828947368421053</v>
      </c>
      <c r="I24" s="418"/>
    </row>
    <row r="25" spans="1:9" s="417" customFormat="1" x14ac:dyDescent="0.25">
      <c r="A25" s="446">
        <f t="array" ref="A25">IFERROR(INDEX(Map!$V$2:$V$67,MATCH('Body weight'!$B25&amp;'Body weight'!$C25,Map!$W$2:$W$67&amp;Map!$X$2:$X$67,0)),"")</f>
        <v>21</v>
      </c>
      <c r="B25" s="418" t="str">
        <f>B17</f>
        <v>T2</v>
      </c>
      <c r="C25" s="436" t="s">
        <v>102</v>
      </c>
      <c r="D25" s="434">
        <f t="array" ref="D25">IFERROR(IF($D$1="","",INDEX('Raw data'!$F$4:$F$69,MATCH('Body weight'!$B25&amp;'Body weight'!$C25,'Raw data'!$B$4:$B$69&amp;'Raw data'!$C$4:$C$69,0))),"")</f>
        <v>4.5774999999999996E-2</v>
      </c>
      <c r="E25" s="435">
        <f t="array" ref="E25">IFERROR(IF($E$1="","",INDEX('Raw data'!$Q$4:$Q$267,MATCH('Body weight'!E$1&amp;$A$1&amp;$A25,'Raw data'!$K$4:$K$267&amp;'Raw data'!$L$2&amp;'Raw data'!$L$4:$L$267,0))),"")</f>
        <v>0.34027027027027029</v>
      </c>
      <c r="F25" s="435">
        <f t="array" ref="F25">IFERROR(IF($F$1="","",INDEX('Raw data'!$Q$4:$Q$267,MATCH('Body weight'!F$1&amp;$A$1&amp;$A25,'Raw data'!$K$4:$K$267&amp;'Raw data'!$L$2&amp;'Raw data'!$L$4:$L$267,0))),"")</f>
        <v>0.92162162162162142</v>
      </c>
      <c r="G25" s="435">
        <f t="array" ref="G25">IFERROR(IF($G$1="","",INDEX('Raw data'!$Q$4:$Q$267,MATCH('Body weight'!G$1&amp;$A$1&amp;$A25,'Raw data'!$K$4:$K$267&amp;'Raw data'!$L$2&amp;'Raw data'!$L$4:$L$267,0))),"")</f>
        <v>1.37</v>
      </c>
      <c r="H25" s="443">
        <f t="array" ref="H25">IFERROR(IF($H$1="","",INDEX('Raw data'!$Q$4:$Q$267,MATCH('Body weight'!H$1&amp;$A$1&amp;$A25,'Raw data'!$K$4:$K$267&amp;'Raw data'!$L$2&amp;'Raw data'!$L$4:$L$267,0))),"")</f>
        <v>2.1514705882352945</v>
      </c>
      <c r="I25" s="418"/>
    </row>
    <row r="26" spans="1:9" s="417" customFormat="1" x14ac:dyDescent="0.25">
      <c r="A26" s="432"/>
      <c r="B26" s="462" t="s">
        <v>82</v>
      </c>
      <c r="C26" s="463"/>
      <c r="D26" s="437" t="str">
        <f>IF($D$1="","",(ROUND(AVERAGE(D15:D25),3)&amp;" ± "&amp;(ROUND(STDEV(D15:D25),3))))</f>
        <v>0,046 ± 0</v>
      </c>
      <c r="E26" s="437" t="str">
        <f>IF($E$1="","",(ROUND(AVERAGE(E15:E25),3)&amp;" ± "&amp;(ROUND(STDEV(E15:E25),3))))</f>
        <v>0,357 ± 0,017</v>
      </c>
      <c r="F26" s="437" t="str">
        <f>IF($F$1="","",(ROUND(AVERAGE(F15:F25),3)&amp;" ± "&amp;(ROUND(STDEV(F15:F25),3))))</f>
        <v>0,956 ± 0,049</v>
      </c>
      <c r="G26" s="437" t="str">
        <f>IF($G$1="","",(ROUND(AVERAGE(G15:G25),3)&amp;" ± "&amp;(ROUND(STDEV(G15:G25),3))))</f>
        <v>1,459 ± 0,068</v>
      </c>
      <c r="H26" s="444" t="str">
        <f>IF($H$1="","",(ROUND(AVERAGE(H15:H25),3)&amp;" ± "&amp;(ROUND(STDEV(H15:H25),3))))</f>
        <v>2,282 ± 0,088</v>
      </c>
      <c r="I26" s="418"/>
    </row>
    <row r="27" spans="1:9" s="417" customFormat="1" ht="15.75" thickBot="1" x14ac:dyDescent="0.3">
      <c r="A27" s="433"/>
      <c r="B27" s="460" t="s">
        <v>83</v>
      </c>
      <c r="C27" s="461"/>
      <c r="D27" s="438">
        <f>IF($D$1="","",STDEV(D15:D25)/(AVERAGE(D15:D25)))</f>
        <v>3.4844597107669844E-3</v>
      </c>
      <c r="E27" s="438">
        <f>IF($E$1="","",STDEV(E15:E25)/(AVERAGE(E15:E25)))</f>
        <v>4.8312127127675186E-2</v>
      </c>
      <c r="F27" s="438">
        <f>IF($F$1="","",STDEV(F15:F25)/(AVERAGE(F15:F25)))</f>
        <v>5.1653562968609408E-2</v>
      </c>
      <c r="G27" s="438">
        <f>IF($G$1="","",STDEV(G15:G25)/(AVERAGE(G15:G25)))</f>
        <v>4.6591195756934337E-2</v>
      </c>
      <c r="H27" s="445">
        <f>IF($H$1="","",STDEV(H15:H25)/(AVERAGE(H15:H25)))</f>
        <v>3.8681037064593207E-2</v>
      </c>
      <c r="I27" s="418"/>
    </row>
    <row r="28" spans="1:9" x14ac:dyDescent="0.25">
      <c r="A28" s="130">
        <f t="array" ref="A28">IFERROR(INDEX(Map!$V$2:$V$67,MATCH('Body weight'!$B28&amp;'Body weight'!$C28,Map!$W$2:$W$67&amp;Map!$X$2:$X$67,0)),"")</f>
        <v>4</v>
      </c>
      <c r="B28" s="41" t="s">
        <v>12</v>
      </c>
      <c r="C28" s="219" t="s">
        <v>2</v>
      </c>
      <c r="D28" s="220">
        <f t="array" ref="D28">IFERROR(IF($D$1="","",INDEX('Raw data'!$F$4:$F$69,MATCH('Body weight'!$B28&amp;'Body weight'!$C28,'Raw data'!$B$4:$B$69&amp;'Raw data'!$C$4:$C$69,0))),"")</f>
        <v>4.5950000000000005E-2</v>
      </c>
      <c r="E28" s="440">
        <f t="array" ref="E28">IFERROR(IF($E$1="","",INDEX('Raw data'!$Q$4:$Q$267,MATCH('Body weight'!E$1&amp;$A$1&amp;$A28,'Raw data'!$K$4:$K$267&amp;'Raw data'!$L$2&amp;'Raw data'!$L$4:$L$267,0))),"")</f>
        <v>0.35871794871794871</v>
      </c>
      <c r="F28" s="440">
        <f t="array" ref="F28">IFERROR(IF($F$1="","",INDEX('Raw data'!$Q$4:$Q$267,MATCH('Body weight'!F$1&amp;$A$1&amp;$A28,'Raw data'!$K$4:$K$267&amp;'Raw data'!$L$2&amp;'Raw data'!$L$4:$L$267,0))),"")</f>
        <v>1</v>
      </c>
      <c r="G28" s="440">
        <f t="array" ref="G28">IFERROR(IF($G$1="","",INDEX('Raw data'!$Q$4:$Q$267,MATCH('Body weight'!G$1&amp;$A$1&amp;$A28,'Raw data'!$K$4:$K$267&amp;'Raw data'!$L$2&amp;'Raw data'!$L$4:$L$267,0))),"")</f>
        <v>1.523076923076923</v>
      </c>
      <c r="H28" s="441">
        <f t="array" ref="H28">IFERROR(IF($H$1="","",INDEX('Raw data'!$Q$4:$Q$267,MATCH('Body weight'!H$1&amp;$A$1&amp;$A28,'Raw data'!$K$4:$K$267&amp;'Raw data'!$L$2&amp;'Raw data'!$L$4:$L$267,0))),"")</f>
        <v>2.3932432432432433</v>
      </c>
      <c r="I28" s="24"/>
    </row>
    <row r="29" spans="1:9" x14ac:dyDescent="0.25">
      <c r="A29" s="131">
        <f t="array" ref="A29">IFERROR(INDEX(Map!$V$2:$V$67,MATCH('Body weight'!$B29&amp;'Body weight'!$C29,Map!$W$2:$W$67&amp;Map!$X$2:$X$67,0)),"")</f>
        <v>13</v>
      </c>
      <c r="B29" s="24" t="str">
        <f>B28</f>
        <v>T3</v>
      </c>
      <c r="C29" s="216" t="s">
        <v>3</v>
      </c>
      <c r="D29" s="38">
        <f t="array" ref="D29">IFERROR(IF($D$1="","",INDEX('Raw data'!$F$4:$F$69,MATCH('Body weight'!$B29&amp;'Body weight'!$C29,'Raw data'!$B$4:$B$69&amp;'Raw data'!$C$4:$C$69,0))),"")</f>
        <v>4.5725000000000002E-2</v>
      </c>
      <c r="E29" s="419">
        <f t="array" ref="E29">IFERROR(IF($E$1="","",INDEX('Raw data'!$Q$4:$Q$267,MATCH('Body weight'!E$1&amp;$A$1&amp;$A29,'Raw data'!$K$4:$K$267&amp;'Raw data'!$L$2&amp;'Raw data'!$L$4:$L$267,0))),"")</f>
        <v>0.35230769230769232</v>
      </c>
      <c r="F29" s="419">
        <f t="array" ref="F29">IFERROR(IF($F$1="","",INDEX('Raw data'!$Q$4:$Q$267,MATCH('Body weight'!F$1&amp;$A$1&amp;$A29,'Raw data'!$K$4:$K$267&amp;'Raw data'!$L$2&amp;'Raw data'!$L$4:$L$267,0))),"")</f>
        <v>0.95394736842105265</v>
      </c>
      <c r="G29" s="419">
        <f t="array" ref="G29">IFERROR(IF($G$1="","",INDEX('Raw data'!$Q$4:$Q$267,MATCH('Body weight'!G$1&amp;$A$1&amp;$A29,'Raw data'!$K$4:$K$267&amp;'Raw data'!$L$2&amp;'Raw data'!$L$4:$L$267,0))),"")</f>
        <v>1.4473684210526314</v>
      </c>
      <c r="H29" s="442">
        <f t="array" ref="H29">IFERROR(IF($H$1="","",INDEX('Raw data'!$Q$4:$Q$267,MATCH('Body weight'!H$1&amp;$A$1&amp;$A29,'Raw data'!$K$4:$K$267&amp;'Raw data'!$L$2&amp;'Raw data'!$L$4:$L$267,0))),"")</f>
        <v>2.2776315789473682</v>
      </c>
      <c r="I29" s="24"/>
    </row>
    <row r="30" spans="1:9" x14ac:dyDescent="0.25">
      <c r="A30" s="131">
        <f t="array" ref="A30">IFERROR(INDEX(Map!$V$2:$V$67,MATCH('Body weight'!$B30&amp;'Body weight'!$C30,Map!$W$2:$W$67&amp;Map!$X$2:$X$67,0)),"")</f>
        <v>19</v>
      </c>
      <c r="B30" s="24" t="str">
        <f>B28</f>
        <v>T3</v>
      </c>
      <c r="C30" s="216" t="s">
        <v>4</v>
      </c>
      <c r="D30" s="38">
        <f t="array" ref="D30">IFERROR(IF($D$1="","",INDEX('Raw data'!$F$4:$F$69,MATCH('Body weight'!$B30&amp;'Body weight'!$C30,'Raw data'!$B$4:$B$69&amp;'Raw data'!$C$4:$C$69,0))),"")</f>
        <v>4.5675E-2</v>
      </c>
      <c r="E30" s="419">
        <f t="array" ref="E30">IFERROR(IF($E$1="","",INDEX('Raw data'!$Q$4:$Q$267,MATCH('Body weight'!E$1&amp;$A$1&amp;$A30,'Raw data'!$K$4:$K$267&amp;'Raw data'!$L$2&amp;'Raw data'!$L$4:$L$267,0))),"")</f>
        <v>0.33166666666666667</v>
      </c>
      <c r="F30" s="419">
        <f t="array" ref="F30">IFERROR(IF($F$1="","",INDEX('Raw data'!$Q$4:$Q$267,MATCH('Body weight'!F$1&amp;$A$1&amp;$A30,'Raw data'!$K$4:$K$267&amp;'Raw data'!$L$2&amp;'Raw data'!$L$4:$L$267,0))),"")</f>
        <v>0.91617647058823537</v>
      </c>
      <c r="G30" s="419">
        <f t="array" ref="G30">IFERROR(IF($G$1="","",INDEX('Raw data'!$Q$4:$Q$267,MATCH('Body weight'!G$1&amp;$A$1&amp;$A30,'Raw data'!$K$4:$K$267&amp;'Raw data'!$L$2&amp;'Raw data'!$L$4:$L$267,0))),"")</f>
        <v>1.3426470588235293</v>
      </c>
      <c r="H30" s="442">
        <f t="array" ref="H30">IFERROR(IF($H$1="","",INDEX('Raw data'!$Q$4:$Q$267,MATCH('Body weight'!H$1&amp;$A$1&amp;$A30,'Raw data'!$K$4:$K$267&amp;'Raw data'!$L$2&amp;'Raw data'!$L$4:$L$267,0))),"")</f>
        <v>2.1999999999999997</v>
      </c>
      <c r="I30" s="24"/>
    </row>
    <row r="31" spans="1:9" x14ac:dyDescent="0.25">
      <c r="A31" s="131">
        <f t="array" ref="A31">IFERROR(INDEX(Map!$V$2:$V$67,MATCH('Body weight'!$B31&amp;'Body weight'!$C31,Map!$W$2:$W$67&amp;Map!$X$2:$X$67,0)),"")</f>
        <v>26</v>
      </c>
      <c r="B31" s="24" t="str">
        <f>B28</f>
        <v>T3</v>
      </c>
      <c r="C31" s="216" t="s">
        <v>5</v>
      </c>
      <c r="D31" s="38">
        <f t="array" ref="D31">IFERROR(IF($D$1="","",INDEX('Raw data'!$F$4:$F$69,MATCH('Body weight'!$B31&amp;'Body weight'!$C31,'Raw data'!$B$4:$B$69&amp;'Raw data'!$C$4:$C$69,0))),"")</f>
        <v>4.5499999999999999E-2</v>
      </c>
      <c r="E31" s="419">
        <f t="array" ref="E31">IFERROR(IF($E$1="","",INDEX('Raw data'!$Q$4:$Q$267,MATCH('Body weight'!E$1&amp;$A$1&amp;$A31,'Raw data'!$K$4:$K$267&amp;'Raw data'!$L$2&amp;'Raw data'!$L$4:$L$267,0))),"")</f>
        <v>0.33692307692307688</v>
      </c>
      <c r="F31" s="419">
        <f t="array" ref="F31">IFERROR(IF($F$1="","",INDEX('Raw data'!$Q$4:$Q$267,MATCH('Body weight'!F$1&amp;$A$1&amp;$A31,'Raw data'!$K$4:$K$267&amp;'Raw data'!$L$2&amp;'Raw data'!$L$4:$L$267,0))),"")</f>
        <v>0.9076923076923078</v>
      </c>
      <c r="G31" s="419">
        <f t="array" ref="G31">IFERROR(IF($G$1="","",INDEX('Raw data'!$Q$4:$Q$267,MATCH('Body weight'!G$1&amp;$A$1&amp;$A31,'Raw data'!$K$4:$K$267&amp;'Raw data'!$L$2&amp;'Raw data'!$L$4:$L$267,0))),"")</f>
        <v>1.3884615384615384</v>
      </c>
      <c r="H31" s="442">
        <f t="array" ref="H31">IFERROR(IF($H$1="","",INDEX('Raw data'!$Q$4:$Q$267,MATCH('Body weight'!H$1&amp;$A$1&amp;$A31,'Raw data'!$K$4:$K$267&amp;'Raw data'!$L$2&amp;'Raw data'!$L$4:$L$267,0))),"")</f>
        <v>2.2089743589743591</v>
      </c>
      <c r="I31" s="24"/>
    </row>
    <row r="32" spans="1:9" x14ac:dyDescent="0.25">
      <c r="A32" s="131">
        <f t="array" ref="A32">IFERROR(INDEX(Map!$V$2:$V$67,MATCH('Body weight'!$B32&amp;'Body weight'!$C32,Map!$W$2:$W$67&amp;Map!$X$2:$X$67,0)),"")</f>
        <v>33</v>
      </c>
      <c r="B32" s="24" t="str">
        <f>B28</f>
        <v>T3</v>
      </c>
      <c r="C32" s="216" t="s">
        <v>6</v>
      </c>
      <c r="D32" s="38">
        <f t="array" ref="D32">IFERROR(IF($D$1="","",INDEX('Raw data'!$F$4:$F$69,MATCH('Body weight'!$B32&amp;'Body weight'!$C32,'Raw data'!$B$4:$B$69&amp;'Raw data'!$C$4:$C$69,0))),"")</f>
        <v>4.5650000000000003E-2</v>
      </c>
      <c r="E32" s="419">
        <f t="array" ref="E32">IFERROR(IF($E$1="","",INDEX('Raw data'!$Q$4:$Q$267,MATCH('Body weight'!E$1&amp;$A$1&amp;$A32,'Raw data'!$K$4:$K$267&amp;'Raw data'!$L$2&amp;'Raw data'!$L$4:$L$267,0))),"")</f>
        <v>0.34099999999999997</v>
      </c>
      <c r="F32" s="419">
        <f t="array" ref="F32">IFERROR(IF($F$1="","",INDEX('Raw data'!$Q$4:$Q$267,MATCH('Body weight'!F$1&amp;$A$1&amp;$A32,'Raw data'!$K$4:$K$267&amp;'Raw data'!$L$2&amp;'Raw data'!$L$4:$L$267,0))),"")</f>
        <v>0.92749999999999988</v>
      </c>
      <c r="G32" s="419">
        <f t="array" ref="G32">IFERROR(IF($G$1="","",INDEX('Raw data'!$Q$4:$Q$267,MATCH('Body weight'!G$1&amp;$A$1&amp;$A32,'Raw data'!$K$4:$K$267&amp;'Raw data'!$L$2&amp;'Raw data'!$L$4:$L$267,0))),"")</f>
        <v>1.4524999999999999</v>
      </c>
      <c r="H32" s="442">
        <f t="array" ref="H32">IFERROR(IF($H$1="","",INDEX('Raw data'!$Q$4:$Q$267,MATCH('Body weight'!H$1&amp;$A$1&amp;$A32,'Raw data'!$K$4:$K$267&amp;'Raw data'!$L$2&amp;'Raw data'!$L$4:$L$267,0))),"")</f>
        <v>2.2962499999999997</v>
      </c>
      <c r="I32" s="24"/>
    </row>
    <row r="33" spans="1:9" x14ac:dyDescent="0.25">
      <c r="A33" s="131">
        <f t="array" ref="A33">IFERROR(INDEX(Map!$V$2:$V$67,MATCH('Body weight'!$B33&amp;'Body weight'!$C33,Map!$W$2:$W$67&amp;Map!$X$2:$X$67,0)),"")</f>
        <v>40</v>
      </c>
      <c r="B33" s="24" t="str">
        <f>B28</f>
        <v>T3</v>
      </c>
      <c r="C33" s="216" t="s">
        <v>7</v>
      </c>
      <c r="D33" s="38">
        <f t="array" ref="D33">IFERROR(IF($D$1="","",INDEX('Raw data'!$F$4:$F$69,MATCH('Body weight'!$B33&amp;'Body weight'!$C33,'Raw data'!$B$4:$B$69&amp;'Raw data'!$C$4:$C$69,0))),"")</f>
        <v>4.5624999999999999E-2</v>
      </c>
      <c r="E33" s="419">
        <f t="array" ref="E33">IFERROR(IF($E$1="","",INDEX('Raw data'!$Q$4:$Q$267,MATCH('Body weight'!E$1&amp;$A$1&amp;$A33,'Raw data'!$K$4:$K$267&amp;'Raw data'!$L$2&amp;'Raw data'!$L$4:$L$267,0))),"")</f>
        <v>0.34475</v>
      </c>
      <c r="F33" s="419">
        <f t="array" ref="F33">IFERROR(IF($F$1="","",INDEX('Raw data'!$Q$4:$Q$267,MATCH('Body weight'!F$1&amp;$A$1&amp;$A33,'Raw data'!$K$4:$K$267&amp;'Raw data'!$L$2&amp;'Raw data'!$L$4:$L$267,0))),"")</f>
        <v>0.95500000000000007</v>
      </c>
      <c r="G33" s="419">
        <f t="array" ref="G33">IFERROR(IF($G$1="","",INDEX('Raw data'!$Q$4:$Q$267,MATCH('Body weight'!G$1&amp;$A$1&amp;$A33,'Raw data'!$K$4:$K$267&amp;'Raw data'!$L$2&amp;'Raw data'!$L$4:$L$267,0))),"")</f>
        <v>1.44875</v>
      </c>
      <c r="H33" s="442">
        <f t="array" ref="H33">IFERROR(IF($H$1="","",INDEX('Raw data'!$Q$4:$Q$267,MATCH('Body weight'!H$1&amp;$A$1&amp;$A33,'Raw data'!$K$4:$K$267&amp;'Raw data'!$L$2&amp;'Raw data'!$L$4:$L$267,0))),"")</f>
        <v>2.3137500000000002</v>
      </c>
      <c r="I33" s="24"/>
    </row>
    <row r="34" spans="1:9" x14ac:dyDescent="0.25">
      <c r="A34" s="131">
        <f t="array" ref="A34">IFERROR(INDEX(Map!$V$2:$V$67,MATCH('Body weight'!$B34&amp;'Body weight'!$C34,Map!$W$2:$W$67&amp;Map!$X$2:$X$67,0)),"")</f>
        <v>51</v>
      </c>
      <c r="B34" s="24" t="str">
        <f>B28</f>
        <v>T3</v>
      </c>
      <c r="C34" s="216" t="s">
        <v>8</v>
      </c>
      <c r="D34" s="38">
        <f t="array" ref="D34">IFERROR(IF($D$1="","",INDEX('Raw data'!$F$4:$F$69,MATCH('Body weight'!$B34&amp;'Body weight'!$C34,'Raw data'!$B$4:$B$69&amp;'Raw data'!$C$4:$C$69,0))),"")</f>
        <v>4.5675E-2</v>
      </c>
      <c r="E34" s="419">
        <f t="array" ref="E34">IFERROR(IF($E$1="","",INDEX('Raw data'!$Q$4:$Q$267,MATCH('Body weight'!E$1&amp;$A$1&amp;$A34,'Raw data'!$K$4:$K$267&amp;'Raw data'!$L$2&amp;'Raw data'!$L$4:$L$267,0))),"")</f>
        <v>0.36099999999999999</v>
      </c>
      <c r="F34" s="419">
        <f t="array" ref="F34">IFERROR(IF($F$1="","",INDEX('Raw data'!$Q$4:$Q$267,MATCH('Body weight'!F$1&amp;$A$1&amp;$A34,'Raw data'!$K$4:$K$267&amp;'Raw data'!$L$2&amp;'Raw data'!$L$4:$L$267,0))),"")</f>
        <v>0.9375</v>
      </c>
      <c r="G34" s="419">
        <f t="array" ref="G34">IFERROR(IF($G$1="","",INDEX('Raw data'!$Q$4:$Q$267,MATCH('Body weight'!G$1&amp;$A$1&amp;$A34,'Raw data'!$K$4:$K$267&amp;'Raw data'!$L$2&amp;'Raw data'!$L$4:$L$267,0))),"")</f>
        <v>1.4462499999999998</v>
      </c>
      <c r="H34" s="442">
        <f t="array" ref="H34">IFERROR(IF($H$1="","",INDEX('Raw data'!$Q$4:$Q$267,MATCH('Body weight'!H$1&amp;$A$1&amp;$A34,'Raw data'!$K$4:$K$267&amp;'Raw data'!$L$2&amp;'Raw data'!$L$4:$L$267,0))),"")</f>
        <v>2.2602564102564102</v>
      </c>
      <c r="I34" s="24"/>
    </row>
    <row r="35" spans="1:9" x14ac:dyDescent="0.25">
      <c r="A35" s="131">
        <f t="array" ref="A35">IFERROR(INDEX(Map!$V$2:$V$67,MATCH('Body weight'!$B35&amp;'Body weight'!$C35,Map!$W$2:$W$67&amp;Map!$X$2:$X$67,0)),"")</f>
        <v>56</v>
      </c>
      <c r="B35" s="24" t="str">
        <f>B28</f>
        <v>T3</v>
      </c>
      <c r="C35" s="216" t="s">
        <v>9</v>
      </c>
      <c r="D35" s="38">
        <f t="array" ref="D35">IFERROR(IF($D$1="","",INDEX('Raw data'!$F$4:$F$69,MATCH('Body weight'!$B35&amp;'Body weight'!$C35,'Raw data'!$B$4:$B$69&amp;'Raw data'!$C$4:$C$69,0))),"")</f>
        <v>4.5475000000000002E-2</v>
      </c>
      <c r="E35" s="419">
        <f t="array" ref="E35">IFERROR(IF($E$1="","",INDEX('Raw data'!$Q$4:$Q$267,MATCH('Body weight'!E$1&amp;$A$1&amp;$A35,'Raw data'!$K$4:$K$267&amp;'Raw data'!$L$2&amp;'Raw data'!$L$4:$L$267,0))),"")</f>
        <v>0.35230769230769232</v>
      </c>
      <c r="F35" s="419">
        <f t="array" ref="F35">IFERROR(IF($F$1="","",INDEX('Raw data'!$Q$4:$Q$267,MATCH('Body weight'!F$1&amp;$A$1&amp;$A35,'Raw data'!$K$4:$K$267&amp;'Raw data'!$L$2&amp;'Raw data'!$L$4:$L$267,0))),"")</f>
        <v>0.97631578947368403</v>
      </c>
      <c r="G35" s="419">
        <f t="array" ref="G35">IFERROR(IF($G$1="","",INDEX('Raw data'!$Q$4:$Q$267,MATCH('Body weight'!G$1&amp;$A$1&amp;$A35,'Raw data'!$K$4:$K$267&amp;'Raw data'!$L$2&amp;'Raw data'!$L$4:$L$267,0))),"")</f>
        <v>1.4907894736842104</v>
      </c>
      <c r="H35" s="442">
        <f t="array" ref="H35">IFERROR(IF($H$1="","",INDEX('Raw data'!$Q$4:$Q$267,MATCH('Body weight'!H$1&amp;$A$1&amp;$A35,'Raw data'!$K$4:$K$267&amp;'Raw data'!$L$2&amp;'Raw data'!$L$4:$L$267,0))),"")</f>
        <v>2.3094594594594597</v>
      </c>
      <c r="I35" s="24"/>
    </row>
    <row r="36" spans="1:9" x14ac:dyDescent="0.25">
      <c r="A36" s="432">
        <f t="array" ref="A36">IFERROR(INDEX(Map!$V$2:$V$67,MATCH('Body weight'!$B36&amp;'Body weight'!$C36,Map!$W$2:$W$67&amp;Map!$X$2:$X$67,0)),"")</f>
        <v>59</v>
      </c>
      <c r="B36" s="418" t="str">
        <f>B29</f>
        <v>T3</v>
      </c>
      <c r="C36" s="436" t="s">
        <v>22</v>
      </c>
      <c r="D36" s="419">
        <f t="array" ref="D36">IFERROR(IF($D$1="","",INDEX('Raw data'!$F$4:$F$69,MATCH('Body weight'!$B36&amp;'Body weight'!$C36,'Raw data'!$B$4:$B$69&amp;'Raw data'!$C$4:$C$69,0))),"")</f>
        <v>4.5524999999999996E-2</v>
      </c>
      <c r="E36" s="419">
        <f t="array" ref="E36">IFERROR(IF($E$1="","",INDEX('Raw data'!$Q$4:$Q$267,MATCH('Body weight'!E$1&amp;$A$1&amp;$A36,'Raw data'!$K$4:$K$267&amp;'Raw data'!$L$2&amp;'Raw data'!$L$4:$L$267,0))),"")</f>
        <v>0.34975000000000001</v>
      </c>
      <c r="F36" s="419">
        <f t="array" ref="F36">IFERROR(IF($F$1="","",INDEX('Raw data'!$Q$4:$Q$267,MATCH('Body weight'!F$1&amp;$A$1&amp;$A36,'Raw data'!$K$4:$K$267&amp;'Raw data'!$L$2&amp;'Raw data'!$L$4:$L$267,0))),"")</f>
        <v>0.96250000000000002</v>
      </c>
      <c r="G36" s="419">
        <f t="array" ref="G36">IFERROR(IF($G$1="","",INDEX('Raw data'!$Q$4:$Q$267,MATCH('Body weight'!G$1&amp;$A$1&amp;$A36,'Raw data'!$K$4:$K$267&amp;'Raw data'!$L$2&amp;'Raw data'!$L$4:$L$267,0))),"")</f>
        <v>1.43</v>
      </c>
      <c r="H36" s="442">
        <f t="array" ref="H36">IFERROR(IF($H$1="","",INDEX('Raw data'!$Q$4:$Q$267,MATCH('Body weight'!H$1&amp;$A$1&amp;$A36,'Raw data'!$K$4:$K$267&amp;'Raw data'!$L$2&amp;'Raw data'!$L$4:$L$267,0))),"")</f>
        <v>2.2600000000000002</v>
      </c>
      <c r="I36" s="24"/>
    </row>
    <row r="37" spans="1:9" s="417" customFormat="1" x14ac:dyDescent="0.25">
      <c r="A37" s="432">
        <f t="array" ref="A37">IFERROR(INDEX(Map!$V$2:$V$67,MATCH('Body weight'!$B37&amp;'Body weight'!$C37,Map!$W$2:$W$67&amp;Map!$X$2:$X$67,0)),"")</f>
        <v>45</v>
      </c>
      <c r="B37" s="418" t="str">
        <f>B30</f>
        <v>T3</v>
      </c>
      <c r="C37" s="436" t="s">
        <v>101</v>
      </c>
      <c r="D37" s="419">
        <f t="array" ref="D37">IFERROR(IF($D$1="","",INDEX('Raw data'!$F$4:$F$69,MATCH('Body weight'!$B37&amp;'Body weight'!$C37,'Raw data'!$B$4:$B$69&amp;'Raw data'!$C$4:$C$69,0))),"")</f>
        <v>4.5499999999999999E-2</v>
      </c>
      <c r="E37" s="419">
        <f t="array" ref="E37">IFERROR(IF($E$1="","",INDEX('Raw data'!$Q$4:$Q$267,MATCH('Body weight'!E$1&amp;$A$1&amp;$A37,'Raw data'!$K$4:$K$267&amp;'Raw data'!$L$2&amp;'Raw data'!$L$4:$L$267,0))),"")</f>
        <v>0.33474999999999999</v>
      </c>
      <c r="F37" s="419">
        <f t="array" ref="F37">IFERROR(IF($F$1="","",INDEX('Raw data'!$Q$4:$Q$267,MATCH('Body weight'!F$1&amp;$A$1&amp;$A37,'Raw data'!$K$4:$K$267&amp;'Raw data'!$L$2&amp;'Raw data'!$L$4:$L$267,0))),"")</f>
        <v>0.96374999999999988</v>
      </c>
      <c r="G37" s="419">
        <f t="array" ref="G37">IFERROR(IF($G$1="","",INDEX('Raw data'!$Q$4:$Q$267,MATCH('Body weight'!G$1&amp;$A$1&amp;$A37,'Raw data'!$K$4:$K$267&amp;'Raw data'!$L$2&amp;'Raw data'!$L$4:$L$267,0))),"")</f>
        <v>1.5128205128205128</v>
      </c>
      <c r="H37" s="442">
        <f t="array" ref="H37">IFERROR(IF($H$1="","",INDEX('Raw data'!$Q$4:$Q$267,MATCH('Body weight'!H$1&amp;$A$1&amp;$A37,'Raw data'!$K$4:$K$267&amp;'Raw data'!$L$2&amp;'Raw data'!$L$4:$L$267,0))),"")</f>
        <v>2.3512820512820509</v>
      </c>
      <c r="I37" s="418"/>
    </row>
    <row r="38" spans="1:9" s="417" customFormat="1" x14ac:dyDescent="0.25">
      <c r="A38" s="446">
        <f t="array" ref="A38">IFERROR(INDEX(Map!$V$2:$V$67,MATCH('Body weight'!$B38&amp;'Body weight'!$C38,Map!$W$2:$W$67&amp;Map!$X$2:$X$67,0)),"")</f>
        <v>65</v>
      </c>
      <c r="B38" s="418" t="str">
        <f>B30</f>
        <v>T3</v>
      </c>
      <c r="C38" s="436" t="s">
        <v>102</v>
      </c>
      <c r="D38" s="434">
        <f t="array" ref="D38">IFERROR(IF($D$1="","",INDEX('Raw data'!$F$4:$F$69,MATCH('Body weight'!$B38&amp;'Body weight'!$C38,'Raw data'!$B$4:$B$69&amp;'Raw data'!$C$4:$C$69,0))),"")</f>
        <v>4.5400000000000003E-2</v>
      </c>
      <c r="E38" s="435">
        <f t="array" ref="E38">IFERROR(IF($E$1="","",INDEX('Raw data'!$Q$4:$Q$267,MATCH('Body weight'!E$1&amp;$A$1&amp;$A38,'Raw data'!$K$4:$K$267&amp;'Raw data'!$L$2&amp;'Raw data'!$L$4:$L$267,0))),"")</f>
        <v>0.37473684210526315</v>
      </c>
      <c r="F38" s="435">
        <f t="array" ref="F38">IFERROR(IF($F$1="","",INDEX('Raw data'!$Q$4:$Q$267,MATCH('Body weight'!F$1&amp;$A$1&amp;$A38,'Raw data'!$K$4:$K$267&amp;'Raw data'!$L$2&amp;'Raw data'!$L$4:$L$267,0))),"")</f>
        <v>1.023684210526316</v>
      </c>
      <c r="G38" s="435">
        <f t="array" ref="G38">IFERROR(IF($G$1="","",INDEX('Raw data'!$Q$4:$Q$267,MATCH('Body weight'!G$1&amp;$A$1&amp;$A38,'Raw data'!$K$4:$K$267&amp;'Raw data'!$L$2&amp;'Raw data'!$L$4:$L$267,0))),"")</f>
        <v>1.4783783783783782</v>
      </c>
      <c r="H38" s="443">
        <f t="array" ref="H38">IFERROR(IF($H$1="","",INDEX('Raw data'!$Q$4:$Q$267,MATCH('Body weight'!H$1&amp;$A$1&amp;$A38,'Raw data'!$K$4:$K$267&amp;'Raw data'!$L$2&amp;'Raw data'!$L$4:$L$267,0))),"")</f>
        <v>2.3729729729729732</v>
      </c>
      <c r="I38" s="418"/>
    </row>
    <row r="39" spans="1:9" s="417" customFormat="1" x14ac:dyDescent="0.25">
      <c r="A39" s="432"/>
      <c r="B39" s="462" t="s">
        <v>82</v>
      </c>
      <c r="C39" s="463"/>
      <c r="D39" s="437" t="str">
        <f>IF($D$1="","",(ROUND(AVERAGE(D28:D38),3)&amp;" ± "&amp;(ROUND(STDEV(D28:D38),3))))</f>
        <v>0,046 ± 0</v>
      </c>
      <c r="E39" s="437" t="str">
        <f>IF($E$1="","",(ROUND(AVERAGE(E28:E38),3)&amp;" ± "&amp;(ROUND(STDEV(E28:E38),3))))</f>
        <v>0,349 ± 0,013</v>
      </c>
      <c r="F39" s="437" t="str">
        <f>IF($F$1="","",(ROUND(AVERAGE(F28:F38),3)&amp;" ± "&amp;(ROUND(STDEV(F28:F38),3))))</f>
        <v>0,957 ± 0,035</v>
      </c>
      <c r="G39" s="437" t="str">
        <f>IF($G$1="","",(ROUND(AVERAGE(G28:G38),3)&amp;" ± "&amp;(ROUND(STDEV(G28:G38),3))))</f>
        <v>1,451 ± 0,052</v>
      </c>
      <c r="H39" s="444" t="str">
        <f>IF($H$1="","",(ROUND(AVERAGE(H28:H38),3)&amp;" ± "&amp;(ROUND(STDEV(H28:H38),3))))</f>
        <v>2,295 ± 0,062</v>
      </c>
      <c r="I39" s="418"/>
    </row>
    <row r="40" spans="1:9" s="417" customFormat="1" ht="15.75" thickBot="1" x14ac:dyDescent="0.3">
      <c r="A40" s="433"/>
      <c r="B40" s="460" t="s">
        <v>83</v>
      </c>
      <c r="C40" s="461"/>
      <c r="D40" s="438">
        <f>IF($D$1="","",STDEV(D28:D38)/(AVERAGE(D28:D38)))</f>
        <v>3.3456324457438193E-3</v>
      </c>
      <c r="E40" s="438">
        <f>IF($E$1="","",STDEV(E28:E38)/(AVERAGE(E28:E38)))</f>
        <v>3.6867352629620306E-2</v>
      </c>
      <c r="F40" s="438">
        <f>IF($F$1="","",STDEV(F28:F38)/(AVERAGE(F28:F38)))</f>
        <v>3.636647632368388E-2</v>
      </c>
      <c r="G40" s="438">
        <f>IF($G$1="","",STDEV(G28:G38)/(AVERAGE(G28:G38)))</f>
        <v>3.6131021891924492E-2</v>
      </c>
      <c r="H40" s="445">
        <f>IF($H$1="","",STDEV(H28:H38)/(AVERAGE(H28:H38)))</f>
        <v>2.7079852289972485E-2</v>
      </c>
      <c r="I40" s="418"/>
    </row>
    <row r="41" spans="1:9" x14ac:dyDescent="0.25">
      <c r="A41" s="130">
        <f t="array" ref="A41">IFERROR(INDEX(Map!$V$2:$V$67,MATCH('Body weight'!$B41&amp;'Body weight'!$C41,Map!$W$2:$W$67&amp;Map!$X$2:$X$67,0)),"")</f>
        <v>6</v>
      </c>
      <c r="B41" s="41" t="s">
        <v>11</v>
      </c>
      <c r="C41" s="219" t="s">
        <v>2</v>
      </c>
      <c r="D41" s="220">
        <f t="array" ref="D41">IFERROR(IF($D$1="","",INDEX('Raw data'!$F$4:$F$69,MATCH('Body weight'!$B41&amp;'Body weight'!$C41,'Raw data'!$B$4:$B$69&amp;'Raw data'!$C$4:$C$69,0))),"")</f>
        <v>4.5999999999999999E-2</v>
      </c>
      <c r="E41" s="440">
        <f t="array" ref="E41">IFERROR(IF($E$1="","",INDEX('Raw data'!$Q$4:$Q$267,MATCH('Body weight'!E$1&amp;$A$1&amp;$A41,'Raw data'!$K$4:$K$267&amp;'Raw data'!$L$2&amp;'Raw data'!$L$4:$L$267,0))),"")</f>
        <v>0.3286842105263158</v>
      </c>
      <c r="F41" s="440">
        <f t="array" ref="F41">IFERROR(IF($F$1="","",INDEX('Raw data'!$Q$4:$Q$267,MATCH('Body weight'!F$1&amp;$A$1&amp;$A41,'Raw data'!$K$4:$K$267&amp;'Raw data'!$L$2&amp;'Raw data'!$L$4:$L$267,0))),"")</f>
        <v>0.9368421052631577</v>
      </c>
      <c r="G41" s="440">
        <f t="array" ref="G41">IFERROR(IF($G$1="","",INDEX('Raw data'!$Q$4:$Q$267,MATCH('Body weight'!G$1&amp;$A$1&amp;$A41,'Raw data'!$K$4:$K$267&amp;'Raw data'!$L$2&amp;'Raw data'!$L$4:$L$267,0))),"")</f>
        <v>1.3736111111111109</v>
      </c>
      <c r="H41" s="441">
        <f t="array" ref="H41">IFERROR(IF($H$1="","",INDEX('Raw data'!$Q$4:$Q$267,MATCH('Body weight'!H$1&amp;$A$1&amp;$A41,'Raw data'!$K$4:$K$267&amp;'Raw data'!$L$2&amp;'Raw data'!$L$4:$L$267,0))),"")</f>
        <v>2.1763888888888889</v>
      </c>
      <c r="I41" s="24"/>
    </row>
    <row r="42" spans="1:9" x14ac:dyDescent="0.25">
      <c r="A42" s="131">
        <f t="array" ref="A42">IFERROR(INDEX(Map!$V$2:$V$67,MATCH('Body weight'!$B42&amp;'Body weight'!$C42,Map!$W$2:$W$67&amp;Map!$X$2:$X$67,0)),"")</f>
        <v>9</v>
      </c>
      <c r="B42" s="24" t="str">
        <f>B41</f>
        <v>T4</v>
      </c>
      <c r="C42" s="216" t="s">
        <v>3</v>
      </c>
      <c r="D42" s="38">
        <f t="array" ref="D42">IFERROR(IF($D$1="","",INDEX('Raw data'!$F$4:$F$69,MATCH('Body weight'!$B42&amp;'Body weight'!$C42,'Raw data'!$B$4:$B$69&amp;'Raw data'!$C$4:$C$69,0))),"")</f>
        <v>4.5975000000000002E-2</v>
      </c>
      <c r="E42" s="419">
        <f t="array" ref="E42">IFERROR(IF($E$1="","",INDEX('Raw data'!$Q$4:$Q$267,MATCH('Body weight'!E$1&amp;$A$1&amp;$A42,'Raw data'!$K$4:$K$267&amp;'Raw data'!$L$2&amp;'Raw data'!$L$4:$L$267,0))),"")</f>
        <v>0.32474999999999998</v>
      </c>
      <c r="F42" s="419">
        <f t="array" ref="F42">IFERROR(IF($F$1="","",INDEX('Raw data'!$Q$4:$Q$267,MATCH('Body weight'!F$1&amp;$A$1&amp;$A42,'Raw data'!$K$4:$K$267&amp;'Raw data'!$L$2&amp;'Raw data'!$L$4:$L$267,0))),"")</f>
        <v>0.90749999999999997</v>
      </c>
      <c r="G42" s="419">
        <f t="array" ref="G42">IFERROR(IF($G$1="","",INDEX('Raw data'!$Q$4:$Q$267,MATCH('Body weight'!G$1&amp;$A$1&amp;$A42,'Raw data'!$K$4:$K$267&amp;'Raw data'!$L$2&amp;'Raw data'!$L$4:$L$267,0))),"")</f>
        <v>1.367948717948718</v>
      </c>
      <c r="H42" s="442">
        <f t="array" ref="H42">IFERROR(IF($H$1="","",INDEX('Raw data'!$Q$4:$Q$267,MATCH('Body weight'!H$1&amp;$A$1&amp;$A42,'Raw data'!$K$4:$K$267&amp;'Raw data'!$L$2&amp;'Raw data'!$L$4:$L$267,0))),"")</f>
        <v>2.0837499999999998</v>
      </c>
      <c r="I42" s="24"/>
    </row>
    <row r="43" spans="1:9" x14ac:dyDescent="0.25">
      <c r="A43" s="131">
        <f t="array" ref="A43">IFERROR(INDEX(Map!$V$2:$V$67,MATCH('Body weight'!$B43&amp;'Body weight'!$C43,Map!$W$2:$W$67&amp;Map!$X$2:$X$67,0)),"")</f>
        <v>15</v>
      </c>
      <c r="B43" s="24" t="str">
        <f>B41</f>
        <v>T4</v>
      </c>
      <c r="C43" s="216" t="s">
        <v>4</v>
      </c>
      <c r="D43" s="38">
        <f t="array" ref="D43">IFERROR(IF($D$1="","",INDEX('Raw data'!$F$4:$F$69,MATCH('Body weight'!$B43&amp;'Body weight'!$C43,'Raw data'!$B$4:$B$69&amp;'Raw data'!$C$4:$C$69,0))),"")</f>
        <v>4.5824999999999998E-2</v>
      </c>
      <c r="E43" s="419">
        <f t="array" ref="E43">IFERROR(IF($E$1="","",INDEX('Raw data'!$Q$4:$Q$267,MATCH('Body weight'!E$1&amp;$A$1&amp;$A43,'Raw data'!$K$4:$K$267&amp;'Raw data'!$L$2&amp;'Raw data'!$L$4:$L$267,0))),"")</f>
        <v>0.36641025641025643</v>
      </c>
      <c r="F43" s="419">
        <f t="array" ref="F43">IFERROR(IF($F$1="","",INDEX('Raw data'!$Q$4:$Q$267,MATCH('Body weight'!F$1&amp;$A$1&amp;$A43,'Raw data'!$K$4:$K$267&amp;'Raw data'!$L$2&amp;'Raw data'!$L$4:$L$267,0))),"")</f>
        <v>0.96973684210526301</v>
      </c>
      <c r="G43" s="419">
        <f t="array" ref="G43">IFERROR(IF($G$1="","",INDEX('Raw data'!$Q$4:$Q$267,MATCH('Body weight'!G$1&amp;$A$1&amp;$A43,'Raw data'!$K$4:$K$267&amp;'Raw data'!$L$2&amp;'Raw data'!$L$4:$L$267,0))),"")</f>
        <v>1.472972972972973</v>
      </c>
      <c r="H43" s="442">
        <f t="array" ref="H43">IFERROR(IF($H$1="","",INDEX('Raw data'!$Q$4:$Q$267,MATCH('Body weight'!H$1&amp;$A$1&amp;$A43,'Raw data'!$K$4:$K$267&amp;'Raw data'!$L$2&amp;'Raw data'!$L$4:$L$267,0))),"")</f>
        <v>2.285135135135135</v>
      </c>
      <c r="I43" s="24"/>
    </row>
    <row r="44" spans="1:9" x14ac:dyDescent="0.25">
      <c r="A44" s="131">
        <f t="array" ref="A44">IFERROR(INDEX(Map!$V$2:$V$67,MATCH('Body weight'!$B44&amp;'Body weight'!$C44,Map!$W$2:$W$67&amp;Map!$X$2:$X$67,0)),"")</f>
        <v>30</v>
      </c>
      <c r="B44" s="24" t="str">
        <f>B41</f>
        <v>T4</v>
      </c>
      <c r="C44" s="216" t="s">
        <v>5</v>
      </c>
      <c r="D44" s="38">
        <f t="array" ref="D44">IFERROR(IF($D$1="","",INDEX('Raw data'!$F$4:$F$69,MATCH('Body weight'!$B44&amp;'Body weight'!$C44,'Raw data'!$B$4:$B$69&amp;'Raw data'!$C$4:$C$69,0))),"")</f>
        <v>4.555E-2</v>
      </c>
      <c r="E44" s="419">
        <f t="array" ref="E44">IFERROR(IF($E$1="","",INDEX('Raw data'!$Q$4:$Q$267,MATCH('Body weight'!E$1&amp;$A$1&amp;$A44,'Raw data'!$K$4:$K$267&amp;'Raw data'!$L$2&amp;'Raw data'!$L$4:$L$267,0))),"")</f>
        <v>0.35743589743589743</v>
      </c>
      <c r="F44" s="419">
        <f t="array" ref="F44">IFERROR(IF($F$1="","",INDEX('Raw data'!$Q$4:$Q$267,MATCH('Body weight'!F$1&amp;$A$1&amp;$A44,'Raw data'!$K$4:$K$267&amp;'Raw data'!$L$2&amp;'Raw data'!$L$4:$L$267,0))),"")</f>
        <v>0.96710526315789469</v>
      </c>
      <c r="G44" s="419">
        <f t="array" ref="G44">IFERROR(IF($G$1="","",INDEX('Raw data'!$Q$4:$Q$267,MATCH('Body weight'!G$1&amp;$A$1&amp;$A44,'Raw data'!$K$4:$K$267&amp;'Raw data'!$L$2&amp;'Raw data'!$L$4:$L$267,0))),"")</f>
        <v>1.4662162162162162</v>
      </c>
      <c r="H44" s="442">
        <f t="array" ref="H44">IFERROR(IF($H$1="","",INDEX('Raw data'!$Q$4:$Q$267,MATCH('Body weight'!H$1&amp;$A$1&amp;$A44,'Raw data'!$K$4:$K$267&amp;'Raw data'!$L$2&amp;'Raw data'!$L$4:$L$267,0))),"")</f>
        <v>2.310810810810811</v>
      </c>
      <c r="I44" s="24"/>
    </row>
    <row r="45" spans="1:9" x14ac:dyDescent="0.25">
      <c r="A45" s="131">
        <f t="array" ref="A45">IFERROR(INDEX(Map!$V$2:$V$67,MATCH('Body weight'!$B45&amp;'Body weight'!$C45,Map!$W$2:$W$67&amp;Map!$X$2:$X$67,0)),"")</f>
        <v>36</v>
      </c>
      <c r="B45" s="24" t="str">
        <f>B41</f>
        <v>T4</v>
      </c>
      <c r="C45" s="216" t="s">
        <v>6</v>
      </c>
      <c r="D45" s="38">
        <f t="array" ref="D45">IFERROR(IF($D$1="","",INDEX('Raw data'!$F$4:$F$69,MATCH('Body weight'!$B45&amp;'Body weight'!$C45,'Raw data'!$B$4:$B$69&amp;'Raw data'!$C$4:$C$69,0))),"")</f>
        <v>4.5324999999999997E-2</v>
      </c>
      <c r="E45" s="419">
        <f t="array" ref="E45">IFERROR(IF($E$1="","",INDEX('Raw data'!$Q$4:$Q$267,MATCH('Body weight'!E$1&amp;$A$1&amp;$A45,'Raw data'!$K$4:$K$267&amp;'Raw data'!$L$2&amp;'Raw data'!$L$4:$L$267,0))),"")</f>
        <v>0.3389189189189189</v>
      </c>
      <c r="F45" s="419">
        <f t="array" ref="F45">IFERROR(IF($F$1="","",INDEX('Raw data'!$Q$4:$Q$267,MATCH('Body weight'!F$1&amp;$A$1&amp;$A45,'Raw data'!$K$4:$K$267&amp;'Raw data'!$L$2&amp;'Raw data'!$L$4:$L$267,0))),"")</f>
        <v>0.96756756756756745</v>
      </c>
      <c r="G45" s="419">
        <f t="array" ref="G45">IFERROR(IF($G$1="","",INDEX('Raw data'!$Q$4:$Q$267,MATCH('Body weight'!G$1&amp;$A$1&amp;$A45,'Raw data'!$K$4:$K$267&amp;'Raw data'!$L$2&amp;'Raw data'!$L$4:$L$267,0))),"")</f>
        <v>1.3499999999999999</v>
      </c>
      <c r="H45" s="442">
        <f t="array" ref="H45">IFERROR(IF($H$1="","",INDEX('Raw data'!$Q$4:$Q$267,MATCH('Body weight'!H$1&amp;$A$1&amp;$A45,'Raw data'!$K$4:$K$267&amp;'Raw data'!$L$2&amp;'Raw data'!$L$4:$L$267,0))),"")</f>
        <v>2.1624999999999996</v>
      </c>
      <c r="I45" s="24"/>
    </row>
    <row r="46" spans="1:9" x14ac:dyDescent="0.25">
      <c r="A46" s="131">
        <f t="array" ref="A46">IFERROR(INDEX(Map!$V$2:$V$67,MATCH('Body weight'!$B46&amp;'Body weight'!$C46,Map!$W$2:$W$67&amp;Map!$X$2:$X$67,0)),"")</f>
        <v>39</v>
      </c>
      <c r="B46" s="24" t="str">
        <f>B41</f>
        <v>T4</v>
      </c>
      <c r="C46" s="216" t="s">
        <v>7</v>
      </c>
      <c r="D46" s="38">
        <f t="array" ref="D46">IFERROR(IF($D$1="","",INDEX('Raw data'!$F$4:$F$69,MATCH('Body weight'!$B46&amp;'Body weight'!$C46,'Raw data'!$B$4:$B$69&amp;'Raw data'!$C$4:$C$69,0))),"")</f>
        <v>4.5499999999999999E-2</v>
      </c>
      <c r="E46" s="419">
        <f t="array" ref="E46">IFERROR(IF($E$1="","",INDEX('Raw data'!$Q$4:$Q$267,MATCH('Body weight'!E$1&amp;$A$1&amp;$A46,'Raw data'!$K$4:$K$267&amp;'Raw data'!$L$2&amp;'Raw data'!$L$4:$L$267,0))),"")</f>
        <v>0.3563157894736842</v>
      </c>
      <c r="F46" s="419">
        <f t="array" ref="F46">IFERROR(IF($F$1="","",INDEX('Raw data'!$Q$4:$Q$267,MATCH('Body weight'!F$1&amp;$A$1&amp;$A46,'Raw data'!$K$4:$K$267&amp;'Raw data'!$L$2&amp;'Raw data'!$L$4:$L$267,0))),"")</f>
        <v>0.99078947368421066</v>
      </c>
      <c r="G46" s="419">
        <f t="array" ref="G46">IFERROR(IF($G$1="","",INDEX('Raw data'!$Q$4:$Q$267,MATCH('Body weight'!G$1&amp;$A$1&amp;$A46,'Raw data'!$K$4:$K$267&amp;'Raw data'!$L$2&amp;'Raw data'!$L$4:$L$267,0))),"")</f>
        <v>1.4513513513513514</v>
      </c>
      <c r="H46" s="442">
        <f t="array" ref="H46">IFERROR(IF($H$1="","",INDEX('Raw data'!$Q$4:$Q$267,MATCH('Body weight'!H$1&amp;$A$1&amp;$A46,'Raw data'!$K$4:$K$267&amp;'Raw data'!$L$2&amp;'Raw data'!$L$4:$L$267,0))),"")</f>
        <v>2.2905405405405403</v>
      </c>
      <c r="I46" s="24"/>
    </row>
    <row r="47" spans="1:9" x14ac:dyDescent="0.25">
      <c r="A47" s="131">
        <f t="array" ref="A47">IFERROR(INDEX(Map!$V$2:$V$67,MATCH('Body weight'!$B47&amp;'Body weight'!$C47,Map!$W$2:$W$67&amp;Map!$X$2:$X$67,0)),"")</f>
        <v>48</v>
      </c>
      <c r="B47" s="24" t="str">
        <f>B41</f>
        <v>T4</v>
      </c>
      <c r="C47" s="216" t="s">
        <v>8</v>
      </c>
      <c r="D47" s="38">
        <f t="array" ref="D47">IFERROR(IF($D$1="","",INDEX('Raw data'!$F$4:$F$69,MATCH('Body weight'!$B47&amp;'Body weight'!$C47,'Raw data'!$B$4:$B$69&amp;'Raw data'!$C$4:$C$69,0))),"")</f>
        <v>4.5425E-2</v>
      </c>
      <c r="E47" s="419">
        <f t="array" ref="E47">IFERROR(IF($E$1="","",INDEX('Raw data'!$Q$4:$Q$267,MATCH('Body weight'!E$1&amp;$A$1&amp;$A47,'Raw data'!$K$4:$K$267&amp;'Raw data'!$L$2&amp;'Raw data'!$L$4:$L$267,0))),"")</f>
        <v>0.34447368421052632</v>
      </c>
      <c r="F47" s="419">
        <f t="array" ref="F47">IFERROR(IF($F$1="","",INDEX('Raw data'!$Q$4:$Q$267,MATCH('Body weight'!F$1&amp;$A$1&amp;$A47,'Raw data'!$K$4:$K$267&amp;'Raw data'!$L$2&amp;'Raw data'!$L$4:$L$267,0))),"")</f>
        <v>0.96184210526315783</v>
      </c>
      <c r="G47" s="419">
        <f t="array" ref="G47">IFERROR(IF($G$1="","",INDEX('Raw data'!$Q$4:$Q$267,MATCH('Body weight'!G$1&amp;$A$1&amp;$A47,'Raw data'!$K$4:$K$267&amp;'Raw data'!$L$2&amp;'Raw data'!$L$4:$L$267,0))),"")</f>
        <v>1.419736842105263</v>
      </c>
      <c r="H47" s="442">
        <f t="array" ref="H47">IFERROR(IF($H$1="","",INDEX('Raw data'!$Q$4:$Q$267,MATCH('Body weight'!H$1&amp;$A$1&amp;$A47,'Raw data'!$K$4:$K$267&amp;'Raw data'!$L$2&amp;'Raw data'!$L$4:$L$267,0))),"")</f>
        <v>2.2216216216216211</v>
      </c>
      <c r="I47" s="24"/>
    </row>
    <row r="48" spans="1:9" x14ac:dyDescent="0.25">
      <c r="A48" s="131">
        <f t="array" ref="A48">IFERROR(INDEX(Map!$V$2:$V$67,MATCH('Body weight'!$B48&amp;'Body weight'!$C48,Map!$W$2:$W$67&amp;Map!$X$2:$X$67,0)),"")</f>
        <v>54</v>
      </c>
      <c r="B48" s="24" t="str">
        <f>B41</f>
        <v>T4</v>
      </c>
      <c r="C48" s="216" t="s">
        <v>9</v>
      </c>
      <c r="D48" s="38">
        <f t="array" ref="D48">IFERROR(IF($D$1="","",INDEX('Raw data'!$F$4:$F$69,MATCH('Body weight'!$B48&amp;'Body weight'!$C48,'Raw data'!$B$4:$B$69&amp;'Raw data'!$C$4:$C$69,0))),"")</f>
        <v>4.5475000000000002E-2</v>
      </c>
      <c r="E48" s="419">
        <f t="array" ref="E48">IFERROR(IF($E$1="","",INDEX('Raw data'!$Q$4:$Q$267,MATCH('Body weight'!E$1&amp;$A$1&amp;$A48,'Raw data'!$K$4:$K$267&amp;'Raw data'!$L$2&amp;'Raw data'!$L$4:$L$267,0))),"")</f>
        <v>0.36552631578947364</v>
      </c>
      <c r="F48" s="419">
        <f t="array" ref="F48">IFERROR(IF($F$1="","",INDEX('Raw data'!$Q$4:$Q$267,MATCH('Body weight'!F$1&amp;$A$1&amp;$A48,'Raw data'!$K$4:$K$267&amp;'Raw data'!$L$2&amp;'Raw data'!$L$4:$L$267,0))),"")</f>
        <v>0.98918918918918908</v>
      </c>
      <c r="G48" s="419">
        <f t="array" ref="G48">IFERROR(IF($G$1="","",INDEX('Raw data'!$Q$4:$Q$267,MATCH('Body weight'!G$1&amp;$A$1&amp;$A48,'Raw data'!$K$4:$K$267&amp;'Raw data'!$L$2&amp;'Raw data'!$L$4:$L$267,0))),"")</f>
        <v>1.4930555555555556</v>
      </c>
      <c r="H48" s="442">
        <f t="array" ref="H48">IFERROR(IF($H$1="","",INDEX('Raw data'!$Q$4:$Q$267,MATCH('Body weight'!H$1&amp;$A$1&amp;$A48,'Raw data'!$K$4:$K$267&amp;'Raw data'!$L$2&amp;'Raw data'!$L$4:$L$267,0))),"")</f>
        <v>2.3277777777777775</v>
      </c>
      <c r="I48" s="24"/>
    </row>
    <row r="49" spans="1:9" x14ac:dyDescent="0.25">
      <c r="A49" s="432">
        <f t="array" ref="A49">IFERROR(INDEX(Map!$V$2:$V$67,MATCH('Body weight'!$B49&amp;'Body weight'!$C49,Map!$W$2:$W$67&amp;Map!$X$2:$X$67,0)),"")</f>
        <v>64</v>
      </c>
      <c r="B49" s="418" t="str">
        <f>B42</f>
        <v>T4</v>
      </c>
      <c r="C49" s="436" t="s">
        <v>22</v>
      </c>
      <c r="D49" s="419">
        <f t="array" ref="D49">IFERROR(IF($D$1="","",INDEX('Raw data'!$F$4:$F$69,MATCH('Body weight'!$B49&amp;'Body weight'!$C49,'Raw data'!$B$4:$B$69&amp;'Raw data'!$C$4:$C$69,0))),"")</f>
        <v>4.5499999999999999E-2</v>
      </c>
      <c r="E49" s="419">
        <f t="array" ref="E49">IFERROR(IF($E$1="","",INDEX('Raw data'!$Q$4:$Q$267,MATCH('Body weight'!E$1&amp;$A$1&amp;$A49,'Raw data'!$K$4:$K$267&amp;'Raw data'!$L$2&amp;'Raw data'!$L$4:$L$267,0))),"")</f>
        <v>0.35894736842105263</v>
      </c>
      <c r="F49" s="419">
        <f t="array" ref="F49">IFERROR(IF($F$1="","",INDEX('Raw data'!$Q$4:$Q$267,MATCH('Body weight'!F$1&amp;$A$1&amp;$A49,'Raw data'!$K$4:$K$267&amp;'Raw data'!$L$2&amp;'Raw data'!$L$4:$L$267,0))),"")</f>
        <v>0.99864864864864877</v>
      </c>
      <c r="G49" s="419">
        <f t="array" ref="G49">IFERROR(IF($G$1="","",INDEX('Raw data'!$Q$4:$Q$267,MATCH('Body weight'!G$1&amp;$A$1&amp;$A49,'Raw data'!$K$4:$K$267&amp;'Raw data'!$L$2&amp;'Raw data'!$L$4:$L$267,0))),"")</f>
        <v>1.4555555555555555</v>
      </c>
      <c r="H49" s="442">
        <f t="array" ref="H49">IFERROR(IF($H$1="","",INDEX('Raw data'!$Q$4:$Q$267,MATCH('Body weight'!H$1&amp;$A$1&amp;$A49,'Raw data'!$K$4:$K$267&amp;'Raw data'!$L$2&amp;'Raw data'!$L$4:$L$267,0))),"")</f>
        <v>2.3400000000000003</v>
      </c>
      <c r="I49" s="24"/>
    </row>
    <row r="50" spans="1:9" s="417" customFormat="1" x14ac:dyDescent="0.25">
      <c r="A50" s="432">
        <f t="array" ref="A50">IFERROR(INDEX(Map!$V$2:$V$67,MATCH('Body weight'!$B50&amp;'Body weight'!$C50,Map!$W$2:$W$67&amp;Map!$X$2:$X$67,0)),"")</f>
        <v>24</v>
      </c>
      <c r="B50" s="418" t="str">
        <f>B43</f>
        <v>T4</v>
      </c>
      <c r="C50" s="436" t="s">
        <v>101</v>
      </c>
      <c r="D50" s="419">
        <f t="array" ref="D50">IFERROR(IF($D$1="","",INDEX('Raw data'!$F$4:$F$69,MATCH('Body weight'!$B50&amp;'Body weight'!$C50,'Raw data'!$B$4:$B$69&amp;'Raw data'!$C$4:$C$69,0))),"")</f>
        <v>4.5950000000000005E-2</v>
      </c>
      <c r="E50" s="419">
        <f t="array" ref="E50">IFERROR(IF($E$1="","",INDEX('Raw data'!$Q$4:$Q$267,MATCH('Body weight'!E$1&amp;$A$1&amp;$A50,'Raw data'!$K$4:$K$267&amp;'Raw data'!$L$2&amp;'Raw data'!$L$4:$L$267,0))),"")</f>
        <v>0.35725000000000001</v>
      </c>
      <c r="F50" s="419">
        <f t="array" ref="F50">IFERROR(IF($F$1="","",INDEX('Raw data'!$Q$4:$Q$267,MATCH('Body weight'!F$1&amp;$A$1&amp;$A50,'Raw data'!$K$4:$K$267&amp;'Raw data'!$L$2&amp;'Raw data'!$L$4:$L$267,0))),"")</f>
        <v>0.97124999999999984</v>
      </c>
      <c r="G50" s="419">
        <f t="array" ref="G50">IFERROR(IF($G$1="","",INDEX('Raw data'!$Q$4:$Q$267,MATCH('Body weight'!G$1&amp;$A$1&amp;$A50,'Raw data'!$K$4:$K$267&amp;'Raw data'!$L$2&amp;'Raw data'!$L$4:$L$267,0))),"")</f>
        <v>1.4794871794871793</v>
      </c>
      <c r="H50" s="442">
        <f t="array" ref="H50">IFERROR(IF($H$1="","",INDEX('Raw data'!$Q$4:$Q$267,MATCH('Body weight'!H$1&amp;$A$1&amp;$A50,'Raw data'!$K$4:$K$267&amp;'Raw data'!$L$2&amp;'Raw data'!$L$4:$L$267,0))),"")</f>
        <v>2.3064102564102562</v>
      </c>
      <c r="I50" s="418"/>
    </row>
    <row r="51" spans="1:9" s="417" customFormat="1" x14ac:dyDescent="0.25">
      <c r="A51" s="446">
        <f t="array" ref="A51">IFERROR(INDEX(Map!$V$2:$V$67,MATCH('Body weight'!$B51&amp;'Body weight'!$C51,Map!$W$2:$W$67&amp;Map!$X$2:$X$67,0)),"")</f>
        <v>44</v>
      </c>
      <c r="B51" s="418" t="str">
        <f>B43</f>
        <v>T4</v>
      </c>
      <c r="C51" s="436" t="s">
        <v>102</v>
      </c>
      <c r="D51" s="434">
        <f t="array" ref="D51">IFERROR(IF($D$1="","",INDEX('Raw data'!$F$4:$F$69,MATCH('Body weight'!$B51&amp;'Body weight'!$C51,'Raw data'!$B$4:$B$69&amp;'Raw data'!$C$4:$C$69,0))),"")</f>
        <v>4.5999999999999999E-2</v>
      </c>
      <c r="E51" s="435">
        <f t="array" ref="E51">IFERROR(IF($E$1="","",INDEX('Raw data'!$Q$4:$Q$267,MATCH('Body weight'!E$1&amp;$A$1&amp;$A51,'Raw data'!$K$4:$K$267&amp;'Raw data'!$L$2&amp;'Raw data'!$L$4:$L$267,0))),"")</f>
        <v>0.38179487179487176</v>
      </c>
      <c r="F51" s="435">
        <f t="array" ref="F51">IFERROR(IF($F$1="","",INDEX('Raw data'!$Q$4:$Q$267,MATCH('Body weight'!F$1&amp;$A$1&amp;$A51,'Raw data'!$K$4:$K$267&amp;'Raw data'!$L$2&amp;'Raw data'!$L$4:$L$267,0))),"")</f>
        <v>1.0282051282051281</v>
      </c>
      <c r="G51" s="435">
        <f t="array" ref="G51">IFERROR(IF($G$1="","",INDEX('Raw data'!$Q$4:$Q$267,MATCH('Body weight'!G$1&amp;$A$1&amp;$A51,'Raw data'!$K$4:$K$267&amp;'Raw data'!$L$2&amp;'Raw data'!$L$4:$L$267,0))),"")</f>
        <v>1.5592105263157894</v>
      </c>
      <c r="H51" s="443">
        <f t="array" ref="H51">IFERROR(IF($H$1="","",INDEX('Raw data'!$Q$4:$Q$267,MATCH('Body weight'!H$1&amp;$A$1&amp;$A51,'Raw data'!$K$4:$K$267&amp;'Raw data'!$L$2&amp;'Raw data'!$L$4:$L$267,0))),"")</f>
        <v>2.4144736842105261</v>
      </c>
      <c r="I51" s="418"/>
    </row>
    <row r="52" spans="1:9" s="417" customFormat="1" x14ac:dyDescent="0.25">
      <c r="A52" s="432"/>
      <c r="B52" s="462" t="s">
        <v>82</v>
      </c>
      <c r="C52" s="463"/>
      <c r="D52" s="437" t="str">
        <f>IF($D$1="","",(ROUND(AVERAGE(D41:D51),3)&amp;" ± "&amp;(ROUND(STDEV(D41:D51),3))))</f>
        <v>0,046 ± 0</v>
      </c>
      <c r="E52" s="437" t="str">
        <f>IF($E$1="","",(ROUND(AVERAGE(E41:E51),3)&amp;" ± "&amp;(ROUND(STDEV(E41:E51),3))))</f>
        <v>0,353 ± 0,017</v>
      </c>
      <c r="F52" s="437" t="str">
        <f>IF($F$1="","",(ROUND(AVERAGE(F41:F51),3)&amp;" ± "&amp;(ROUND(STDEV(F41:F51),3))))</f>
        <v>0,972 ± 0,032</v>
      </c>
      <c r="G52" s="437" t="str">
        <f>IF($G$1="","",(ROUND(AVERAGE(G41:G51),3)&amp;" ± "&amp;(ROUND(STDEV(G41:G51),3))))</f>
        <v>1,444 ± 0,062</v>
      </c>
      <c r="H52" s="444" t="str">
        <f>IF($H$1="","",(ROUND(AVERAGE(H41:H51),3)&amp;" ± "&amp;(ROUND(STDEV(H41:H51),3))))</f>
        <v>2,265 ± 0,095</v>
      </c>
      <c r="I52" s="418"/>
    </row>
    <row r="53" spans="1:9" s="417" customFormat="1" ht="15.75" thickBot="1" x14ac:dyDescent="0.3">
      <c r="A53" s="433"/>
      <c r="B53" s="460" t="s">
        <v>83</v>
      </c>
      <c r="C53" s="461"/>
      <c r="D53" s="438">
        <f>IF($D$1="","",STDEV(D41:D51)/(AVERAGE(D41:D51)))</f>
        <v>5.7928163559911481E-3</v>
      </c>
      <c r="E53" s="438">
        <f>IF($E$1="","",STDEV(E41:E51)/(AVERAGE(E41:E51)))</f>
        <v>4.83537382154728E-2</v>
      </c>
      <c r="F53" s="438">
        <f>IF($F$1="","",STDEV(F41:F51)/(AVERAGE(F41:F51)))</f>
        <v>3.2650203609262421E-2</v>
      </c>
      <c r="G53" s="438">
        <f>IF($G$1="","",STDEV(G41:G51)/(AVERAGE(G41:G51)))</f>
        <v>4.3023041441310965E-2</v>
      </c>
      <c r="H53" s="445">
        <f>IF($H$1="","",STDEV(H41:H51)/(AVERAGE(H41:H51)))</f>
        <v>4.1846637313165465E-2</v>
      </c>
      <c r="I53" s="418"/>
    </row>
    <row r="54" spans="1:9" x14ac:dyDescent="0.25">
      <c r="A54" s="130">
        <f t="array" ref="A54">IFERROR(INDEX(Map!$V$2:$V$67,MATCH('Body weight'!$B54&amp;'Body weight'!$C54,Map!$W$2:$W$67&amp;Map!$X$2:$X$67,0)),"")</f>
        <v>3</v>
      </c>
      <c r="B54" s="41" t="s">
        <v>14</v>
      </c>
      <c r="C54" s="219" t="s">
        <v>2</v>
      </c>
      <c r="D54" s="220">
        <f t="array" ref="D54">IFERROR(IF($D$1="","",INDEX('Raw data'!$F$4:$F$69,MATCH('Body weight'!$B54&amp;'Body weight'!$C54,'Raw data'!$B$4:$B$69&amp;'Raw data'!$C$4:$C$69,0))),"")</f>
        <v>4.5999999999999999E-2</v>
      </c>
      <c r="E54" s="440">
        <f t="array" ref="E54">IFERROR(IF($E$1="","",INDEX('Raw data'!$Q$4:$Q$267,MATCH('Body weight'!E$1&amp;$A$1&amp;$A54,'Raw data'!$K$4:$K$267&amp;'Raw data'!$L$2&amp;'Raw data'!$L$4:$L$267,0))),"")</f>
        <v>0.34297297297297297</v>
      </c>
      <c r="F54" s="440">
        <f t="array" ref="F54">IFERROR(IF($F$1="","",INDEX('Raw data'!$Q$4:$Q$267,MATCH('Body weight'!F$1&amp;$A$1&amp;$A54,'Raw data'!$K$4:$K$267&amp;'Raw data'!$L$2&amp;'Raw data'!$L$4:$L$267,0))),"")</f>
        <v>0.9458333333333333</v>
      </c>
      <c r="G54" s="440">
        <f t="array" ref="G54">IFERROR(IF($G$1="","",INDEX('Raw data'!$Q$4:$Q$267,MATCH('Body weight'!G$1&amp;$A$1&amp;$A54,'Raw data'!$K$4:$K$267&amp;'Raw data'!$L$2&amp;'Raw data'!$L$4:$L$267,0))),"")</f>
        <v>1.4319444444444445</v>
      </c>
      <c r="H54" s="441">
        <f t="array" ref="H54">IFERROR(IF($H$1="","",INDEX('Raw data'!$Q$4:$Q$267,MATCH('Body weight'!H$1&amp;$A$1&amp;$A54,'Raw data'!$K$4:$K$267&amp;'Raw data'!$L$2&amp;'Raw data'!$L$4:$L$267,0))),"")</f>
        <v>2.2814285714285711</v>
      </c>
      <c r="I54" s="24"/>
    </row>
    <row r="55" spans="1:9" x14ac:dyDescent="0.25">
      <c r="A55" s="131">
        <f t="array" ref="A55">IFERROR(INDEX(Map!$V$2:$V$67,MATCH('Body weight'!$B55&amp;'Body weight'!$C55,Map!$W$2:$W$67&amp;Map!$X$2:$X$67,0)),"")</f>
        <v>14</v>
      </c>
      <c r="B55" s="24" t="str">
        <f>B54</f>
        <v>T5</v>
      </c>
      <c r="C55" s="216" t="s">
        <v>3</v>
      </c>
      <c r="D55" s="38">
        <f t="array" ref="D55">IFERROR(IF($D$1="","",INDEX('Raw data'!$F$4:$F$69,MATCH('Body weight'!$B55&amp;'Body weight'!$C55,'Raw data'!$B$4:$B$69&amp;'Raw data'!$C$4:$C$69,0))),"")</f>
        <v>4.5650000000000003E-2</v>
      </c>
      <c r="E55" s="419">
        <f t="array" ref="E55">IFERROR(IF($E$1="","",INDEX('Raw data'!$Q$4:$Q$267,MATCH('Body weight'!E$1&amp;$A$1&amp;$A55,'Raw data'!$K$4:$K$267&amp;'Raw data'!$L$2&amp;'Raw data'!$L$4:$L$267,0))),"")</f>
        <v>0.36128205128205121</v>
      </c>
      <c r="F55" s="419">
        <f t="array" ref="F55">IFERROR(IF($F$1="","",INDEX('Raw data'!$Q$4:$Q$267,MATCH('Body weight'!F$1&amp;$A$1&amp;$A55,'Raw data'!$K$4:$K$267&amp;'Raw data'!$L$2&amp;'Raw data'!$L$4:$L$267,0))),"")</f>
        <v>0.9705128205128204</v>
      </c>
      <c r="G55" s="419">
        <f t="array" ref="G55">IFERROR(IF($G$1="","",INDEX('Raw data'!$Q$4:$Q$267,MATCH('Body weight'!G$1&amp;$A$1&amp;$A55,'Raw data'!$K$4:$K$267&amp;'Raw data'!$L$2&amp;'Raw data'!$L$4:$L$267,0))),"")</f>
        <v>1.4486486486486487</v>
      </c>
      <c r="H55" s="442">
        <f t="array" ref="H55">IFERROR(IF($H$1="","",INDEX('Raw data'!$Q$4:$Q$267,MATCH('Body weight'!H$1&amp;$A$1&amp;$A55,'Raw data'!$K$4:$K$267&amp;'Raw data'!$L$2&amp;'Raw data'!$L$4:$L$267,0))),"")</f>
        <v>2.275675675675676</v>
      </c>
      <c r="I55" s="24"/>
    </row>
    <row r="56" spans="1:9" x14ac:dyDescent="0.25">
      <c r="A56" s="131">
        <f t="array" ref="A56">IFERROR(INDEX(Map!$V$2:$V$67,MATCH('Body weight'!$B56&amp;'Body weight'!$C56,Map!$W$2:$W$67&amp;Map!$X$2:$X$67,0)),"")</f>
        <v>18</v>
      </c>
      <c r="B56" s="24" t="str">
        <f>B54</f>
        <v>T5</v>
      </c>
      <c r="C56" s="216" t="s">
        <v>4</v>
      </c>
      <c r="D56" s="38">
        <f t="array" ref="D56">IFERROR(IF($D$1="","",INDEX('Raw data'!$F$4:$F$69,MATCH('Body weight'!$B56&amp;'Body weight'!$C56,'Raw data'!$B$4:$B$69&amp;'Raw data'!$C$4:$C$69,0))),"")</f>
        <v>4.5574999999999997E-2</v>
      </c>
      <c r="E56" s="419">
        <f t="array" ref="E56">IFERROR(IF($E$1="","",INDEX('Raw data'!$Q$4:$Q$267,MATCH('Body weight'!E$1&amp;$A$1&amp;$A56,'Raw data'!$K$4:$K$267&amp;'Raw data'!$L$2&amp;'Raw data'!$L$4:$L$267,0))),"")</f>
        <v>0.35599999999999998</v>
      </c>
      <c r="F56" s="419">
        <f t="array" ref="F56">IFERROR(IF($F$1="","",INDEX('Raw data'!$Q$4:$Q$267,MATCH('Body weight'!F$1&amp;$A$1&amp;$A56,'Raw data'!$K$4:$K$267&amp;'Raw data'!$L$2&amp;'Raw data'!$L$4:$L$267,0))),"")</f>
        <v>0.96250000000000002</v>
      </c>
      <c r="G56" s="419">
        <f t="array" ref="G56">IFERROR(IF($G$1="","",INDEX('Raw data'!$Q$4:$Q$267,MATCH('Body weight'!G$1&amp;$A$1&amp;$A56,'Raw data'!$K$4:$K$267&amp;'Raw data'!$L$2&amp;'Raw data'!$L$4:$L$267,0))),"")</f>
        <v>1.4962499999999999</v>
      </c>
      <c r="H56" s="442">
        <f t="array" ref="H56">IFERROR(IF($H$1="","",INDEX('Raw data'!$Q$4:$Q$267,MATCH('Body weight'!H$1&amp;$A$1&amp;$A56,'Raw data'!$K$4:$K$267&amp;'Raw data'!$L$2&amp;'Raw data'!$L$4:$L$267,0))),"")</f>
        <v>2.3333333333333335</v>
      </c>
      <c r="I56" s="24"/>
    </row>
    <row r="57" spans="1:9" x14ac:dyDescent="0.25">
      <c r="A57" s="131">
        <f t="array" ref="A57">IFERROR(INDEX(Map!$V$2:$V$67,MATCH('Body weight'!$B57&amp;'Body weight'!$C57,Map!$W$2:$W$67&amp;Map!$X$2:$X$67,0)),"")</f>
        <v>28</v>
      </c>
      <c r="B57" s="24" t="str">
        <f>B54</f>
        <v>T5</v>
      </c>
      <c r="C57" s="216" t="s">
        <v>5</v>
      </c>
      <c r="D57" s="38">
        <f t="array" ref="D57">IFERROR(IF($D$1="","",INDEX('Raw data'!$F$4:$F$69,MATCH('Body weight'!$B57&amp;'Body weight'!$C57,'Raw data'!$B$4:$B$69&amp;'Raw data'!$C$4:$C$69,0))),"")</f>
        <v>4.5749999999999999E-2</v>
      </c>
      <c r="E57" s="419">
        <f t="array" ref="E57">IFERROR(IF($E$1="","",INDEX('Raw data'!$Q$4:$Q$267,MATCH('Body weight'!E$1&amp;$A$1&amp;$A57,'Raw data'!$K$4:$K$267&amp;'Raw data'!$L$2&amp;'Raw data'!$L$4:$L$267,0))),"")</f>
        <v>0.35349999999999998</v>
      </c>
      <c r="F57" s="419">
        <f t="array" ref="F57">IFERROR(IF($F$1="","",INDEX('Raw data'!$Q$4:$Q$267,MATCH('Body weight'!F$1&amp;$A$1&amp;$A57,'Raw data'!$K$4:$K$267&amp;'Raw data'!$L$2&amp;'Raw data'!$L$4:$L$267,0))),"")</f>
        <v>0.9837499999999999</v>
      </c>
      <c r="G57" s="419">
        <f t="array" ref="G57">IFERROR(IF($G$1="","",INDEX('Raw data'!$Q$4:$Q$267,MATCH('Body weight'!G$1&amp;$A$1&amp;$A57,'Raw data'!$K$4:$K$267&amp;'Raw data'!$L$2&amp;'Raw data'!$L$4:$L$267,0))),"")</f>
        <v>1.48875</v>
      </c>
      <c r="H57" s="442">
        <f t="array" ref="H57">IFERROR(IF($H$1="","",INDEX('Raw data'!$Q$4:$Q$267,MATCH('Body weight'!H$1&amp;$A$1&amp;$A57,'Raw data'!$K$4:$K$267&amp;'Raw data'!$L$2&amp;'Raw data'!$L$4:$L$267,0))),"")</f>
        <v>2.2013157894736843</v>
      </c>
      <c r="I57" s="24"/>
    </row>
    <row r="58" spans="1:9" x14ac:dyDescent="0.25">
      <c r="A58" s="131">
        <f t="array" ref="A58">IFERROR(INDEX(Map!$V$2:$V$67,MATCH('Body weight'!$B58&amp;'Body weight'!$C58,Map!$W$2:$W$67&amp;Map!$X$2:$X$67,0)),"")</f>
        <v>35</v>
      </c>
      <c r="B58" s="24" t="str">
        <f>B54</f>
        <v>T5</v>
      </c>
      <c r="C58" s="216" t="s">
        <v>6</v>
      </c>
      <c r="D58" s="38">
        <f t="array" ref="D58">IFERROR(IF($D$1="","",INDEX('Raw data'!$F$4:$F$69,MATCH('Body weight'!$B58&amp;'Body weight'!$C58,'Raw data'!$B$4:$B$69&amp;'Raw data'!$C$4:$C$69,0))),"")</f>
        <v>4.5499999999999999E-2</v>
      </c>
      <c r="E58" s="419">
        <f t="array" ref="E58">IFERROR(IF($E$1="","",INDEX('Raw data'!$Q$4:$Q$267,MATCH('Body weight'!E$1&amp;$A$1&amp;$A58,'Raw data'!$K$4:$K$267&amp;'Raw data'!$L$2&amp;'Raw data'!$L$4:$L$267,0))),"")</f>
        <v>0.35648648648648645</v>
      </c>
      <c r="F58" s="419">
        <f t="array" ref="F58">IFERROR(IF($F$1="","",INDEX('Raw data'!$Q$4:$Q$267,MATCH('Body weight'!F$1&amp;$A$1&amp;$A58,'Raw data'!$K$4:$K$267&amp;'Raw data'!$L$2&amp;'Raw data'!$L$4:$L$267,0))),"")</f>
        <v>1.0297297297297296</v>
      </c>
      <c r="G58" s="419">
        <f t="array" ref="G58">IFERROR(IF($G$1="","",INDEX('Raw data'!$Q$4:$Q$267,MATCH('Body weight'!G$1&amp;$A$1&amp;$A58,'Raw data'!$K$4:$K$267&amp;'Raw data'!$L$2&amp;'Raw data'!$L$4:$L$267,0))),"")</f>
        <v>1.4594594594594594</v>
      </c>
      <c r="H58" s="442">
        <f t="array" ref="H58">IFERROR(IF($H$1="","",INDEX('Raw data'!$Q$4:$Q$267,MATCH('Body weight'!H$1&amp;$A$1&amp;$A58,'Raw data'!$K$4:$K$267&amp;'Raw data'!$L$2&amp;'Raw data'!$L$4:$L$267,0))),"")</f>
        <v>2.2635135135135136</v>
      </c>
      <c r="I58" s="24"/>
    </row>
    <row r="59" spans="1:9" x14ac:dyDescent="0.25">
      <c r="A59" s="131">
        <f t="array" ref="A59">IFERROR(INDEX(Map!$V$2:$V$67,MATCH('Body weight'!$B59&amp;'Body weight'!$C59,Map!$W$2:$W$67&amp;Map!$X$2:$X$67,0)),"")</f>
        <v>42</v>
      </c>
      <c r="B59" s="24" t="str">
        <f>B54</f>
        <v>T5</v>
      </c>
      <c r="C59" s="216" t="s">
        <v>7</v>
      </c>
      <c r="D59" s="38">
        <f t="array" ref="D59">IFERROR(IF($D$1="","",INDEX('Raw data'!$F$4:$F$69,MATCH('Body weight'!$B59&amp;'Body weight'!$C59,'Raw data'!$B$4:$B$69&amp;'Raw data'!$C$4:$C$69,0))),"")</f>
        <v>4.5400000000000003E-2</v>
      </c>
      <c r="E59" s="419">
        <f t="array" ref="E59">IFERROR(IF($E$1="","",INDEX('Raw data'!$Q$4:$Q$267,MATCH('Body weight'!E$1&amp;$A$1&amp;$A59,'Raw data'!$K$4:$K$267&amp;'Raw data'!$L$2&amp;'Raw data'!$L$4:$L$267,0))),"")</f>
        <v>0.36256410256410254</v>
      </c>
      <c r="F59" s="419">
        <f t="array" ref="F59">IFERROR(IF($F$1="","",INDEX('Raw data'!$Q$4:$Q$267,MATCH('Body weight'!F$1&amp;$A$1&amp;$A59,'Raw data'!$K$4:$K$267&amp;'Raw data'!$L$2&amp;'Raw data'!$L$4:$L$267,0))),"")</f>
        <v>0.96794871794871795</v>
      </c>
      <c r="G59" s="419">
        <f t="array" ref="G59">IFERROR(IF($G$1="","",INDEX('Raw data'!$Q$4:$Q$267,MATCH('Body weight'!G$1&amp;$A$1&amp;$A59,'Raw data'!$K$4:$K$267&amp;'Raw data'!$L$2&amp;'Raw data'!$L$4:$L$267,0))),"")</f>
        <v>1.4717948717948717</v>
      </c>
      <c r="H59" s="442">
        <f t="array" ref="H59">IFERROR(IF($H$1="","",INDEX('Raw data'!$Q$4:$Q$267,MATCH('Body weight'!H$1&amp;$A$1&amp;$A59,'Raw data'!$K$4:$K$267&amp;'Raw data'!$L$2&amp;'Raw data'!$L$4:$L$267,0))),"")</f>
        <v>2.2448717948717949</v>
      </c>
      <c r="I59" s="24"/>
    </row>
    <row r="60" spans="1:9" x14ac:dyDescent="0.25">
      <c r="A60" s="131">
        <f t="array" ref="A60">IFERROR(INDEX(Map!$V$2:$V$67,MATCH('Body weight'!$B60&amp;'Body weight'!$C60,Map!$W$2:$W$67&amp;Map!$X$2:$X$67,0)),"")</f>
        <v>49</v>
      </c>
      <c r="B60" s="24" t="str">
        <f>B54</f>
        <v>T5</v>
      </c>
      <c r="C60" s="216" t="s">
        <v>8</v>
      </c>
      <c r="D60" s="38">
        <f t="array" ref="D60">IFERROR(IF($D$1="","",INDEX('Raw data'!$F$4:$F$69,MATCH('Body weight'!$B60&amp;'Body weight'!$C60,'Raw data'!$B$4:$B$69&amp;'Raw data'!$C$4:$C$69,0))),"")</f>
        <v>4.5524999999999996E-2</v>
      </c>
      <c r="E60" s="419">
        <f t="array" ref="E60">IFERROR(IF($E$1="","",INDEX('Raw data'!$Q$4:$Q$267,MATCH('Body weight'!E$1&amp;$A$1&amp;$A60,'Raw data'!$K$4:$K$267&amp;'Raw data'!$L$2&amp;'Raw data'!$L$4:$L$267,0))),"")</f>
        <v>0.34974358974358971</v>
      </c>
      <c r="F60" s="419">
        <f t="array" ref="F60">IFERROR(IF($F$1="","",INDEX('Raw data'!$Q$4:$Q$267,MATCH('Body weight'!F$1&amp;$A$1&amp;$A60,'Raw data'!$K$4:$K$267&amp;'Raw data'!$L$2&amp;'Raw data'!$L$4:$L$267,0))),"")</f>
        <v>0.96666666666666679</v>
      </c>
      <c r="G60" s="419">
        <f t="array" ref="G60">IFERROR(IF($G$1="","",INDEX('Raw data'!$Q$4:$Q$267,MATCH('Body weight'!G$1&amp;$A$1&amp;$A60,'Raw data'!$K$4:$K$267&amp;'Raw data'!$L$2&amp;'Raw data'!$L$4:$L$267,0))),"")</f>
        <v>1.4342105263157894</v>
      </c>
      <c r="H60" s="442">
        <f t="array" ref="H60">IFERROR(IF($H$1="","",INDEX('Raw data'!$Q$4:$Q$267,MATCH('Body weight'!H$1&amp;$A$1&amp;$A60,'Raw data'!$K$4:$K$267&amp;'Raw data'!$L$2&amp;'Raw data'!$L$4:$L$267,0))),"")</f>
        <v>2.2434210526315788</v>
      </c>
      <c r="I60" s="24"/>
    </row>
    <row r="61" spans="1:9" x14ac:dyDescent="0.25">
      <c r="A61" s="131">
        <f t="array" ref="A61">IFERROR(INDEX(Map!$V$2:$V$67,MATCH('Body weight'!$B61&amp;'Body weight'!$C61,Map!$W$2:$W$67&amp;Map!$X$2:$X$67,0)),"")</f>
        <v>53</v>
      </c>
      <c r="B61" s="24" t="str">
        <f>B54</f>
        <v>T5</v>
      </c>
      <c r="C61" s="216" t="s">
        <v>9</v>
      </c>
      <c r="D61" s="38">
        <f t="array" ref="D61">IFERROR(IF($D$1="","",INDEX('Raw data'!$F$4:$F$69,MATCH('Body weight'!$B61&amp;'Body weight'!$C61,'Raw data'!$B$4:$B$69&amp;'Raw data'!$C$4:$C$69,0))),"")</f>
        <v>4.5624999999999999E-2</v>
      </c>
      <c r="E61" s="419">
        <f t="array" ref="E61">IFERROR(IF($E$1="","",INDEX('Raw data'!$Q$4:$Q$267,MATCH('Body weight'!E$1&amp;$A$1&amp;$A61,'Raw data'!$K$4:$K$267&amp;'Raw data'!$L$2&amp;'Raw data'!$L$4:$L$267,0))),"")</f>
        <v>0.34717948717948716</v>
      </c>
      <c r="F61" s="419">
        <f t="array" ref="F61">IFERROR(IF($F$1="","",INDEX('Raw data'!$Q$4:$Q$267,MATCH('Body weight'!F$1&amp;$A$1&amp;$A61,'Raw data'!$K$4:$K$267&amp;'Raw data'!$L$2&amp;'Raw data'!$L$4:$L$267,0))),"")</f>
        <v>0.96153846153846156</v>
      </c>
      <c r="G61" s="419">
        <f t="array" ref="G61">IFERROR(IF($G$1="","",INDEX('Raw data'!$Q$4:$Q$267,MATCH('Body weight'!G$1&amp;$A$1&amp;$A61,'Raw data'!$K$4:$K$267&amp;'Raw data'!$L$2&amp;'Raw data'!$L$4:$L$267,0))),"")</f>
        <v>1.4487179487179487</v>
      </c>
      <c r="H61" s="442">
        <f t="array" ref="H61">IFERROR(IF($H$1="","",INDEX('Raw data'!$Q$4:$Q$267,MATCH('Body weight'!H$1&amp;$A$1&amp;$A61,'Raw data'!$K$4:$K$267&amp;'Raw data'!$L$2&amp;'Raw data'!$L$4:$L$267,0))),"")</f>
        <v>2.3179487179487182</v>
      </c>
      <c r="I61" s="24"/>
    </row>
    <row r="62" spans="1:9" x14ac:dyDescent="0.25">
      <c r="A62" s="432">
        <f t="array" ref="A62">IFERROR(INDEX(Map!$V$2:$V$67,MATCH('Body weight'!$B62&amp;'Body weight'!$C62,Map!$W$2:$W$67&amp;Map!$X$2:$X$67,0)),"")</f>
        <v>60</v>
      </c>
      <c r="B62" s="418" t="str">
        <f>B55</f>
        <v>T5</v>
      </c>
      <c r="C62" s="436" t="s">
        <v>22</v>
      </c>
      <c r="D62" s="419">
        <f t="array" ref="D62">IFERROR(IF($D$1="","",INDEX('Raw data'!$F$4:$F$69,MATCH('Body weight'!$B62&amp;'Body weight'!$C62,'Raw data'!$B$4:$B$69&amp;'Raw data'!$C$4:$C$69,0))),"")</f>
        <v>4.53E-2</v>
      </c>
      <c r="E62" s="419">
        <f t="array" ref="E62">IFERROR(IF($E$1="","",INDEX('Raw data'!$Q$4:$Q$267,MATCH('Body weight'!E$1&amp;$A$1&amp;$A62,'Raw data'!$K$4:$K$267&amp;'Raw data'!$L$2&amp;'Raw data'!$L$4:$L$267,0))),"")</f>
        <v>0.36724999999999997</v>
      </c>
      <c r="F62" s="419">
        <f t="array" ref="F62">IFERROR(IF($F$1="","",INDEX('Raw data'!$Q$4:$Q$267,MATCH('Body weight'!F$1&amp;$A$1&amp;$A62,'Raw data'!$K$4:$K$267&amp;'Raw data'!$L$2&amp;'Raw data'!$L$4:$L$267,0))),"")</f>
        <v>0.99487179487179478</v>
      </c>
      <c r="G62" s="419">
        <f t="array" ref="G62">IFERROR(IF($G$1="","",INDEX('Raw data'!$Q$4:$Q$267,MATCH('Body weight'!G$1&amp;$A$1&amp;$A62,'Raw data'!$K$4:$K$267&amp;'Raw data'!$L$2&amp;'Raw data'!$L$4:$L$267,0))),"")</f>
        <v>1.4653846153846153</v>
      </c>
      <c r="H62" s="442">
        <f t="array" ref="H62">IFERROR(IF($H$1="","",INDEX('Raw data'!$Q$4:$Q$267,MATCH('Body weight'!H$1&amp;$A$1&amp;$A62,'Raw data'!$K$4:$K$267&amp;'Raw data'!$L$2&amp;'Raw data'!$L$4:$L$267,0))),"")</f>
        <v>2.3263157894736843</v>
      </c>
      <c r="I62" s="24"/>
    </row>
    <row r="63" spans="1:9" s="417" customFormat="1" x14ac:dyDescent="0.25">
      <c r="A63" s="432">
        <f t="array" ref="A63">IFERROR(INDEX(Map!$V$2:$V$67,MATCH('Body weight'!$B63&amp;'Body weight'!$C63,Map!$W$2:$W$67&amp;Map!$X$2:$X$67,0)),"")</f>
        <v>23</v>
      </c>
      <c r="B63" s="418" t="str">
        <f>B56</f>
        <v>T5</v>
      </c>
      <c r="C63" s="436" t="s">
        <v>101</v>
      </c>
      <c r="D63" s="419">
        <f t="array" ref="D63">IFERROR(IF($D$1="","",INDEX('Raw data'!$F$4:$F$69,MATCH('Body weight'!$B63&amp;'Body weight'!$C63,'Raw data'!$B$4:$B$69&amp;'Raw data'!$C$4:$C$69,0))),"")</f>
        <v>4.5675E-2</v>
      </c>
      <c r="E63" s="419">
        <f t="array" ref="E63">IFERROR(IF($E$1="","",INDEX('Raw data'!$Q$4:$Q$267,MATCH('Body weight'!E$1&amp;$A$1&amp;$A63,'Raw data'!$K$4:$K$267&amp;'Raw data'!$L$2&amp;'Raw data'!$L$4:$L$267,0))),"")</f>
        <v>0.3561538461538461</v>
      </c>
      <c r="F63" s="419">
        <f t="array" ref="F63">IFERROR(IF($F$1="","",INDEX('Raw data'!$Q$4:$Q$267,MATCH('Body weight'!F$1&amp;$A$1&amp;$A63,'Raw data'!$K$4:$K$267&amp;'Raw data'!$L$2&amp;'Raw data'!$L$4:$L$267,0))),"")</f>
        <v>0.94102564102564112</v>
      </c>
      <c r="G63" s="419">
        <f t="array" ref="G63">IFERROR(IF($G$1="","",INDEX('Raw data'!$Q$4:$Q$267,MATCH('Body weight'!G$1&amp;$A$1&amp;$A63,'Raw data'!$K$4:$K$267&amp;'Raw data'!$L$2&amp;'Raw data'!$L$4:$L$267,0))),"")</f>
        <v>1.4551282051282048</v>
      </c>
      <c r="H63" s="442">
        <f t="array" ref="H63">IFERROR(IF($H$1="","",INDEX('Raw data'!$Q$4:$Q$267,MATCH('Body weight'!H$1&amp;$A$1&amp;$A63,'Raw data'!$K$4:$K$267&amp;'Raw data'!$L$2&amp;'Raw data'!$L$4:$L$267,0))),"")</f>
        <v>2.2705128205128209</v>
      </c>
      <c r="I63" s="418"/>
    </row>
    <row r="64" spans="1:9" s="417" customFormat="1" x14ac:dyDescent="0.25">
      <c r="A64" s="446">
        <f t="array" ref="A64">IFERROR(INDEX(Map!$V$2:$V$67,MATCH('Body weight'!$B64&amp;'Body weight'!$C64,Map!$W$2:$W$67&amp;Map!$X$2:$X$67,0)),"")</f>
        <v>22</v>
      </c>
      <c r="B64" s="418" t="str">
        <f>B56</f>
        <v>T5</v>
      </c>
      <c r="C64" s="436" t="s">
        <v>102</v>
      </c>
      <c r="D64" s="434">
        <f t="array" ref="D64">IFERROR(IF($D$1="","",INDEX('Raw data'!$F$4:$F$69,MATCH('Body weight'!$B64&amp;'Body weight'!$C64,'Raw data'!$B$4:$B$69&amp;'Raw data'!$C$4:$C$69,0))),"")</f>
        <v>4.5725000000000002E-2</v>
      </c>
      <c r="E64" s="435">
        <f t="array" ref="E64">IFERROR(IF($E$1="","",INDEX('Raw data'!$Q$4:$Q$267,MATCH('Body weight'!E$1&amp;$A$1&amp;$A64,'Raw data'!$K$4:$K$267&amp;'Raw data'!$L$2&amp;'Raw data'!$L$4:$L$267,0))),"")</f>
        <v>0.33849999999999997</v>
      </c>
      <c r="F64" s="435">
        <f t="array" ref="F64">IFERROR(IF($F$1="","",INDEX('Raw data'!$Q$4:$Q$267,MATCH('Body weight'!F$1&amp;$A$1&amp;$A64,'Raw data'!$K$4:$K$267&amp;'Raw data'!$L$2&amp;'Raw data'!$L$4:$L$267,0))),"")</f>
        <v>0.89375000000000004</v>
      </c>
      <c r="G64" s="435">
        <f t="array" ref="G64">IFERROR(IF($G$1="","",INDEX('Raw data'!$Q$4:$Q$267,MATCH('Body weight'!G$1&amp;$A$1&amp;$A64,'Raw data'!$K$4:$K$267&amp;'Raw data'!$L$2&amp;'Raw data'!$L$4:$L$267,0))),"")</f>
        <v>1.31025641025641</v>
      </c>
      <c r="H64" s="443">
        <f t="array" ref="H64">IFERROR(IF($H$1="","",INDEX('Raw data'!$Q$4:$Q$267,MATCH('Body weight'!H$1&amp;$A$1&amp;$A64,'Raw data'!$K$4:$K$267&amp;'Raw data'!$L$2&amp;'Raw data'!$L$4:$L$267,0))),"")</f>
        <v>2.1407894736842104</v>
      </c>
      <c r="I64" s="418"/>
    </row>
    <row r="65" spans="1:9" s="417" customFormat="1" x14ac:dyDescent="0.25">
      <c r="A65" s="432"/>
      <c r="B65" s="462" t="s">
        <v>82</v>
      </c>
      <c r="C65" s="463"/>
      <c r="D65" s="437" t="str">
        <f>IF($D$1="","",(ROUND(AVERAGE(D54:D64),3)&amp;" ± "&amp;(ROUND(STDEV(D54:D64),3))))</f>
        <v>0,046 ± 0</v>
      </c>
      <c r="E65" s="437" t="str">
        <f>IF($E$1="","",(ROUND(AVERAGE(E54:E64),3)&amp;" ± "&amp;(ROUND(STDEV(E54:E64),3))))</f>
        <v>0,354 ± 0,009</v>
      </c>
      <c r="F65" s="437" t="str">
        <f>IF($F$1="","",(ROUND(AVERAGE(F54:F64),3)&amp;" ± "&amp;(ROUND(STDEV(F54:F64),3))))</f>
        <v>0,965 ± 0,034</v>
      </c>
      <c r="G65" s="437" t="str">
        <f>IF($G$1="","",(ROUND(AVERAGE(G54:G64),3)&amp;" ± "&amp;(ROUND(STDEV(G54:G64),3))))</f>
        <v>1,446 ± 0,049</v>
      </c>
      <c r="H65" s="444" t="str">
        <f>IF($H$1="","",(ROUND(AVERAGE(H54:H64),3)&amp;" ± "&amp;(ROUND(STDEV(H54:H64),3))))</f>
        <v>2,264 ± 0,057</v>
      </c>
      <c r="I65" s="418"/>
    </row>
    <row r="66" spans="1:9" s="417" customFormat="1" ht="15.75" thickBot="1" x14ac:dyDescent="0.3">
      <c r="A66" s="433"/>
      <c r="B66" s="460" t="s">
        <v>83</v>
      </c>
      <c r="C66" s="461"/>
      <c r="D66" s="438">
        <f>IF($D$1="","",STDEV(D54:D64)/(AVERAGE(D54:D64)))</f>
        <v>4.1116480633566679E-3</v>
      </c>
      <c r="E66" s="438">
        <f>IF($E$1="","",STDEV(E54:E64)/(AVERAGE(E54:E64)))</f>
        <v>2.4364022074384831E-2</v>
      </c>
      <c r="F66" s="438">
        <f>IF($F$1="","",STDEV(F54:F64)/(AVERAGE(F54:F64)))</f>
        <v>3.5149161518930223E-2</v>
      </c>
      <c r="G66" s="438">
        <f>IF($G$1="","",STDEV(G54:G64)/(AVERAGE(G54:G64)))</f>
        <v>3.4174465293375124E-2</v>
      </c>
      <c r="H66" s="445">
        <f>IF($H$1="","",STDEV(H54:H64)/(AVERAGE(H54:H64)))</f>
        <v>2.4983547836556316E-2</v>
      </c>
      <c r="I66" s="418"/>
    </row>
    <row r="67" spans="1:9" x14ac:dyDescent="0.25">
      <c r="A67" s="130">
        <f t="array" ref="A67">IFERROR(INDEX(Map!$V$2:$V$67,MATCH('Body weight'!$B67&amp;'Body weight'!$C67,Map!$W$2:$W$67&amp;Map!$X$2:$X$67,0)),"")</f>
        <v>5</v>
      </c>
      <c r="B67" s="41" t="s">
        <v>16</v>
      </c>
      <c r="C67" s="219" t="s">
        <v>2</v>
      </c>
      <c r="D67" s="220">
        <f t="array" ref="D67">IFERROR(IF($D$1="","",INDEX('Raw data'!$F$4:$F$69,MATCH('Body weight'!$B67&amp;'Body weight'!$C67,'Raw data'!$B$4:$B$69&amp;'Raw data'!$C$4:$C$69,0))),"")</f>
        <v>4.5925000000000001E-2</v>
      </c>
      <c r="E67" s="440">
        <f t="array" ref="E67">IFERROR(IF($E$1="","",INDEX('Raw data'!$Q$4:$Q$267,MATCH('Body weight'!E$1&amp;$A$1&amp;$A67,'Raw data'!$K$4:$K$267&amp;'Raw data'!$L$2&amp;'Raw data'!$L$4:$L$267,0))),"")</f>
        <v>0.34350000000000003</v>
      </c>
      <c r="F67" s="440">
        <f t="array" ref="F67">IFERROR(IF($F$1="","",INDEX('Raw data'!$Q$4:$Q$267,MATCH('Body weight'!F$1&amp;$A$1&amp;$A67,'Raw data'!$K$4:$K$267&amp;'Raw data'!$L$2&amp;'Raw data'!$L$4:$L$267,0))),"")</f>
        <v>0.96625000000000016</v>
      </c>
      <c r="G67" s="440">
        <f t="array" ref="G67">IFERROR(IF($G$1="","",INDEX('Raw data'!$Q$4:$Q$267,MATCH('Body weight'!G$1&amp;$A$1&amp;$A67,'Raw data'!$K$4:$K$267&amp;'Raw data'!$L$2&amp;'Raw data'!$L$4:$L$267,0))),"")</f>
        <v>1.4717948717948717</v>
      </c>
      <c r="H67" s="441">
        <f t="array" ref="H67">IFERROR(IF($H$1="","",INDEX('Raw data'!$Q$4:$Q$267,MATCH('Body weight'!H$1&amp;$A$1&amp;$A67,'Raw data'!$K$4:$K$267&amp;'Raw data'!$L$2&amp;'Raw data'!$L$4:$L$267,0))),"")</f>
        <v>2.3628205128205129</v>
      </c>
      <c r="I67" s="24"/>
    </row>
    <row r="68" spans="1:9" x14ac:dyDescent="0.25">
      <c r="A68" s="131">
        <f t="array" ref="A68">IFERROR(INDEX(Map!$V$2:$V$67,MATCH('Body weight'!$B68&amp;'Body weight'!$C68,Map!$W$2:$W$67&amp;Map!$X$2:$X$67,0)),"")</f>
        <v>10</v>
      </c>
      <c r="B68" s="24" t="str">
        <f>B67</f>
        <v>T6</v>
      </c>
      <c r="C68" s="216" t="s">
        <v>3</v>
      </c>
      <c r="D68" s="38">
        <f t="array" ref="D68">IFERROR(IF($D$1="","",INDEX('Raw data'!$F$4:$F$69,MATCH('Body weight'!$B68&amp;'Body weight'!$C68,'Raw data'!$B$4:$B$69&amp;'Raw data'!$C$4:$C$69,0))),"")</f>
        <v>4.5850000000000002E-2</v>
      </c>
      <c r="E68" s="419">
        <f t="array" ref="E68">IFERROR(IF($E$1="","",INDEX('Raw data'!$Q$4:$Q$267,MATCH('Body weight'!E$1&amp;$A$1&amp;$A68,'Raw data'!$K$4:$K$267&amp;'Raw data'!$L$2&amp;'Raw data'!$L$4:$L$267,0))),"")</f>
        <v>0.38657894736842102</v>
      </c>
      <c r="F68" s="419">
        <f t="array" ref="F68">IFERROR(IF($F$1="","",INDEX('Raw data'!$Q$4:$Q$267,MATCH('Body weight'!F$1&amp;$A$1&amp;$A68,'Raw data'!$K$4:$K$267&amp;'Raw data'!$L$2&amp;'Raw data'!$L$4:$L$267,0))),"")</f>
        <v>1.0618421052631577</v>
      </c>
      <c r="G68" s="419">
        <f t="array" ref="G68">IFERROR(IF($G$1="","",INDEX('Raw data'!$Q$4:$Q$267,MATCH('Body weight'!G$1&amp;$A$1&amp;$A68,'Raw data'!$K$4:$K$267&amp;'Raw data'!$L$2&amp;'Raw data'!$L$4:$L$267,0))),"")</f>
        <v>1.6635135135135135</v>
      </c>
      <c r="H68" s="442">
        <f t="array" ref="H68">IFERROR(IF($H$1="","",INDEX('Raw data'!$Q$4:$Q$267,MATCH('Body weight'!H$1&amp;$A$1&amp;$A68,'Raw data'!$K$4:$K$267&amp;'Raw data'!$L$2&amp;'Raw data'!$L$4:$L$267,0))),"")</f>
        <v>2.5291666666666668</v>
      </c>
      <c r="I68" s="24"/>
    </row>
    <row r="69" spans="1:9" x14ac:dyDescent="0.25">
      <c r="A69" s="131">
        <f t="array" ref="A69">IFERROR(INDEX(Map!$V$2:$V$67,MATCH('Body weight'!$B69&amp;'Body weight'!$C69,Map!$W$2:$W$67&amp;Map!$X$2:$X$67,0)),"")</f>
        <v>17</v>
      </c>
      <c r="B69" s="24" t="str">
        <f>B67</f>
        <v>T6</v>
      </c>
      <c r="C69" s="216" t="s">
        <v>4</v>
      </c>
      <c r="D69" s="38">
        <f t="array" ref="D69">IFERROR(IF($D$1="","",INDEX('Raw data'!$F$4:$F$69,MATCH('Body weight'!$B69&amp;'Body weight'!$C69,'Raw data'!$B$4:$B$69&amp;'Raw data'!$C$4:$C$69,0))),"")</f>
        <v>4.58E-2</v>
      </c>
      <c r="E69" s="419">
        <f t="array" ref="E69">IFERROR(IF($E$1="","",INDEX('Raw data'!$Q$4:$Q$267,MATCH('Body weight'!E$1&amp;$A$1&amp;$A69,'Raw data'!$K$4:$K$267&amp;'Raw data'!$L$2&amp;'Raw data'!$L$4:$L$267,0))),"")</f>
        <v>0.34975000000000001</v>
      </c>
      <c r="F69" s="419">
        <f t="array" ref="F69">IFERROR(IF($F$1="","",INDEX('Raw data'!$Q$4:$Q$267,MATCH('Body weight'!F$1&amp;$A$1&amp;$A69,'Raw data'!$K$4:$K$267&amp;'Raw data'!$L$2&amp;'Raw data'!$L$4:$L$267,0))),"")</f>
        <v>0.91499999999999981</v>
      </c>
      <c r="G69" s="419">
        <f t="array" ref="G69">IFERROR(IF($G$1="","",INDEX('Raw data'!$Q$4:$Q$267,MATCH('Body weight'!G$1&amp;$A$1&amp;$A69,'Raw data'!$K$4:$K$267&amp;'Raw data'!$L$2&amp;'Raw data'!$L$4:$L$267,0))),"")</f>
        <v>1.4038461538461537</v>
      </c>
      <c r="H69" s="442">
        <f t="array" ref="H69">IFERROR(IF($H$1="","",INDEX('Raw data'!$Q$4:$Q$267,MATCH('Body weight'!H$1&amp;$A$1&amp;$A69,'Raw data'!$K$4:$K$267&amp;'Raw data'!$L$2&amp;'Raw data'!$L$4:$L$267,0))),"")</f>
        <v>2.2487179487179483</v>
      </c>
      <c r="I69" s="24"/>
    </row>
    <row r="70" spans="1:9" x14ac:dyDescent="0.25">
      <c r="A70" s="131">
        <f t="array" ref="A70">IFERROR(INDEX(Map!$V$2:$V$67,MATCH('Body weight'!$B70&amp;'Body weight'!$C70,Map!$W$2:$W$67&amp;Map!$X$2:$X$67,0)),"")</f>
        <v>29</v>
      </c>
      <c r="B70" s="24" t="str">
        <f>B67</f>
        <v>T6</v>
      </c>
      <c r="C70" s="216" t="s">
        <v>5</v>
      </c>
      <c r="D70" s="38">
        <f t="array" ref="D70">IFERROR(IF($D$1="","",INDEX('Raw data'!$F$4:$F$69,MATCH('Body weight'!$B70&amp;'Body weight'!$C70,'Raw data'!$B$4:$B$69&amp;'Raw data'!$C$4:$C$69,0))),"")</f>
        <v>4.5749999999999999E-2</v>
      </c>
      <c r="E70" s="419">
        <f t="array" ref="E70">IFERROR(IF($E$1="","",INDEX('Raw data'!$Q$4:$Q$267,MATCH('Body weight'!E$1&amp;$A$1&amp;$A70,'Raw data'!$K$4:$K$267&amp;'Raw data'!$L$2&amp;'Raw data'!$L$4:$L$267,0))),"")</f>
        <v>0.34724999999999995</v>
      </c>
      <c r="F70" s="419">
        <f t="array" ref="F70">IFERROR(IF($F$1="","",INDEX('Raw data'!$Q$4:$Q$267,MATCH('Body weight'!F$1&amp;$A$1&amp;$A70,'Raw data'!$K$4:$K$267&amp;'Raw data'!$L$2&amp;'Raw data'!$L$4:$L$267,0))),"")</f>
        <v>0.96625000000000016</v>
      </c>
      <c r="G70" s="419">
        <f t="array" ref="G70">IFERROR(IF($G$1="","",INDEX('Raw data'!$Q$4:$Q$267,MATCH('Body weight'!G$1&amp;$A$1&amp;$A70,'Raw data'!$K$4:$K$267&amp;'Raw data'!$L$2&amp;'Raw data'!$L$4:$L$267,0))),"")</f>
        <v>1.4434210526315787</v>
      </c>
      <c r="H70" s="442">
        <f t="array" ref="H70">IFERROR(IF($H$1="","",INDEX('Raw data'!$Q$4:$Q$267,MATCH('Body weight'!H$1&amp;$A$1&amp;$A70,'Raw data'!$K$4:$K$267&amp;'Raw data'!$L$2&amp;'Raw data'!$L$4:$L$267,0))),"")</f>
        <v>2.2108108108108113</v>
      </c>
      <c r="I70" s="24"/>
    </row>
    <row r="71" spans="1:9" x14ac:dyDescent="0.25">
      <c r="A71" s="131">
        <f t="array" ref="A71">IFERROR(INDEX(Map!$V$2:$V$67,MATCH('Body weight'!$B71&amp;'Body weight'!$C71,Map!$W$2:$W$67&amp;Map!$X$2:$X$67,0)),"")</f>
        <v>32</v>
      </c>
      <c r="B71" s="24" t="str">
        <f>B67</f>
        <v>T6</v>
      </c>
      <c r="C71" s="216" t="s">
        <v>6</v>
      </c>
      <c r="D71" s="38">
        <f t="array" ref="D71">IFERROR(IF($D$1="","",INDEX('Raw data'!$F$4:$F$69,MATCH('Body weight'!$B71&amp;'Body weight'!$C71,'Raw data'!$B$4:$B$69&amp;'Raw data'!$C$4:$C$69,0))),"")</f>
        <v>4.5524999999999996E-2</v>
      </c>
      <c r="E71" s="419">
        <f t="array" ref="E71">IFERROR(IF($E$1="","",INDEX('Raw data'!$Q$4:$Q$267,MATCH('Body weight'!E$1&amp;$A$1&amp;$A71,'Raw data'!$K$4:$K$267&amp;'Raw data'!$L$2&amp;'Raw data'!$L$4:$L$267,0))),"")</f>
        <v>0.33350000000000002</v>
      </c>
      <c r="F71" s="419">
        <f t="array" ref="F71">IFERROR(IF($F$1="","",INDEX('Raw data'!$Q$4:$Q$267,MATCH('Body weight'!F$1&amp;$A$1&amp;$A71,'Raw data'!$K$4:$K$267&amp;'Raw data'!$L$2&amp;'Raw data'!$L$4:$L$267,0))),"")</f>
        <v>0.92749999999999988</v>
      </c>
      <c r="G71" s="419">
        <f t="array" ref="G71">IFERROR(IF($G$1="","",INDEX('Raw data'!$Q$4:$Q$267,MATCH('Body weight'!G$1&amp;$A$1&amp;$A71,'Raw data'!$K$4:$K$267&amp;'Raw data'!$L$2&amp;'Raw data'!$L$4:$L$267,0))),"")</f>
        <v>1.4064102564102563</v>
      </c>
      <c r="H71" s="442">
        <f t="array" ref="H71">IFERROR(IF($H$1="","",INDEX('Raw data'!$Q$4:$Q$267,MATCH('Body weight'!H$1&amp;$A$1&amp;$A71,'Raw data'!$K$4:$K$267&amp;'Raw data'!$L$2&amp;'Raw data'!$L$4:$L$267,0))),"")</f>
        <v>2.2223684210526318</v>
      </c>
      <c r="I71" s="24"/>
    </row>
    <row r="72" spans="1:9" x14ac:dyDescent="0.25">
      <c r="A72" s="131">
        <f t="array" ref="A72">IFERROR(INDEX(Map!$V$2:$V$67,MATCH('Body weight'!$B72&amp;'Body weight'!$C72,Map!$W$2:$W$67&amp;Map!$X$2:$X$67,0)),"")</f>
        <v>38</v>
      </c>
      <c r="B72" s="24" t="str">
        <f>B67</f>
        <v>T6</v>
      </c>
      <c r="C72" s="216" t="s">
        <v>7</v>
      </c>
      <c r="D72" s="38">
        <f t="array" ref="D72">IFERROR(IF($D$1="","",INDEX('Raw data'!$F$4:$F$69,MATCH('Body weight'!$B72&amp;'Body weight'!$C72,'Raw data'!$B$4:$B$69&amp;'Raw data'!$C$4:$C$69,0))),"")</f>
        <v>4.5475000000000002E-2</v>
      </c>
      <c r="E72" s="419">
        <f t="array" ref="E72">IFERROR(IF($E$1="","",INDEX('Raw data'!$Q$4:$Q$267,MATCH('Body weight'!E$1&amp;$A$1&amp;$A72,'Raw data'!$K$4:$K$267&amp;'Raw data'!$L$2&amp;'Raw data'!$L$4:$L$267,0))),"")</f>
        <v>0.33100000000000002</v>
      </c>
      <c r="F72" s="419">
        <f t="array" ref="F72">IFERROR(IF($F$1="","",INDEX('Raw data'!$Q$4:$Q$267,MATCH('Body weight'!F$1&amp;$A$1&amp;$A72,'Raw data'!$K$4:$K$267&amp;'Raw data'!$L$2&amp;'Raw data'!$L$4:$L$267,0))),"")</f>
        <v>0.98076923076923073</v>
      </c>
      <c r="G72" s="419">
        <f t="array" ref="G72">IFERROR(IF($G$1="","",INDEX('Raw data'!$Q$4:$Q$267,MATCH('Body weight'!G$1&amp;$A$1&amp;$A72,'Raw data'!$K$4:$K$267&amp;'Raw data'!$L$2&amp;'Raw data'!$L$4:$L$267,0))),"")</f>
        <v>1.4526315789473683</v>
      </c>
      <c r="H72" s="442">
        <f t="array" ref="H72">IFERROR(IF($H$1="","",INDEX('Raw data'!$Q$4:$Q$267,MATCH('Body weight'!H$1&amp;$A$1&amp;$A72,'Raw data'!$K$4:$K$267&amp;'Raw data'!$L$2&amp;'Raw data'!$L$4:$L$267,0))),"")</f>
        <v>2.3432432432432435</v>
      </c>
      <c r="I72" s="24"/>
    </row>
    <row r="73" spans="1:9" x14ac:dyDescent="0.25">
      <c r="A73" s="131">
        <f t="array" ref="A73">IFERROR(INDEX(Map!$V$2:$V$67,MATCH('Body weight'!$B73&amp;'Body weight'!$C73,Map!$W$2:$W$67&amp;Map!$X$2:$X$67,0)),"")</f>
        <v>47</v>
      </c>
      <c r="B73" s="24" t="str">
        <f>B67</f>
        <v>T6</v>
      </c>
      <c r="C73" s="216" t="s">
        <v>8</v>
      </c>
      <c r="D73" s="38">
        <f t="array" ref="D73">IFERROR(IF($D$1="","",INDEX('Raw data'!$F$4:$F$69,MATCH('Body weight'!$B73&amp;'Body weight'!$C73,'Raw data'!$B$4:$B$69&amp;'Raw data'!$C$4:$C$69,0))),"")</f>
        <v>4.5350000000000001E-2</v>
      </c>
      <c r="E73" s="419">
        <f t="array" ref="E73">IFERROR(IF($E$1="","",INDEX('Raw data'!$Q$4:$Q$267,MATCH('Body weight'!E$1&amp;$A$1&amp;$A73,'Raw data'!$K$4:$K$267&amp;'Raw data'!$L$2&amp;'Raw data'!$L$4:$L$267,0))),"")</f>
        <v>0.33724999999999999</v>
      </c>
      <c r="F73" s="419">
        <f t="array" ref="F73">IFERROR(IF($F$1="","",INDEX('Raw data'!$Q$4:$Q$267,MATCH('Body weight'!F$1&amp;$A$1&amp;$A73,'Raw data'!$K$4:$K$267&amp;'Raw data'!$L$2&amp;'Raw data'!$L$4:$L$267,0))),"")</f>
        <v>0.9375</v>
      </c>
      <c r="G73" s="419">
        <f t="array" ref="G73">IFERROR(IF($G$1="","",INDEX('Raw data'!$Q$4:$Q$267,MATCH('Body weight'!G$1&amp;$A$1&amp;$A73,'Raw data'!$K$4:$K$267&amp;'Raw data'!$L$2&amp;'Raw data'!$L$4:$L$267,0))),"")</f>
        <v>1.4371794871794872</v>
      </c>
      <c r="H73" s="442">
        <f t="array" ref="H73">IFERROR(IF($H$1="","",INDEX('Raw data'!$Q$4:$Q$267,MATCH('Body weight'!H$1&amp;$A$1&amp;$A73,'Raw data'!$K$4:$K$267&amp;'Raw data'!$L$2&amp;'Raw data'!$L$4:$L$267,0))),"")</f>
        <v>2.2328947368421055</v>
      </c>
      <c r="I73" s="24"/>
    </row>
    <row r="74" spans="1:9" x14ac:dyDescent="0.25">
      <c r="A74" s="131">
        <f t="array" ref="A74">IFERROR(INDEX(Map!$V$2:$V$67,MATCH('Body weight'!$B74&amp;'Body weight'!$C74,Map!$W$2:$W$67&amp;Map!$X$2:$X$67,0)),"")</f>
        <v>55</v>
      </c>
      <c r="B74" s="24" t="str">
        <f>B67</f>
        <v>T6</v>
      </c>
      <c r="C74" s="216" t="s">
        <v>9</v>
      </c>
      <c r="D74" s="38">
        <f t="array" ref="D74">IFERROR(IF($D$1="","",INDEX('Raw data'!$F$4:$F$69,MATCH('Body weight'!$B74&amp;'Body weight'!$C74,'Raw data'!$B$4:$B$69&amp;'Raw data'!$C$4:$C$69,0))),"")</f>
        <v>4.5499999999999999E-2</v>
      </c>
      <c r="E74" s="419">
        <f t="array" ref="E74">IFERROR(IF($E$1="","",INDEX('Raw data'!$Q$4:$Q$267,MATCH('Body weight'!E$1&amp;$A$1&amp;$A74,'Raw data'!$K$4:$K$267&amp;'Raw data'!$L$2&amp;'Raw data'!$L$4:$L$267,0))),"")</f>
        <v>0.35349999999999998</v>
      </c>
      <c r="F74" s="419">
        <f t="array" ref="F74">IFERROR(IF($F$1="","",INDEX('Raw data'!$Q$4:$Q$267,MATCH('Body weight'!F$1&amp;$A$1&amp;$A74,'Raw data'!$K$4:$K$267&amp;'Raw data'!$L$2&amp;'Raw data'!$L$4:$L$267,0))),"")</f>
        <v>0.97564102564102562</v>
      </c>
      <c r="G74" s="419">
        <f t="array" ref="G74">IFERROR(IF($G$1="","",INDEX('Raw data'!$Q$4:$Q$267,MATCH('Body weight'!G$1&amp;$A$1&amp;$A74,'Raw data'!$K$4:$K$267&amp;'Raw data'!$L$2&amp;'Raw data'!$L$4:$L$267,0))),"")</f>
        <v>1.4434210526315789</v>
      </c>
      <c r="H74" s="442">
        <f t="array" ref="H74">IFERROR(IF($H$1="","",INDEX('Raw data'!$Q$4:$Q$267,MATCH('Body weight'!H$1&amp;$A$1&amp;$A74,'Raw data'!$K$4:$K$267&amp;'Raw data'!$L$2&amp;'Raw data'!$L$4:$L$267,0))),"")</f>
        <v>2.2675675675675677</v>
      </c>
      <c r="I74" s="24"/>
    </row>
    <row r="75" spans="1:9" s="417" customFormat="1" x14ac:dyDescent="0.25">
      <c r="A75" s="432">
        <f t="array" ref="A75">IFERROR(INDEX(Map!$V$2:$V$67,MATCH('Body weight'!$B75&amp;'Body weight'!$C75,Map!$W$2:$W$67&amp;Map!$X$2:$X$67,0)),"")</f>
        <v>62</v>
      </c>
      <c r="B75" s="418" t="str">
        <f>B67</f>
        <v>T6</v>
      </c>
      <c r="C75" s="436" t="s">
        <v>22</v>
      </c>
      <c r="D75" s="419">
        <f t="array" ref="D75">IFERROR(IF($D$1="","",INDEX('Raw data'!$F$4:$F$69,MATCH('Body weight'!$B75&amp;'Body weight'!$C75,'Raw data'!$B$4:$B$69&amp;'Raw data'!$C$4:$C$69,0))),"")</f>
        <v>4.5524999999999996E-2</v>
      </c>
      <c r="E75" s="419">
        <f t="array" ref="E75">IFERROR(IF($E$1="","",INDEX('Raw data'!$Q$4:$Q$267,MATCH('Body weight'!E$1&amp;$A$1&amp;$A75,'Raw data'!$K$4:$K$267&amp;'Raw data'!$L$2&amp;'Raw data'!$L$4:$L$267,0))),"")</f>
        <v>0.33849999999999997</v>
      </c>
      <c r="F75" s="419">
        <f t="array" ref="F75">IFERROR(IF($F$1="","",INDEX('Raw data'!$Q$4:$Q$267,MATCH('Body weight'!F$1&amp;$A$1&amp;$A75,'Raw data'!$K$4:$K$267&amp;'Raw data'!$L$2&amp;'Raw data'!$L$4:$L$267,0))),"")</f>
        <v>1.0026315789473683</v>
      </c>
      <c r="G75" s="419">
        <f t="array" ref="G75">IFERROR(IF($G$1="","",INDEX('Raw data'!$Q$4:$Q$267,MATCH('Body weight'!G$1&amp;$A$1&amp;$A75,'Raw data'!$K$4:$K$267&amp;'Raw data'!$L$2&amp;'Raw data'!$L$4:$L$267,0))),"")</f>
        <v>1.4527027027027026</v>
      </c>
      <c r="H75" s="442">
        <f t="array" ref="H75">IFERROR(IF($H$1="","",INDEX('Raw data'!$Q$4:$Q$267,MATCH('Body weight'!H$1&amp;$A$1&amp;$A75,'Raw data'!$K$4:$K$267&amp;'Raw data'!$L$2&amp;'Raw data'!$L$4:$L$267,0))),"")</f>
        <v>2.3229729729729729</v>
      </c>
      <c r="I75" s="418"/>
    </row>
    <row r="76" spans="1:9" s="417" customFormat="1" x14ac:dyDescent="0.25">
      <c r="A76" s="432">
        <f t="array" ref="A76">IFERROR(INDEX(Map!$V$2:$V$67,MATCH('Body weight'!$B76&amp;'Body weight'!$C76,Map!$W$2:$W$67&amp;Map!$X$2:$X$67,0)),"")</f>
        <v>1</v>
      </c>
      <c r="B76" s="418" t="str">
        <f>B69</f>
        <v>T6</v>
      </c>
      <c r="C76" s="436" t="s">
        <v>101</v>
      </c>
      <c r="D76" s="419">
        <f t="array" ref="D76">IFERROR(IF($D$1="","",INDEX('Raw data'!$F$4:$F$69,MATCH('Body weight'!$B76&amp;'Body weight'!$C76,'Raw data'!$B$4:$B$69&amp;'Raw data'!$C$4:$C$69,0))),"")</f>
        <v>4.5950000000000005E-2</v>
      </c>
      <c r="E76" s="419">
        <f t="array" ref="E76">IFERROR(IF($E$1="","",INDEX('Raw data'!$Q$4:$Q$267,MATCH('Body weight'!E$1&amp;$A$1&amp;$A76,'Raw data'!$K$4:$K$267&amp;'Raw data'!$L$2&amp;'Raw data'!$L$4:$L$267,0))),"")</f>
        <v>0.35224999999999995</v>
      </c>
      <c r="F76" s="419">
        <f t="array" ref="F76">IFERROR(IF($F$1="","",INDEX('Raw data'!$Q$4:$Q$267,MATCH('Body weight'!F$1&amp;$A$1&amp;$A76,'Raw data'!$K$4:$K$267&amp;'Raw data'!$L$2&amp;'Raw data'!$L$4:$L$267,0))),"")</f>
        <v>0.93500000000000016</v>
      </c>
      <c r="G76" s="419">
        <f t="array" ref="G76">IFERROR(IF($G$1="","",INDEX('Raw data'!$Q$4:$Q$267,MATCH('Body weight'!G$1&amp;$A$1&amp;$A76,'Raw data'!$K$4:$K$267&amp;'Raw data'!$L$2&amp;'Raw data'!$L$4:$L$267,0))),"")</f>
        <v>1.4361538461538461</v>
      </c>
      <c r="H76" s="442">
        <f t="array" ref="H76">IFERROR(IF($H$1="","",INDEX('Raw data'!$Q$4:$Q$267,MATCH('Body weight'!H$1&amp;$A$1&amp;$A76,'Raw data'!$K$4:$K$267&amp;'Raw data'!$L$2&amp;'Raw data'!$L$4:$L$267,0))),"")</f>
        <v>2.2974358974358973</v>
      </c>
      <c r="I76" s="418"/>
    </row>
    <row r="77" spans="1:9" s="417" customFormat="1" x14ac:dyDescent="0.25">
      <c r="A77" s="446">
        <f t="array" ref="A77">IFERROR(INDEX(Map!$V$2:$V$67,MATCH('Body weight'!$B77&amp;'Body weight'!$C77,Map!$W$2:$W$67&amp;Map!$X$2:$X$67,0)),"")</f>
        <v>43</v>
      </c>
      <c r="B77" s="418" t="str">
        <f>B69</f>
        <v>T6</v>
      </c>
      <c r="C77" s="436" t="s">
        <v>102</v>
      </c>
      <c r="D77" s="434">
        <f t="array" ref="D77">IFERROR(IF($D$1="","",INDEX('Raw data'!$F$4:$F$69,MATCH('Body weight'!$B77&amp;'Body weight'!$C77,'Raw data'!$B$4:$B$69&amp;'Raw data'!$C$4:$C$69,0))),"")</f>
        <v>4.5900000000000003E-2</v>
      </c>
      <c r="E77" s="435">
        <f t="array" ref="E77">IFERROR(IF($E$1="","",INDEX('Raw data'!$Q$4:$Q$267,MATCH('Body weight'!E$1&amp;$A$1&amp;$A77,'Raw data'!$K$4:$K$267&amp;'Raw data'!$L$2&amp;'Raw data'!$L$4:$L$267,0))),"")</f>
        <v>0.36026315789473684</v>
      </c>
      <c r="F77" s="435">
        <f t="array" ref="F77">IFERROR(IF($F$1="","",INDEX('Raw data'!$Q$4:$Q$267,MATCH('Body weight'!F$1&amp;$A$1&amp;$A77,'Raw data'!$K$4:$K$267&amp;'Raw data'!$L$2&amp;'Raw data'!$L$4:$L$267,0))),"")</f>
        <v>0.97499999999999998</v>
      </c>
      <c r="G77" s="435">
        <f t="array" ref="G77">IFERROR(IF($G$1="","",INDEX('Raw data'!$Q$4:$Q$267,MATCH('Body weight'!G$1&amp;$A$1&amp;$A77,'Raw data'!$K$4:$K$267&amp;'Raw data'!$L$2&amp;'Raw data'!$L$4:$L$267,0))),"")</f>
        <v>1.5013513513513512</v>
      </c>
      <c r="H77" s="443">
        <f t="array" ref="H77">IFERROR(IF($H$1="","",INDEX('Raw data'!$Q$4:$Q$267,MATCH('Body weight'!H$1&amp;$A$1&amp;$A77,'Raw data'!$K$4:$K$267&amp;'Raw data'!$L$2&amp;'Raw data'!$L$4:$L$267,0))),"")</f>
        <v>2.3256756756756758</v>
      </c>
      <c r="I77" s="418"/>
    </row>
    <row r="78" spans="1:9" s="417" customFormat="1" x14ac:dyDescent="0.25">
      <c r="A78" s="432"/>
      <c r="B78" s="462" t="s">
        <v>82</v>
      </c>
      <c r="C78" s="463"/>
      <c r="D78" s="437" t="str">
        <f>IF($D$1="","",(ROUND(AVERAGE(D67:D77),3)&amp;" ± "&amp;(ROUND(STDEV(D67:D77),3))))</f>
        <v>0,046 ± 0</v>
      </c>
      <c r="E78" s="437" t="str">
        <f>IF($E$1="","",(ROUND(AVERAGE(E67:E77),3)&amp;" ± "&amp;(ROUND(STDEV(E67:E77),3))))</f>
        <v>0,348 ± 0,016</v>
      </c>
      <c r="F78" s="437" t="str">
        <f>IF($F$1="","",(ROUND(AVERAGE(F67:F77),3)&amp;" ± "&amp;(ROUND(STDEV(F67:F77),3))))</f>
        <v>0,968 ± 0,041</v>
      </c>
      <c r="G78" s="437" t="str">
        <f>IF($G$1="","",(ROUND(AVERAGE(G67:G77),3)&amp;" ± "&amp;(ROUND(STDEV(G67:G77),3))))</f>
        <v>1,465 ± 0,071</v>
      </c>
      <c r="H78" s="444" t="str">
        <f>IF($H$1="","",(ROUND(AVERAGE(H67:H77),3)&amp;" ± "&amp;(ROUND(STDEV(H67:H77),3))))</f>
        <v>2,306 ± 0,09</v>
      </c>
      <c r="I78" s="418"/>
    </row>
    <row r="79" spans="1:9" s="417" customFormat="1" ht="15.75" thickBot="1" x14ac:dyDescent="0.3">
      <c r="A79" s="433"/>
      <c r="B79" s="460" t="s">
        <v>83</v>
      </c>
      <c r="C79" s="461"/>
      <c r="D79" s="438">
        <f>IF($D$1="","",STDEV(D67:D77)/(AVERAGE(D67:D77)))</f>
        <v>4.6968510756107192E-3</v>
      </c>
      <c r="E79" s="438">
        <f>IF($E$1="","",STDEV(E67:E77)/(AVERAGE(E67:E77)))</f>
        <v>4.4578719247358144E-2</v>
      </c>
      <c r="F79" s="438">
        <f>IF($F$1="","",STDEV(F67:F77)/(AVERAGE(F67:F77)))</f>
        <v>4.2296553296991064E-2</v>
      </c>
      <c r="G79" s="438">
        <f>IF($G$1="","",STDEV(G67:G77)/(AVERAGE(G67:G77)))</f>
        <v>4.8653654867562846E-2</v>
      </c>
      <c r="H79" s="445">
        <f>IF($H$1="","",STDEV(H67:H77)/(AVERAGE(H67:H77)))</f>
        <v>3.9110413094000422E-2</v>
      </c>
      <c r="I79" s="418"/>
    </row>
    <row r="80" spans="1:9" s="291" customFormat="1" hidden="1" x14ac:dyDescent="0.25">
      <c r="A80" s="130" t="str">
        <f t="array" ref="A80">IFERROR(INDEX(Map!$V$2:$V$67,MATCH('Body weight'!$B80&amp;'Body weight'!$C80,Map!$W$2:$W$67&amp;Map!$X$2:$X$67,0)),"")</f>
        <v/>
      </c>
      <c r="B80" s="41" t="s">
        <v>15</v>
      </c>
      <c r="C80" s="219" t="s">
        <v>2</v>
      </c>
      <c r="D80" s="220" t="str">
        <f t="array" ref="D80">IFERROR(IF($D$1="","",INDEX('Raw data'!$F$4:$F$69,MATCH('Body weight'!$B80&amp;'Body weight'!$C80,'Raw data'!$B$4:$B$69&amp;'Raw data'!$C$4:$C$69,0))),"")</f>
        <v/>
      </c>
      <c r="E80" s="440" t="str">
        <f t="array" ref="E80">IFERROR(IF($E$1="","",INDEX('Raw data'!$Q$4:$Q$267,MATCH('Body weight'!E$1&amp;$A$1&amp;$A80,'Raw data'!$K$4:$K$267&amp;'Raw data'!$L$2&amp;'Raw data'!$L$4:$L$267,0))),"")</f>
        <v/>
      </c>
      <c r="F80" s="440" t="str">
        <f t="array" ref="F80">IFERROR(IF($F$1="","",INDEX('Raw data'!$Q$4:$Q$267,MATCH('Body weight'!F$1&amp;$A$1&amp;$A80,'Raw data'!$K$4:$K$267&amp;'Raw data'!$L$2&amp;'Raw data'!$L$4:$L$267,0))),"")</f>
        <v/>
      </c>
      <c r="G80" s="440" t="str">
        <f t="array" ref="G80">IFERROR(IF($G$1="","",INDEX('Raw data'!$Q$4:$Q$267,MATCH('Body weight'!G$1&amp;$A$1&amp;$A80,'Raw data'!$K$4:$K$267&amp;'Raw data'!$L$2&amp;'Raw data'!$L$4:$L$267,0))),"")</f>
        <v/>
      </c>
      <c r="H80" s="441" t="str">
        <f t="array" ref="H80">IFERROR(IF($H$1="","",INDEX('Raw data'!$Q$4:$Q$267,MATCH('Body weight'!H$1&amp;$A$1&amp;$A80,'Raw data'!$K$4:$K$267&amp;'Raw data'!$L$2&amp;'Raw data'!$L$4:$L$267,0))),"")</f>
        <v/>
      </c>
      <c r="I80" s="24"/>
    </row>
    <row r="81" spans="1:9" s="291" customFormat="1" hidden="1" x14ac:dyDescent="0.25">
      <c r="A81" s="131" t="str">
        <f t="array" ref="A81">IFERROR(INDEX(Map!$V$2:$V$67,MATCH('Body weight'!$B81&amp;'Body weight'!$C81,Map!$W$2:$W$67&amp;Map!$X$2:$X$67,0)),"")</f>
        <v/>
      </c>
      <c r="B81" s="24" t="s">
        <v>15</v>
      </c>
      <c r="C81" s="216" t="s">
        <v>3</v>
      </c>
      <c r="D81" s="38" t="str">
        <f t="array" ref="D81">IFERROR(IF($D$1="","",INDEX('Raw data'!$F$4:$F$69,MATCH('Body weight'!$B81&amp;'Body weight'!$C81,'Raw data'!$B$4:$B$69&amp;'Raw data'!$C$4:$C$69,0))),"")</f>
        <v/>
      </c>
      <c r="E81" s="419" t="str">
        <f t="array" ref="E81">IFERROR(IF($E$1="","",INDEX('Raw data'!$Q$4:$Q$267,MATCH('Body weight'!E$1&amp;$A$1&amp;$A81,'Raw data'!$K$4:$K$267&amp;'Raw data'!$L$2&amp;'Raw data'!$L$4:$L$267,0))),"")</f>
        <v/>
      </c>
      <c r="F81" s="419" t="str">
        <f t="array" ref="F81">IFERROR(IF($F$1="","",INDEX('Raw data'!$Q$4:$Q$267,MATCH('Body weight'!F$1&amp;$A$1&amp;$A81,'Raw data'!$K$4:$K$267&amp;'Raw data'!$L$2&amp;'Raw data'!$L$4:$L$267,0))),"")</f>
        <v/>
      </c>
      <c r="G81" s="419" t="str">
        <f t="array" ref="G81">IFERROR(IF($G$1="","",INDEX('Raw data'!$Q$4:$Q$267,MATCH('Body weight'!G$1&amp;$A$1&amp;$A81,'Raw data'!$K$4:$K$267&amp;'Raw data'!$L$2&amp;'Raw data'!$L$4:$L$267,0))),"")</f>
        <v/>
      </c>
      <c r="H81" s="442" t="str">
        <f t="array" ref="H81">IFERROR(IF($H$1="","",INDEX('Raw data'!$Q$4:$Q$267,MATCH('Body weight'!H$1&amp;$A$1&amp;$A81,'Raw data'!$K$4:$K$267&amp;'Raw data'!$L$2&amp;'Raw data'!$L$4:$L$267,0))),"")</f>
        <v/>
      </c>
      <c r="I81" s="24"/>
    </row>
    <row r="82" spans="1:9" s="291" customFormat="1" hidden="1" x14ac:dyDescent="0.25">
      <c r="A82" s="131" t="str">
        <f t="array" ref="A82">IFERROR(INDEX(Map!$V$2:$V$67,MATCH('Body weight'!$B82&amp;'Body weight'!$C82,Map!$W$2:$W$67&amp;Map!$X$2:$X$67,0)),"")</f>
        <v/>
      </c>
      <c r="B82" s="24" t="s">
        <v>15</v>
      </c>
      <c r="C82" s="216" t="s">
        <v>4</v>
      </c>
      <c r="D82" s="38" t="str">
        <f t="array" ref="D82">IFERROR(IF($D$1="","",INDEX('Raw data'!$F$4:$F$69,MATCH('Body weight'!$B82&amp;'Body weight'!$C82,'Raw data'!$B$4:$B$69&amp;'Raw data'!$C$4:$C$69,0))),"")</f>
        <v/>
      </c>
      <c r="E82" s="419" t="str">
        <f t="array" ref="E82">IFERROR(IF($E$1="","",INDEX('Raw data'!$Q$4:$Q$267,MATCH('Body weight'!E$1&amp;$A$1&amp;$A82,'Raw data'!$K$4:$K$267&amp;'Raw data'!$L$2&amp;'Raw data'!$L$4:$L$267,0))),"")</f>
        <v/>
      </c>
      <c r="F82" s="419" t="str">
        <f t="array" ref="F82">IFERROR(IF($F$1="","",INDEX('Raw data'!$Q$4:$Q$267,MATCH('Body weight'!F$1&amp;$A$1&amp;$A82,'Raw data'!$K$4:$K$267&amp;'Raw data'!$L$2&amp;'Raw data'!$L$4:$L$267,0))),"")</f>
        <v/>
      </c>
      <c r="G82" s="419" t="str">
        <f t="array" ref="G82">IFERROR(IF($G$1="","",INDEX('Raw data'!$Q$4:$Q$267,MATCH('Body weight'!G$1&amp;$A$1&amp;$A82,'Raw data'!$K$4:$K$267&amp;'Raw data'!$L$2&amp;'Raw data'!$L$4:$L$267,0))),"")</f>
        <v/>
      </c>
      <c r="H82" s="442" t="str">
        <f t="array" ref="H82">IFERROR(IF($H$1="","",INDEX('Raw data'!$Q$4:$Q$267,MATCH('Body weight'!H$1&amp;$A$1&amp;$A82,'Raw data'!$K$4:$K$267&amp;'Raw data'!$L$2&amp;'Raw data'!$L$4:$L$267,0))),"")</f>
        <v/>
      </c>
      <c r="I82" s="24"/>
    </row>
    <row r="83" spans="1:9" s="291" customFormat="1" hidden="1" x14ac:dyDescent="0.25">
      <c r="A83" s="131" t="str">
        <f t="array" ref="A83">IFERROR(INDEX(Map!$V$2:$V$67,MATCH('Body weight'!$B83&amp;'Body weight'!$C83,Map!$W$2:$W$67&amp;Map!$X$2:$X$67,0)),"")</f>
        <v/>
      </c>
      <c r="B83" s="24" t="s">
        <v>15</v>
      </c>
      <c r="C83" s="216" t="s">
        <v>5</v>
      </c>
      <c r="D83" s="38" t="str">
        <f t="array" ref="D83">IFERROR(IF($D$1="","",INDEX('Raw data'!$F$4:$F$69,MATCH('Body weight'!$B83&amp;'Body weight'!$C83,'Raw data'!$B$4:$B$69&amp;'Raw data'!$C$4:$C$69,0))),"")</f>
        <v/>
      </c>
      <c r="E83" s="419" t="str">
        <f t="array" ref="E83">IFERROR(IF($E$1="","",INDEX('Raw data'!$Q$4:$Q$267,MATCH('Body weight'!E$1&amp;$A$1&amp;$A83,'Raw data'!$K$4:$K$267&amp;'Raw data'!$L$2&amp;'Raw data'!$L$4:$L$267,0))),"")</f>
        <v/>
      </c>
      <c r="F83" s="419" t="str">
        <f t="array" ref="F83">IFERROR(IF($F$1="","",INDEX('Raw data'!$Q$4:$Q$267,MATCH('Body weight'!F$1&amp;$A$1&amp;$A83,'Raw data'!$K$4:$K$267&amp;'Raw data'!$L$2&amp;'Raw data'!$L$4:$L$267,0))),"")</f>
        <v/>
      </c>
      <c r="G83" s="419" t="str">
        <f t="array" ref="G83">IFERROR(IF($G$1="","",INDEX('Raw data'!$Q$4:$Q$267,MATCH('Body weight'!G$1&amp;$A$1&amp;$A83,'Raw data'!$K$4:$K$267&amp;'Raw data'!$L$2&amp;'Raw data'!$L$4:$L$267,0))),"")</f>
        <v/>
      </c>
      <c r="H83" s="442" t="str">
        <f t="array" ref="H83">IFERROR(IF($H$1="","",INDEX('Raw data'!$Q$4:$Q$267,MATCH('Body weight'!H$1&amp;$A$1&amp;$A83,'Raw data'!$K$4:$K$267&amp;'Raw data'!$L$2&amp;'Raw data'!$L$4:$L$267,0))),"")</f>
        <v/>
      </c>
      <c r="I83" s="24"/>
    </row>
    <row r="84" spans="1:9" s="291" customFormat="1" hidden="1" x14ac:dyDescent="0.25">
      <c r="A84" s="131" t="str">
        <f t="array" ref="A84">IFERROR(INDEX(Map!$V$2:$V$67,MATCH('Body weight'!$B84&amp;'Body weight'!$C84,Map!$W$2:$W$67&amp;Map!$X$2:$X$67,0)),"")</f>
        <v/>
      </c>
      <c r="B84" s="24" t="s">
        <v>15</v>
      </c>
      <c r="C84" s="216" t="s">
        <v>6</v>
      </c>
      <c r="D84" s="38" t="str">
        <f t="array" ref="D84">IFERROR(IF($D$1="","",INDEX('Raw data'!$F$4:$F$69,MATCH('Body weight'!$B84&amp;'Body weight'!$C84,'Raw data'!$B$4:$B$69&amp;'Raw data'!$C$4:$C$69,0))),"")</f>
        <v/>
      </c>
      <c r="E84" s="419" t="str">
        <f t="array" ref="E84">IFERROR(IF($E$1="","",INDEX('Raw data'!$Q$4:$Q$267,MATCH('Body weight'!E$1&amp;$A$1&amp;$A84,'Raw data'!$K$4:$K$267&amp;'Raw data'!$L$2&amp;'Raw data'!$L$4:$L$267,0))),"")</f>
        <v/>
      </c>
      <c r="F84" s="419" t="str">
        <f t="array" ref="F84">IFERROR(IF($F$1="","",INDEX('Raw data'!$Q$4:$Q$267,MATCH('Body weight'!F$1&amp;$A$1&amp;$A84,'Raw data'!$K$4:$K$267&amp;'Raw data'!$L$2&amp;'Raw data'!$L$4:$L$267,0))),"")</f>
        <v/>
      </c>
      <c r="G84" s="419" t="str">
        <f t="array" ref="G84">IFERROR(IF($G$1="","",INDEX('Raw data'!$Q$4:$Q$267,MATCH('Body weight'!G$1&amp;$A$1&amp;$A84,'Raw data'!$K$4:$K$267&amp;'Raw data'!$L$2&amp;'Raw data'!$L$4:$L$267,0))),"")</f>
        <v/>
      </c>
      <c r="H84" s="442" t="str">
        <f t="array" ref="H84">IFERROR(IF($H$1="","",INDEX('Raw data'!$Q$4:$Q$267,MATCH('Body weight'!H$1&amp;$A$1&amp;$A84,'Raw data'!$K$4:$K$267&amp;'Raw data'!$L$2&amp;'Raw data'!$L$4:$L$267,0))),"")</f>
        <v/>
      </c>
      <c r="I84" s="24"/>
    </row>
    <row r="85" spans="1:9" s="291" customFormat="1" hidden="1" x14ac:dyDescent="0.25">
      <c r="A85" s="131" t="str">
        <f t="array" ref="A85">IFERROR(INDEX(Map!$V$2:$V$67,MATCH('Body weight'!$B85&amp;'Body weight'!$C85,Map!$W$2:$W$67&amp;Map!$X$2:$X$67,0)),"")</f>
        <v/>
      </c>
      <c r="B85" s="24" t="s">
        <v>15</v>
      </c>
      <c r="C85" s="216" t="s">
        <v>7</v>
      </c>
      <c r="D85" s="38" t="str">
        <f t="array" ref="D85">IFERROR(IF($D$1="","",INDEX('Raw data'!$F$4:$F$69,MATCH('Body weight'!$B85&amp;'Body weight'!$C85,'Raw data'!$B$4:$B$69&amp;'Raw data'!$C$4:$C$69,0))),"")</f>
        <v/>
      </c>
      <c r="E85" s="419" t="str">
        <f t="array" ref="E85">IFERROR(IF($E$1="","",INDEX('Raw data'!$Q$4:$Q$267,MATCH('Body weight'!E$1&amp;$A$1&amp;$A85,'Raw data'!$K$4:$K$267&amp;'Raw data'!$L$2&amp;'Raw data'!$L$4:$L$267,0))),"")</f>
        <v/>
      </c>
      <c r="F85" s="419" t="str">
        <f t="array" ref="F85">IFERROR(IF($F$1="","",INDEX('Raw data'!$Q$4:$Q$267,MATCH('Body weight'!F$1&amp;$A$1&amp;$A85,'Raw data'!$K$4:$K$267&amp;'Raw data'!$L$2&amp;'Raw data'!$L$4:$L$267,0))),"")</f>
        <v/>
      </c>
      <c r="G85" s="419" t="str">
        <f t="array" ref="G85">IFERROR(IF($G$1="","",INDEX('Raw data'!$Q$4:$Q$267,MATCH('Body weight'!G$1&amp;$A$1&amp;$A85,'Raw data'!$K$4:$K$267&amp;'Raw data'!$L$2&amp;'Raw data'!$L$4:$L$267,0))),"")</f>
        <v/>
      </c>
      <c r="H85" s="442" t="str">
        <f t="array" ref="H85">IFERROR(IF($H$1="","",INDEX('Raw data'!$Q$4:$Q$267,MATCH('Body weight'!H$1&amp;$A$1&amp;$A85,'Raw data'!$K$4:$K$267&amp;'Raw data'!$L$2&amp;'Raw data'!$L$4:$L$267,0))),"")</f>
        <v/>
      </c>
      <c r="I85" s="24"/>
    </row>
    <row r="86" spans="1:9" s="291" customFormat="1" hidden="1" x14ac:dyDescent="0.25">
      <c r="A86" s="131" t="str">
        <f t="array" ref="A86">IFERROR(INDEX(Map!$V$2:$V$67,MATCH('Body weight'!$B86&amp;'Body weight'!$C86,Map!$W$2:$W$67&amp;Map!$X$2:$X$67,0)),"")</f>
        <v/>
      </c>
      <c r="B86" s="24" t="s">
        <v>15</v>
      </c>
      <c r="C86" s="216" t="s">
        <v>8</v>
      </c>
      <c r="D86" s="38" t="str">
        <f t="array" ref="D86">IFERROR(IF($D$1="","",INDEX('Raw data'!$F$4:$F$69,MATCH('Body weight'!$B86&amp;'Body weight'!$C86,'Raw data'!$B$4:$B$69&amp;'Raw data'!$C$4:$C$69,0))),"")</f>
        <v/>
      </c>
      <c r="E86" s="419" t="str">
        <f t="array" ref="E86">IFERROR(IF($E$1="","",INDEX('Raw data'!$Q$4:$Q$267,MATCH('Body weight'!E$1&amp;$A$1&amp;$A86,'Raw data'!$K$4:$K$267&amp;'Raw data'!$L$2&amp;'Raw data'!$L$4:$L$267,0))),"")</f>
        <v/>
      </c>
      <c r="F86" s="419" t="str">
        <f t="array" ref="F86">IFERROR(IF($F$1="","",INDEX('Raw data'!$Q$4:$Q$267,MATCH('Body weight'!F$1&amp;$A$1&amp;$A86,'Raw data'!$K$4:$K$267&amp;'Raw data'!$L$2&amp;'Raw data'!$L$4:$L$267,0))),"")</f>
        <v/>
      </c>
      <c r="G86" s="419" t="str">
        <f t="array" ref="G86">IFERROR(IF($G$1="","",INDEX('Raw data'!$Q$4:$Q$267,MATCH('Body weight'!G$1&amp;$A$1&amp;$A86,'Raw data'!$K$4:$K$267&amp;'Raw data'!$L$2&amp;'Raw data'!$L$4:$L$267,0))),"")</f>
        <v/>
      </c>
      <c r="H86" s="442" t="str">
        <f t="array" ref="H86">IFERROR(IF($H$1="","",INDEX('Raw data'!$Q$4:$Q$267,MATCH('Body weight'!H$1&amp;$A$1&amp;$A86,'Raw data'!$K$4:$K$267&amp;'Raw data'!$L$2&amp;'Raw data'!$L$4:$L$267,0))),"")</f>
        <v/>
      </c>
      <c r="I86" s="24"/>
    </row>
    <row r="87" spans="1:9" s="291" customFormat="1" hidden="1" x14ac:dyDescent="0.25">
      <c r="A87" s="131" t="str">
        <f t="array" ref="A87">IFERROR(INDEX(Map!$V$2:$V$67,MATCH('Body weight'!$B87&amp;'Body weight'!$C87,Map!$W$2:$W$67&amp;Map!$X$2:$X$67,0)),"")</f>
        <v/>
      </c>
      <c r="B87" s="24" t="s">
        <v>15</v>
      </c>
      <c r="C87" s="216" t="s">
        <v>9</v>
      </c>
      <c r="D87" s="38" t="str">
        <f t="array" ref="D87">IFERROR(IF($D$1="","",INDEX('Raw data'!$F$4:$F$69,MATCH('Body weight'!$B87&amp;'Body weight'!$C87,'Raw data'!$B$4:$B$69&amp;'Raw data'!$C$4:$C$69,0))),"")</f>
        <v/>
      </c>
      <c r="E87" s="419" t="str">
        <f t="array" ref="E87">IFERROR(IF($E$1="","",INDEX('Raw data'!$Q$4:$Q$267,MATCH('Body weight'!E$1&amp;$A$1&amp;$A87,'Raw data'!$K$4:$K$267&amp;'Raw data'!$L$2&amp;'Raw data'!$L$4:$L$267,0))),"")</f>
        <v/>
      </c>
      <c r="F87" s="419" t="str">
        <f t="array" ref="F87">IFERROR(IF($F$1="","",INDEX('Raw data'!$Q$4:$Q$267,MATCH('Body weight'!F$1&amp;$A$1&amp;$A87,'Raw data'!$K$4:$K$267&amp;'Raw data'!$L$2&amp;'Raw data'!$L$4:$L$267,0))),"")</f>
        <v/>
      </c>
      <c r="G87" s="419" t="str">
        <f t="array" ref="G87">IFERROR(IF($G$1="","",INDEX('Raw data'!$Q$4:$Q$267,MATCH('Body weight'!G$1&amp;$A$1&amp;$A87,'Raw data'!$K$4:$K$267&amp;'Raw data'!$L$2&amp;'Raw data'!$L$4:$L$267,0))),"")</f>
        <v/>
      </c>
      <c r="H87" s="442" t="str">
        <f t="array" ref="H87">IFERROR(IF($H$1="","",INDEX('Raw data'!$Q$4:$Q$267,MATCH('Body weight'!H$1&amp;$A$1&amp;$A87,'Raw data'!$K$4:$K$267&amp;'Raw data'!$L$2&amp;'Raw data'!$L$4:$L$267,0))),"")</f>
        <v/>
      </c>
      <c r="I87" s="24"/>
    </row>
    <row r="88" spans="1:9" s="417" customFormat="1" hidden="1" x14ac:dyDescent="0.25">
      <c r="A88" s="432" t="str">
        <f t="array" ref="A88">IFERROR(INDEX(Map!$V$2:$V$67,MATCH('Body weight'!$B88&amp;'Body weight'!$C88,Map!$W$2:$W$67&amp;Map!$X$2:$X$67,0)),"")</f>
        <v/>
      </c>
      <c r="B88" s="418" t="s">
        <v>15</v>
      </c>
      <c r="C88" s="436" t="s">
        <v>22</v>
      </c>
      <c r="D88" s="419" t="str">
        <f t="array" ref="D88">IFERROR(IF($D$1="","",INDEX('Raw data'!$F$4:$F$69,MATCH('Body weight'!$B88&amp;'Body weight'!$C88,'Raw data'!$B$4:$B$69&amp;'Raw data'!$C$4:$C$69,0))),"")</f>
        <v/>
      </c>
      <c r="E88" s="419" t="str">
        <f t="array" ref="E88">IFERROR(IF($E$1="","",INDEX('Raw data'!$Q$4:$Q$267,MATCH('Body weight'!E$1&amp;$A$1&amp;$A88,'Raw data'!$K$4:$K$267&amp;'Raw data'!$L$2&amp;'Raw data'!$L$4:$L$267,0))),"")</f>
        <v/>
      </c>
      <c r="F88" s="419" t="str">
        <f t="array" ref="F88">IFERROR(IF($F$1="","",INDEX('Raw data'!$Q$4:$Q$267,MATCH('Body weight'!F$1&amp;$A$1&amp;$A88,'Raw data'!$K$4:$K$267&amp;'Raw data'!$L$2&amp;'Raw data'!$L$4:$L$267,0))),"")</f>
        <v/>
      </c>
      <c r="G88" s="419" t="str">
        <f t="array" ref="G88">IFERROR(IF($G$1="","",INDEX('Raw data'!$Q$4:$Q$267,MATCH('Body weight'!G$1&amp;$A$1&amp;$A88,'Raw data'!$K$4:$K$267&amp;'Raw data'!$L$2&amp;'Raw data'!$L$4:$L$267,0))),"")</f>
        <v/>
      </c>
      <c r="H88" s="442" t="str">
        <f t="array" ref="H88">IFERROR(IF($H$1="","",INDEX('Raw data'!$Q$4:$Q$267,MATCH('Body weight'!H$1&amp;$A$1&amp;$A88,'Raw data'!$K$4:$K$267&amp;'Raw data'!$L$2&amp;'Raw data'!$L$4:$L$267,0))),"")</f>
        <v/>
      </c>
      <c r="I88" s="418"/>
    </row>
    <row r="89" spans="1:9" s="417" customFormat="1" hidden="1" x14ac:dyDescent="0.25">
      <c r="A89" s="432" t="str">
        <f t="array" ref="A89">IFERROR(INDEX(Map!$V$2:$V$67,MATCH('Body weight'!$B89&amp;'Body weight'!$C89,Map!$W$2:$W$67&amp;Map!$X$2:$X$67,0)),"")</f>
        <v/>
      </c>
      <c r="B89" s="418" t="str">
        <f>B82</f>
        <v>T7</v>
      </c>
      <c r="C89" s="436" t="s">
        <v>101</v>
      </c>
      <c r="D89" s="419" t="str">
        <f t="array" ref="D89">IFERROR(IF($D$1="","",INDEX('Raw data'!$F$4:$F$69,MATCH('Body weight'!$B89&amp;'Body weight'!$C89,'Raw data'!$B$4:$B$69&amp;'Raw data'!$C$4:$C$69,0))),"")</f>
        <v/>
      </c>
      <c r="E89" s="419" t="str">
        <f t="array" ref="E89">IFERROR(IF($E$1="","",INDEX('Raw data'!$Q$4:$Q$267,MATCH('Body weight'!E$1&amp;$A$1&amp;$A89,'Raw data'!$K$4:$K$267&amp;'Raw data'!$L$2&amp;'Raw data'!$L$4:$L$267,0))),"")</f>
        <v/>
      </c>
      <c r="F89" s="419" t="str">
        <f t="array" ref="F89">IFERROR(IF($F$1="","",INDEX('Raw data'!$Q$4:$Q$267,MATCH('Body weight'!F$1&amp;$A$1&amp;$A89,'Raw data'!$K$4:$K$267&amp;'Raw data'!$L$2&amp;'Raw data'!$L$4:$L$267,0))),"")</f>
        <v/>
      </c>
      <c r="G89" s="419" t="str">
        <f t="array" ref="G89">IFERROR(IF($G$1="","",INDEX('Raw data'!$Q$4:$Q$267,MATCH('Body weight'!G$1&amp;$A$1&amp;$A89,'Raw data'!$K$4:$K$267&amp;'Raw data'!$L$2&amp;'Raw data'!$L$4:$L$267,0))),"")</f>
        <v/>
      </c>
      <c r="H89" s="442" t="str">
        <f t="array" ref="H89">IFERROR(IF($H$1="","",INDEX('Raw data'!$Q$4:$Q$267,MATCH('Body weight'!H$1&amp;$A$1&amp;$A89,'Raw data'!$K$4:$K$267&amp;'Raw data'!$L$2&amp;'Raw data'!$L$4:$L$267,0))),"")</f>
        <v/>
      </c>
      <c r="I89" s="418"/>
    </row>
    <row r="90" spans="1:9" s="417" customFormat="1" hidden="1" x14ac:dyDescent="0.25">
      <c r="A90" s="446" t="str">
        <f t="array" ref="A90">IFERROR(INDEX(Map!$V$2:$V$67,MATCH('Body weight'!$B90&amp;'Body weight'!$C90,Map!$W$2:$W$67&amp;Map!$X$2:$X$67,0)),"")</f>
        <v/>
      </c>
      <c r="B90" s="418" t="str">
        <f>B82</f>
        <v>T7</v>
      </c>
      <c r="C90" s="436" t="s">
        <v>102</v>
      </c>
      <c r="D90" s="434" t="str">
        <f t="array" ref="D90">IFERROR(IF($D$1="","",INDEX('Raw data'!$F$4:$F$69,MATCH('Body weight'!$B90&amp;'Body weight'!$C90,'Raw data'!$B$4:$B$69&amp;'Raw data'!$C$4:$C$69,0))),"")</f>
        <v/>
      </c>
      <c r="E90" s="435" t="str">
        <f t="array" ref="E90">IFERROR(IF($E$1="","",INDEX('Raw data'!$Q$4:$Q$267,MATCH('Body weight'!E$1&amp;$A$1&amp;$A90,'Raw data'!$K$4:$K$267&amp;'Raw data'!$L$2&amp;'Raw data'!$L$4:$L$267,0))),"")</f>
        <v/>
      </c>
      <c r="F90" s="435" t="str">
        <f t="array" ref="F90">IFERROR(IF($F$1="","",INDEX('Raw data'!$Q$4:$Q$267,MATCH('Body weight'!F$1&amp;$A$1&amp;$A90,'Raw data'!$K$4:$K$267&amp;'Raw data'!$L$2&amp;'Raw data'!$L$4:$L$267,0))),"")</f>
        <v/>
      </c>
      <c r="G90" s="435" t="str">
        <f t="array" ref="G90">IFERROR(IF($G$1="","",INDEX('Raw data'!$Q$4:$Q$267,MATCH('Body weight'!G$1&amp;$A$1&amp;$A90,'Raw data'!$K$4:$K$267&amp;'Raw data'!$L$2&amp;'Raw data'!$L$4:$L$267,0))),"")</f>
        <v/>
      </c>
      <c r="H90" s="443" t="str">
        <f t="array" ref="H90">IFERROR(IF($H$1="","",INDEX('Raw data'!$Q$4:$Q$267,MATCH('Body weight'!H$1&amp;$A$1&amp;$A90,'Raw data'!$K$4:$K$267&amp;'Raw data'!$L$2&amp;'Raw data'!$L$4:$L$267,0))),"")</f>
        <v/>
      </c>
      <c r="I90" s="418"/>
    </row>
    <row r="91" spans="1:9" s="291" customFormat="1" hidden="1" x14ac:dyDescent="0.25">
      <c r="A91" s="131"/>
      <c r="B91" s="565" t="s">
        <v>82</v>
      </c>
      <c r="C91" s="566"/>
      <c r="D91" s="217" t="e">
        <f>IF($D$1="","",(ROUND(AVERAGE(D80:D88),3)&amp;" ± "&amp;(ROUND(STDEV(D80:D88),3))))</f>
        <v>#DIV/0!</v>
      </c>
      <c r="E91" s="217" t="e">
        <f t="shared" ref="E91" si="0">IF($E$1="","",(ROUND(AVERAGE(E80:E88),3)&amp;" ± "&amp;(ROUND(STDEV(E80:E88),3))))</f>
        <v>#DIV/0!</v>
      </c>
      <c r="F91" s="217" t="e">
        <f t="shared" ref="F91" si="1">IF($F$1="","",(ROUND(AVERAGE(F80:F88),3)&amp;" ± "&amp;(ROUND(STDEV(F80:F88),3))))</f>
        <v>#DIV/0!</v>
      </c>
      <c r="G91" s="217" t="e">
        <f t="shared" ref="G91" si="2">IF($G$1="","",(ROUND(AVERAGE(G80:G88),3)&amp;" ± "&amp;(ROUND(STDEV(G80:G88),3))))</f>
        <v>#DIV/0!</v>
      </c>
      <c r="H91" s="352" t="e">
        <f t="shared" ref="H91" si="3">IF($H$1="","",(ROUND(AVERAGE(H80:H88),3)&amp;" ± "&amp;(ROUND(STDEV(H80:H88),3))))</f>
        <v>#DIV/0!</v>
      </c>
      <c r="I91" s="24"/>
    </row>
    <row r="92" spans="1:9" s="291" customFormat="1" ht="15.75" hidden="1" thickBot="1" x14ac:dyDescent="0.3">
      <c r="A92" s="132"/>
      <c r="B92" s="567" t="s">
        <v>83</v>
      </c>
      <c r="C92" s="568"/>
      <c r="D92" s="218" t="e">
        <f>IF($D$1="","",STDEV(D80:D88)/(AVERAGE(D80:D88)))</f>
        <v>#DIV/0!</v>
      </c>
      <c r="E92" s="218" t="e">
        <f t="shared" ref="E92" si="4">IF($E$1="","",STDEV(E80:E88)/(AVERAGE(E80:E88)))</f>
        <v>#DIV/0!</v>
      </c>
      <c r="F92" s="218" t="e">
        <f t="shared" ref="F92" si="5">IF($F$1="","",STDEV(F80:F88)/(AVERAGE(F80:F88)))</f>
        <v>#DIV/0!</v>
      </c>
      <c r="G92" s="218" t="e">
        <f t="shared" ref="G92" si="6">IF($G$1="","",STDEV(G80:G88)/(AVERAGE(G80:G88)))</f>
        <v>#DIV/0!</v>
      </c>
      <c r="H92" s="353" t="e">
        <f t="shared" ref="H92" si="7">IF($H$1="","",STDEV(H80:H88)/(AVERAGE(H80:H88)))</f>
        <v>#DIV/0!</v>
      </c>
      <c r="I92" s="24"/>
    </row>
    <row r="93" spans="1:9" x14ac:dyDescent="0.25">
      <c r="A93" s="24"/>
    </row>
  </sheetData>
  <mergeCells count="2">
    <mergeCell ref="B91:C91"/>
    <mergeCell ref="B92:C92"/>
  </mergeCells>
  <pageMargins left="0.511811024" right="0.511811024" top="0.78740157499999996" bottom="0.78740157499999996" header="0.31496062000000002" footer="0.31496062000000002"/>
  <pageSetup paperSize="9" orientation="portrait" horizontalDpi="4294967293" r:id="rId1"/>
  <ignoredErrors>
    <ignoredError sqref="B75:B76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H93"/>
  <sheetViews>
    <sheetView workbookViewId="0">
      <pane xSplit="3" ySplit="1" topLeftCell="D53" activePane="bottomRight" state="frozen"/>
      <selection pane="topRight" activeCell="C1" sqref="C1"/>
      <selection pane="bottomLeft" activeCell="A2" sqref="A2"/>
      <selection pane="bottomRight" activeCell="D77" sqref="D77"/>
    </sheetView>
  </sheetViews>
  <sheetFormatPr defaultRowHeight="15" x14ac:dyDescent="0.25"/>
  <cols>
    <col min="1" max="1" width="4.7109375" style="291" bestFit="1" customWidth="1"/>
    <col min="2" max="2" width="11.7109375" style="291" bestFit="1" customWidth="1"/>
    <col min="3" max="3" width="10.140625" style="291" bestFit="1" customWidth="1"/>
    <col min="4" max="7" width="15.42578125" style="291" customWidth="1"/>
    <col min="8" max="16384" width="9.140625" style="291"/>
  </cols>
  <sheetData>
    <row r="1" spans="1:8" ht="15.75" thickBot="1" x14ac:dyDescent="0.3">
      <c r="A1" s="306" t="s">
        <v>0</v>
      </c>
      <c r="B1" s="307" t="s">
        <v>30</v>
      </c>
      <c r="C1" s="316" t="s">
        <v>31</v>
      </c>
      <c r="D1" s="307" t="str">
        <f>IF('14 days'!B1="","","14 days")</f>
        <v>14 days</v>
      </c>
      <c r="E1" s="307" t="str">
        <f>IF('23 days'!B1="","","23 days")</f>
        <v>23 days</v>
      </c>
      <c r="F1" s="307" t="str">
        <f>IF('32 days'!B1="","","32 days")</f>
        <v>32 days</v>
      </c>
      <c r="G1" s="308" t="str">
        <f>IF('39 days'!B1="","","39 days")</f>
        <v>39 days</v>
      </c>
      <c r="H1" s="24"/>
    </row>
    <row r="2" spans="1:8" x14ac:dyDescent="0.25">
      <c r="A2" s="130">
        <f t="array" ref="A2">IFERROR(INDEX(Map!$V$2:$V$67,MATCH('Body weight gain'!$B2&amp;'Body weight gain'!$C2,Map!$W$2:$W$67&amp;Map!$X$2:$X$67,0)),"")</f>
        <v>8</v>
      </c>
      <c r="B2" s="41" t="s">
        <v>10</v>
      </c>
      <c r="C2" s="219" t="s">
        <v>2</v>
      </c>
      <c r="D2" s="220">
        <f t="array" ref="D2">IFERROR(IF($D$1="","",INDEX('Raw data'!$S$4:$S$267,MATCH('Body weight gain'!D$1&amp;$A$1&amp;$A2,'Raw data'!$K$4:$K$267&amp;'Raw data'!$L$2&amp;'Raw data'!$L$4:$L$267,0))),"")</f>
        <v>0.30389358974358971</v>
      </c>
      <c r="E2" s="220">
        <f t="array" ref="E2">IFERROR(IF($E$1="","",INDEX('Raw data'!$S$4:$S$267,MATCH('Body weight gain'!E$1&amp;$A$1&amp;$A2,'Raw data'!$K$4:$K$267&amp;'Raw data'!$L$2&amp;'Raw data'!$L$4:$L$267,0))),"")</f>
        <v>0.61948717948717946</v>
      </c>
      <c r="F2" s="220">
        <f t="array" ref="F2">IFERROR(IF($F$1="","",INDEX('Raw data'!$S$4:$S$267,MATCH('Body weight gain'!F$1&amp;$A$1&amp;$A2,'Raw data'!$K$4:$K$267&amp;'Raw data'!$L$2&amp;'Raw data'!$L$4:$L$267,0))),"")</f>
        <v>0.45313765182186239</v>
      </c>
      <c r="G2" s="350">
        <f t="array" ref="G2">IFERROR(IF($G$1="","",INDEX('Raw data'!$S$4:$S$267,MATCH('Body weight gain'!G$1&amp;$A$1&amp;$A2,'Raw data'!$K$4:$K$267&amp;'Raw data'!$L$2&amp;'Raw data'!$L$4:$L$267,0))),"")</f>
        <v>0.82346491228070162</v>
      </c>
      <c r="H2" s="24"/>
    </row>
    <row r="3" spans="1:8" x14ac:dyDescent="0.25">
      <c r="A3" s="131">
        <f t="array" ref="A3">IFERROR(INDEX(Map!$V$2:$V$67,MATCH('Body weight gain'!$B3&amp;'Body weight gain'!$C3,Map!$W$2:$W$67&amp;Map!$X$2:$X$67,0)),"")</f>
        <v>12</v>
      </c>
      <c r="B3" s="24" t="str">
        <f>B2</f>
        <v>T1</v>
      </c>
      <c r="C3" s="216" t="s">
        <v>3</v>
      </c>
      <c r="D3" s="38">
        <f t="array" ref="D3">IFERROR(IF($D$1="","",INDEX('Raw data'!$S$4:$S$267,MATCH('Body weight gain'!D$1&amp;$A$1&amp;$A3,'Raw data'!$K$4:$K$267&amp;'Raw data'!$L$2&amp;'Raw data'!$L$4:$L$267,0))),"")</f>
        <v>0.31012884615384612</v>
      </c>
      <c r="E3" s="38">
        <f t="array" ref="E3">IFERROR(IF($E$1="","",INDEX('Raw data'!$S$4:$S$267,MATCH('Body weight gain'!E$1&amp;$A$1&amp;$A3,'Raw data'!$K$4:$K$267&amp;'Raw data'!$L$2&amp;'Raw data'!$L$4:$L$267,0))),"")</f>
        <v>0.59641025641025669</v>
      </c>
      <c r="F3" s="38">
        <f t="array" ref="F3">IFERROR(IF($F$1="","",INDEX('Raw data'!$S$4:$S$267,MATCH('Body weight gain'!F$1&amp;$A$1&amp;$A3,'Raw data'!$K$4:$K$267&amp;'Raw data'!$L$2&amp;'Raw data'!$L$4:$L$267,0))),"")</f>
        <v>0.44348852901484448</v>
      </c>
      <c r="G3" s="351">
        <f t="array" ref="G3">IFERROR(IF($G$1="","",INDEX('Raw data'!$S$4:$S$267,MATCH('Body weight gain'!G$1&amp;$A$1&amp;$A3,'Raw data'!$K$4:$K$267&amp;'Raw data'!$L$2&amp;'Raw data'!$L$4:$L$267,0))),"")</f>
        <v>0.7934210526315788</v>
      </c>
      <c r="H3" s="24"/>
    </row>
    <row r="4" spans="1:8" x14ac:dyDescent="0.25">
      <c r="A4" s="131">
        <f t="array" ref="A4">IFERROR(INDEX(Map!$V$2:$V$67,MATCH('Body weight gain'!$B4&amp;'Body weight gain'!$C4,Map!$W$2:$W$67&amp;Map!$X$2:$X$67,0)),"")</f>
        <v>20</v>
      </c>
      <c r="B4" s="24" t="str">
        <f>B2</f>
        <v>T1</v>
      </c>
      <c r="C4" s="216" t="s">
        <v>4</v>
      </c>
      <c r="D4" s="38">
        <f t="array" ref="D4">IFERROR(IF($D$1="","",INDEX('Raw data'!$S$4:$S$267,MATCH('Body weight gain'!D$1&amp;$A$1&amp;$A4,'Raw data'!$K$4:$K$267&amp;'Raw data'!$L$2&amp;'Raw data'!$L$4:$L$267,0))),"")</f>
        <v>0.30787500000000001</v>
      </c>
      <c r="E4" s="38">
        <f t="array" ref="E4">IFERROR(IF($E$1="","",INDEX('Raw data'!$S$4:$S$267,MATCH('Body weight gain'!E$1&amp;$A$1&amp;$A4,'Raw data'!$K$4:$K$267&amp;'Raw data'!$L$2&amp;'Raw data'!$L$4:$L$267,0))),"")</f>
        <v>0.58900000000000019</v>
      </c>
      <c r="F4" s="38">
        <f t="array" ref="F4">IFERROR(IF($F$1="","",INDEX('Raw data'!$S$4:$S$267,MATCH('Body weight gain'!F$1&amp;$A$1&amp;$A4,'Raw data'!$K$4:$K$267&amp;'Raw data'!$L$2&amp;'Raw data'!$L$4:$L$267,0))),"")</f>
        <v>0.52032051282051262</v>
      </c>
      <c r="G4" s="351">
        <f t="array" ref="G4">IFERROR(IF($G$1="","",INDEX('Raw data'!$S$4:$S$267,MATCH('Body weight gain'!G$1&amp;$A$1&amp;$A4,'Raw data'!$K$4:$K$267&amp;'Raw data'!$L$2&amp;'Raw data'!$L$4:$L$267,0))),"")</f>
        <v>0.8227058029689609</v>
      </c>
      <c r="H4" s="24"/>
    </row>
    <row r="5" spans="1:8" x14ac:dyDescent="0.25">
      <c r="A5" s="131">
        <f t="array" ref="A5">IFERROR(INDEX(Map!$V$2:$V$67,MATCH('Body weight gain'!$B5&amp;'Body weight gain'!$C5,Map!$W$2:$W$67&amp;Map!$X$2:$X$67,0)),"")</f>
        <v>27</v>
      </c>
      <c r="B5" s="24" t="str">
        <f>B2</f>
        <v>T1</v>
      </c>
      <c r="C5" s="216" t="s">
        <v>5</v>
      </c>
      <c r="D5" s="38">
        <f t="array" ref="D5">IFERROR(IF($D$1="","",INDEX('Raw data'!$S$4:$S$267,MATCH('Body weight gain'!D$1&amp;$A$1&amp;$A5,'Raw data'!$K$4:$K$267&amp;'Raw data'!$L$2&amp;'Raw data'!$L$4:$L$267,0))),"")</f>
        <v>0.30890000000000001</v>
      </c>
      <c r="E5" s="38">
        <f t="array" ref="E5">IFERROR(IF($E$1="","",INDEX('Raw data'!$S$4:$S$267,MATCH('Body weight gain'!E$1&amp;$A$1&amp;$A5,'Raw data'!$K$4:$K$267&amp;'Raw data'!$L$2&amp;'Raw data'!$L$4:$L$267,0))),"")</f>
        <v>0.62525000000000008</v>
      </c>
      <c r="F5" s="38">
        <f t="array" ref="F5">IFERROR(IF($F$1="","",INDEX('Raw data'!$S$4:$S$267,MATCH('Body weight gain'!F$1&amp;$A$1&amp;$A5,'Raw data'!$K$4:$K$267&amp;'Raw data'!$L$2&amp;'Raw data'!$L$4:$L$267,0))),"")</f>
        <v>0.51999999999999968</v>
      </c>
      <c r="G5" s="351">
        <f t="array" ref="G5">IFERROR(IF($G$1="","",INDEX('Raw data'!$S$4:$S$267,MATCH('Body weight gain'!G$1&amp;$A$1&amp;$A5,'Raw data'!$K$4:$K$267&amp;'Raw data'!$L$2&amp;'Raw data'!$L$4:$L$267,0))),"")</f>
        <v>0.85128205128205114</v>
      </c>
      <c r="H5" s="24"/>
    </row>
    <row r="6" spans="1:8" x14ac:dyDescent="0.25">
      <c r="A6" s="131">
        <f t="array" ref="A6">IFERROR(INDEX(Map!$V$2:$V$67,MATCH('Body weight gain'!$B6&amp;'Body weight gain'!$C6,Map!$W$2:$W$67&amp;Map!$X$2:$X$67,0)),"")</f>
        <v>31</v>
      </c>
      <c r="B6" s="24" t="str">
        <f>B2</f>
        <v>T1</v>
      </c>
      <c r="C6" s="216" t="s">
        <v>6</v>
      </c>
      <c r="D6" s="38">
        <f t="array" ref="D6">IFERROR(IF($D$1="","",INDEX('Raw data'!$S$4:$S$267,MATCH('Body weight gain'!D$1&amp;$A$1&amp;$A6,'Raw data'!$K$4:$K$267&amp;'Raw data'!$L$2&amp;'Raw data'!$L$4:$L$267,0))),"")</f>
        <v>0.28242371794871796</v>
      </c>
      <c r="E6" s="38">
        <f t="array" ref="E6">IFERROR(IF($E$1="","",INDEX('Raw data'!$S$4:$S$267,MATCH('Body weight gain'!E$1&amp;$A$1&amp;$A6,'Raw data'!$K$4:$K$267&amp;'Raw data'!$L$2&amp;'Raw data'!$L$4:$L$267,0))),"")</f>
        <v>0.56692307692307708</v>
      </c>
      <c r="F6" s="38">
        <f t="array" ref="F6">IFERROR(IF($F$1="","",INDEX('Raw data'!$S$4:$S$267,MATCH('Body weight gain'!F$1&amp;$A$1&amp;$A6,'Raw data'!$K$4:$K$267&amp;'Raw data'!$L$2&amp;'Raw data'!$L$4:$L$267,0))),"")</f>
        <v>0.44197031039136281</v>
      </c>
      <c r="G6" s="351">
        <f t="array" ref="G6">IFERROR(IF($G$1="","",INDEX('Raw data'!$S$4:$S$267,MATCH('Body weight gain'!G$1&amp;$A$1&amp;$A6,'Raw data'!$K$4:$K$267&amp;'Raw data'!$L$2&amp;'Raw data'!$L$4:$L$267,0))),"")</f>
        <v>0.78684210526315801</v>
      </c>
      <c r="H6" s="24"/>
    </row>
    <row r="7" spans="1:8" x14ac:dyDescent="0.25">
      <c r="A7" s="131">
        <f t="array" ref="A7">IFERROR(INDEX(Map!$V$2:$V$67,MATCH('Body weight gain'!$B7&amp;'Body weight gain'!$C7,Map!$W$2:$W$67&amp;Map!$X$2:$X$67,0)),"")</f>
        <v>41</v>
      </c>
      <c r="B7" s="24" t="str">
        <f>B2</f>
        <v>T1</v>
      </c>
      <c r="C7" s="216" t="s">
        <v>7</v>
      </c>
      <c r="D7" s="38">
        <f t="array" ref="D7">IFERROR(IF($D$1="","",INDEX('Raw data'!$S$4:$S$267,MATCH('Body weight gain'!D$1&amp;$A$1&amp;$A7,'Raw data'!$K$4:$K$267&amp;'Raw data'!$L$2&amp;'Raw data'!$L$4:$L$267,0))),"")</f>
        <v>0.31675000000000003</v>
      </c>
      <c r="E7" s="38">
        <f t="array" ref="E7">IFERROR(IF($E$1="","",INDEX('Raw data'!$S$4:$S$267,MATCH('Body weight gain'!E$1&amp;$A$1&amp;$A7,'Raw data'!$K$4:$K$267&amp;'Raw data'!$L$2&amp;'Raw data'!$L$4:$L$267,0))),"")</f>
        <v>0.62400000000000011</v>
      </c>
      <c r="F7" s="38">
        <f t="array" ref="F7">IFERROR(IF($F$1="","",INDEX('Raw data'!$S$4:$S$267,MATCH('Body weight gain'!F$1&amp;$A$1&amp;$A7,'Raw data'!$K$4:$K$267&amp;'Raw data'!$L$2&amp;'Raw data'!$L$4:$L$267,0))),"")</f>
        <v>0.52144230769230759</v>
      </c>
      <c r="G7" s="351">
        <f t="array" ref="G7">IFERROR(IF($G$1="","",INDEX('Raw data'!$S$4:$S$267,MATCH('Body weight gain'!G$1&amp;$A$1&amp;$A7,'Raw data'!$K$4:$K$267&amp;'Raw data'!$L$2&amp;'Raw data'!$L$4:$L$267,0))),"")</f>
        <v>0.7897435897435896</v>
      </c>
      <c r="H7" s="24"/>
    </row>
    <row r="8" spans="1:8" x14ac:dyDescent="0.25">
      <c r="A8" s="131">
        <f t="array" ref="A8">IFERROR(INDEX(Map!$V$2:$V$67,MATCH('Body weight gain'!$B8&amp;'Body weight gain'!$C8,Map!$W$2:$W$67&amp;Map!$X$2:$X$67,0)),"")</f>
        <v>50</v>
      </c>
      <c r="B8" s="24" t="str">
        <f>B2</f>
        <v>T1</v>
      </c>
      <c r="C8" s="216" t="s">
        <v>8</v>
      </c>
      <c r="D8" s="38">
        <f t="array" ref="D8">IFERROR(IF($D$1="","",INDEX('Raw data'!$S$4:$S$267,MATCH('Body weight gain'!D$1&amp;$A$1&amp;$A8,'Raw data'!$K$4:$K$267&amp;'Raw data'!$L$2&amp;'Raw data'!$L$4:$L$267,0))),"")</f>
        <v>0.32481447368421051</v>
      </c>
      <c r="E8" s="38">
        <f t="array" ref="E8">IFERROR(IF($E$1="","",INDEX('Raw data'!$S$4:$S$267,MATCH('Body weight gain'!E$1&amp;$A$1&amp;$A8,'Raw data'!$K$4:$K$267&amp;'Raw data'!$L$2&amp;'Raw data'!$L$4:$L$267,0))),"")</f>
        <v>0.61605263157894741</v>
      </c>
      <c r="F8" s="38">
        <f t="array" ref="F8">IFERROR(IF($F$1="","",INDEX('Raw data'!$S$4:$S$267,MATCH('Body weight gain'!F$1&amp;$A$1&amp;$A8,'Raw data'!$K$4:$K$267&amp;'Raw data'!$L$2&amp;'Raw data'!$L$4:$L$267,0))),"")</f>
        <v>0.5401849217638689</v>
      </c>
      <c r="G8" s="351">
        <f t="array" ref="G8">IFERROR(IF($G$1="","",INDEX('Raw data'!$S$4:$S$267,MATCH('Body weight gain'!G$1&amp;$A$1&amp;$A8,'Raw data'!$K$4:$K$267&amp;'Raw data'!$L$2&amp;'Raw data'!$L$4:$L$267,0))),"")</f>
        <v>0.84936186186186191</v>
      </c>
      <c r="H8" s="24"/>
    </row>
    <row r="9" spans="1:8" x14ac:dyDescent="0.25">
      <c r="A9" s="131">
        <f t="array" ref="A9">IFERROR(INDEX(Map!$V$2:$V$67,MATCH('Body weight gain'!$B9&amp;'Body weight gain'!$C9,Map!$W$2:$W$67&amp;Map!$X$2:$X$67,0)),"")</f>
        <v>58</v>
      </c>
      <c r="B9" s="24" t="str">
        <f>B2</f>
        <v>T1</v>
      </c>
      <c r="C9" s="216" t="s">
        <v>9</v>
      </c>
      <c r="D9" s="38">
        <f t="array" ref="D9">IFERROR(IF($D$1="","",INDEX('Raw data'!$S$4:$S$267,MATCH('Body weight gain'!D$1&amp;$A$1&amp;$A9,'Raw data'!$K$4:$K$267&amp;'Raw data'!$L$2&amp;'Raw data'!$L$4:$L$267,0))),"")</f>
        <v>0.3208102564102564</v>
      </c>
      <c r="E9" s="38">
        <f t="array" ref="E9">IFERROR(IF($E$1="","",INDEX('Raw data'!$S$4:$S$267,MATCH('Body weight gain'!E$1&amp;$A$1&amp;$A9,'Raw data'!$K$4:$K$267&amp;'Raw data'!$L$2&amp;'Raw data'!$L$4:$L$267,0))),"")</f>
        <v>0.62205128205128202</v>
      </c>
      <c r="F9" s="38">
        <f t="array" ref="F9">IFERROR(IF($F$1="","",INDEX('Raw data'!$S$4:$S$267,MATCH('Body weight gain'!F$1&amp;$A$1&amp;$A9,'Raw data'!$K$4:$K$267&amp;'Raw data'!$L$2&amp;'Raw data'!$L$4:$L$267,0))),"")</f>
        <v>0.48917004048583002</v>
      </c>
      <c r="G9" s="351">
        <f t="array" ref="G9">IFERROR(IF($G$1="","",INDEX('Raw data'!$S$4:$S$267,MATCH('Body weight gain'!G$1&amp;$A$1&amp;$A9,'Raw data'!$K$4:$K$267&amp;'Raw data'!$L$2&amp;'Raw data'!$L$4:$L$267,0))),"")</f>
        <v>0.81578947368421062</v>
      </c>
      <c r="H9" s="24"/>
    </row>
    <row r="10" spans="1:8" s="417" customFormat="1" x14ac:dyDescent="0.25">
      <c r="A10" s="432">
        <f t="array" ref="A10">IFERROR(INDEX(Map!$V$2:$V$67,MATCH('Body weight gain'!$B10&amp;'Body weight gain'!$C10,Map!$W$2:$W$67&amp;Map!$X$2:$X$67,0)),"")</f>
        <v>63</v>
      </c>
      <c r="B10" s="418" t="str">
        <f>B3</f>
        <v>T1</v>
      </c>
      <c r="C10" s="436" t="s">
        <v>22</v>
      </c>
      <c r="D10" s="419">
        <f t="array" ref="D10">IFERROR(IF($D$1="","",INDEX('Raw data'!$S$4:$S$267,MATCH('Body weight gain'!D$1&amp;$A$1&amp;$A10,'Raw data'!$K$4:$K$267&amp;'Raw data'!$L$2&amp;'Raw data'!$L$4:$L$267,0))),"")</f>
        <v>0.31922820512820516</v>
      </c>
      <c r="E10" s="419">
        <f t="array" ref="E10">IFERROR(IF($E$1="","",INDEX('Raw data'!$S$4:$S$267,MATCH('Body weight gain'!E$1&amp;$A$1&amp;$A10,'Raw data'!$K$4:$K$267&amp;'Raw data'!$L$2&amp;'Raw data'!$L$4:$L$267,0))),"")</f>
        <v>0.65153846153846162</v>
      </c>
      <c r="F10" s="419">
        <f t="array" ref="F10">IFERROR(IF($F$1="","",INDEX('Raw data'!$S$4:$S$267,MATCH('Body weight gain'!F$1&amp;$A$1&amp;$A10,'Raw data'!$K$4:$K$267&amp;'Raw data'!$L$2&amp;'Raw data'!$L$4:$L$267,0))),"")</f>
        <v>0.52017543859649074</v>
      </c>
      <c r="G10" s="442">
        <f t="array" ref="G10">IFERROR(IF($G$1="","",INDEX('Raw data'!$S$4:$S$267,MATCH('Body weight gain'!G$1&amp;$A$1&amp;$A10,'Raw data'!$K$4:$K$267&amp;'Raw data'!$L$2&amp;'Raw data'!$L$4:$L$267,0))),"")</f>
        <v>0.8118065433854913</v>
      </c>
      <c r="H10" s="418"/>
    </row>
    <row r="11" spans="1:8" s="417" customFormat="1" x14ac:dyDescent="0.25">
      <c r="A11" s="432">
        <f t="array" ref="A11">IFERROR(INDEX(Map!$V$2:$V$67,MATCH('Body weight gain'!$B11&amp;'Body weight gain'!$C11,Map!$W$2:$W$67&amp;Map!$X$2:$X$67,0)),"")</f>
        <v>46</v>
      </c>
      <c r="B11" s="418" t="str">
        <f>B2</f>
        <v>T1</v>
      </c>
      <c r="C11" s="436" t="s">
        <v>101</v>
      </c>
      <c r="D11" s="419">
        <f t="array" ref="D11">IFERROR(IF($D$1="","",INDEX('Raw data'!$S$4:$S$267,MATCH('Body weight gain'!D$1&amp;$A$1&amp;$A11,'Raw data'!$K$4:$K$267&amp;'Raw data'!$L$2&amp;'Raw data'!$L$4:$L$267,0))),"")</f>
        <v>0.32219230769230767</v>
      </c>
      <c r="E11" s="419">
        <f t="array" ref="E11">IFERROR(IF($E$1="","",INDEX('Raw data'!$S$4:$S$267,MATCH('Body weight gain'!E$1&amp;$A$1&amp;$A11,'Raw data'!$K$4:$K$267&amp;'Raw data'!$L$2&amp;'Raw data'!$L$4:$L$267,0))),"")</f>
        <v>0.65153846153846151</v>
      </c>
      <c r="F11" s="419">
        <f t="array" ref="F11">IFERROR(IF($F$1="","",INDEX('Raw data'!$S$4:$S$267,MATCH('Body weight gain'!F$1&amp;$A$1&amp;$A11,'Raw data'!$K$4:$K$267&amp;'Raw data'!$L$2&amp;'Raw data'!$L$4:$L$267,0))),"")</f>
        <v>0.52155870445344132</v>
      </c>
      <c r="G11" s="442">
        <f t="array" ref="G11">IFERROR(IF($G$1="","",INDEX('Raw data'!$S$4:$S$267,MATCH('Body weight gain'!G$1&amp;$A$1&amp;$A11,'Raw data'!$K$4:$K$267&amp;'Raw data'!$L$2&amp;'Raw data'!$L$4:$L$267,0))),"")</f>
        <v>0.87587719298245603</v>
      </c>
      <c r="H11" s="418"/>
    </row>
    <row r="12" spans="1:8" s="417" customFormat="1" x14ac:dyDescent="0.25">
      <c r="A12" s="446">
        <f t="array" ref="A12">IFERROR(INDEX(Map!$V$2:$V$67,MATCH('Body weight gain'!$B12&amp;'Body weight gain'!$C12,Map!$W$2:$W$67&amp;Map!$X$2:$X$67,0)),"")</f>
        <v>66</v>
      </c>
      <c r="B12" s="418" t="str">
        <f>B2</f>
        <v>T1</v>
      </c>
      <c r="C12" s="436" t="s">
        <v>102</v>
      </c>
      <c r="D12" s="435">
        <f t="array" ref="D12">IFERROR(IF($D$1="","",INDEX('Raw data'!$S$4:$S$267,MATCH('Body weight gain'!D$1&amp;$A$1&amp;$A12,'Raw data'!$K$4:$K$267&amp;'Raw data'!$L$2&amp;'Raw data'!$L$4:$L$267,0))),"")</f>
        <v>0.33390576923076926</v>
      </c>
      <c r="E12" s="435">
        <f t="array" ref="E12">IFERROR(IF($E$1="","",INDEX('Raw data'!$S$4:$S$267,MATCH('Body weight gain'!E$1&amp;$A$1&amp;$A12,'Raw data'!$K$4:$K$267&amp;'Raw data'!$L$2&amp;'Raw data'!$L$4:$L$267,0))),"")</f>
        <v>0.65234817813765189</v>
      </c>
      <c r="F12" s="435">
        <f t="array" ref="F12">IFERROR(IF($F$1="","",INDEX('Raw data'!$S$4:$S$267,MATCH('Body weight gain'!F$1&amp;$A$1&amp;$A12,'Raw data'!$K$4:$K$267&amp;'Raw data'!$L$2&amp;'Raw data'!$L$4:$L$267,0))),"")</f>
        <v>0.44413533834586438</v>
      </c>
      <c r="G12" s="443">
        <f t="array" ref="G12">IFERROR(IF($G$1="","",INDEX('Raw data'!$S$4:$S$267,MATCH('Body weight gain'!G$1&amp;$A$1&amp;$A12,'Raw data'!$K$4:$K$267&amp;'Raw data'!$L$2&amp;'Raw data'!$L$4:$L$267,0))),"")</f>
        <v>0.87571428571428589</v>
      </c>
      <c r="H12" s="418"/>
    </row>
    <row r="13" spans="1:8" x14ac:dyDescent="0.25">
      <c r="A13" s="131"/>
      <c r="B13" s="565" t="s">
        <v>82</v>
      </c>
      <c r="C13" s="566"/>
      <c r="D13" s="217" t="str">
        <f>IF($D$1="","",(ROUND(AVERAGE(D2:D12),3)&amp;" ± "&amp;(ROUND(STDEV(D2:D12),3))))</f>
        <v>0,314 ± 0,014</v>
      </c>
      <c r="E13" s="217" t="str">
        <f>IF($E$1="","",(ROUND(AVERAGE(E2:E12),3)&amp;" ± "&amp;(ROUND(STDEV(E2:E12),3))))</f>
        <v>0,62 ± 0,027</v>
      </c>
      <c r="F13" s="217" t="str">
        <f>IF($F$1="","",(ROUND(AVERAGE(F2:F12),3)&amp;" ± "&amp;(ROUND(STDEV(F2:F12),3))))</f>
        <v>0,492 ± 0,039</v>
      </c>
      <c r="G13" s="352" t="str">
        <f>IF($G$1="","",(ROUND(AVERAGE(G2:G12),3)&amp;" ± "&amp;(ROUND(STDEV(G2:G12),3))))</f>
        <v>0,827 ± 0,032</v>
      </c>
      <c r="H13" s="24"/>
    </row>
    <row r="14" spans="1:8" ht="15.75" thickBot="1" x14ac:dyDescent="0.3">
      <c r="A14" s="132"/>
      <c r="B14" s="567" t="s">
        <v>83</v>
      </c>
      <c r="C14" s="568"/>
      <c r="D14" s="218">
        <f>IF($D$1="","",STDEV(D2:D12)/(AVERAGE(D2:D12)))</f>
        <v>4.3219679597755981E-2</v>
      </c>
      <c r="E14" s="218">
        <f>IF($E$1="","",STDEV(E2:E12)/(AVERAGE(E2:E12)))</f>
        <v>4.4003406130670879E-2</v>
      </c>
      <c r="F14" s="218">
        <f>IF($F$1="","",STDEV(F2:F12)/(AVERAGE(F2:F12)))</f>
        <v>7.8946487038022303E-2</v>
      </c>
      <c r="G14" s="353">
        <f>IF($G$1="","",STDEV(G2:G12)/(AVERAGE(G2:G12)))</f>
        <v>3.8938164065350007E-2</v>
      </c>
      <c r="H14" s="24"/>
    </row>
    <row r="15" spans="1:8" x14ac:dyDescent="0.25">
      <c r="A15" s="431">
        <f t="array" ref="A15">IFERROR(INDEX(Map!$V$2:$V$67,MATCH('Body weight gain'!$B15&amp;'Body weight gain'!$C15,Map!$W$2:$W$67&amp;Map!$X$2:$X$67,0)),"")</f>
        <v>7</v>
      </c>
      <c r="B15" s="41" t="s">
        <v>13</v>
      </c>
      <c r="C15" s="219" t="s">
        <v>2</v>
      </c>
      <c r="D15" s="440">
        <f t="array" ref="D15">IFERROR(IF($D$1="","",INDEX('Raw data'!$S$4:$S$267,MATCH('Body weight gain'!D$1&amp;$A$1&amp;$A15,'Raw data'!$K$4:$K$267&amp;'Raw data'!$L$2&amp;'Raw data'!$L$4:$L$267,0))),"")</f>
        <v>0.31415000000000004</v>
      </c>
      <c r="E15" s="440">
        <f t="array" ref="E15">IFERROR(IF($E$1="","",INDEX('Raw data'!$S$4:$S$267,MATCH('Body weight gain'!E$1&amp;$A$1&amp;$A15,'Raw data'!$K$4:$K$267&amp;'Raw data'!$L$2&amp;'Raw data'!$L$4:$L$267,0))),"")</f>
        <v>0.63358974358974351</v>
      </c>
      <c r="F15" s="440">
        <f t="array" ref="F15">IFERROR(IF($F$1="","",INDEX('Raw data'!$S$4:$S$267,MATCH('Body weight gain'!F$1&amp;$A$1&amp;$A15,'Raw data'!$K$4:$K$267&amp;'Raw data'!$L$2&amp;'Raw data'!$L$4:$L$267,0))),"")</f>
        <v>0.53404183535762484</v>
      </c>
      <c r="G15" s="441">
        <f t="array" ref="G15">IFERROR(IF($G$1="","",INDEX('Raw data'!$S$4:$S$267,MATCH('Body weight gain'!G$1&amp;$A$1&amp;$A15,'Raw data'!$K$4:$K$267&amp;'Raw data'!$L$2&amp;'Raw data'!$L$4:$L$267,0))),"")</f>
        <v>0.78552631578947385</v>
      </c>
      <c r="H15" s="24"/>
    </row>
    <row r="16" spans="1:8" x14ac:dyDescent="0.25">
      <c r="A16" s="432">
        <f t="array" ref="A16">IFERROR(INDEX(Map!$V$2:$V$67,MATCH('Body weight gain'!$B16&amp;'Body weight gain'!$C16,Map!$W$2:$W$67&amp;Map!$X$2:$X$67,0)),"")</f>
        <v>11</v>
      </c>
      <c r="B16" s="24" t="str">
        <f>B15</f>
        <v>T2</v>
      </c>
      <c r="C16" s="216" t="s">
        <v>3</v>
      </c>
      <c r="D16" s="419">
        <f t="array" ref="D16">IFERROR(IF($D$1="","",INDEX('Raw data'!$S$4:$S$267,MATCH('Body weight gain'!D$1&amp;$A$1&amp;$A16,'Raw data'!$K$4:$K$267&amp;'Raw data'!$L$2&amp;'Raw data'!$L$4:$L$267,0))),"")</f>
        <v>0.27578846153846148</v>
      </c>
      <c r="E16" s="419">
        <f t="array" ref="E16">IFERROR(IF($E$1="","",INDEX('Raw data'!$S$4:$S$267,MATCH('Body weight gain'!E$1&amp;$A$1&amp;$A16,'Raw data'!$K$4:$K$267&amp;'Raw data'!$L$2&amp;'Raw data'!$L$4:$L$267,0))),"")</f>
        <v>0.54512820512820515</v>
      </c>
      <c r="F16" s="419">
        <f t="array" ref="F16">IFERROR(IF($F$1="","",INDEX('Raw data'!$S$4:$S$267,MATCH('Body weight gain'!F$1&amp;$A$1&amp;$A16,'Raw data'!$K$4:$K$267&amp;'Raw data'!$L$2&amp;'Raw data'!$L$4:$L$267,0))),"")</f>
        <v>0.45438596491228067</v>
      </c>
      <c r="G16" s="442">
        <f t="array" ref="G16">IFERROR(IF($G$1="","",INDEX('Raw data'!$S$4:$S$267,MATCH('Body weight gain'!G$1&amp;$A$1&amp;$A16,'Raw data'!$K$4:$K$267&amp;'Raw data'!$L$2&amp;'Raw data'!$L$4:$L$267,0))),"")</f>
        <v>0.81842105263157894</v>
      </c>
      <c r="H16" s="24"/>
    </row>
    <row r="17" spans="1:8" x14ac:dyDescent="0.25">
      <c r="A17" s="432">
        <f t="array" ref="A17">IFERROR(INDEX(Map!$V$2:$V$67,MATCH('Body weight gain'!$B17&amp;'Body weight gain'!$C17,Map!$W$2:$W$67&amp;Map!$X$2:$X$67,0)),"")</f>
        <v>16</v>
      </c>
      <c r="B17" s="24" t="str">
        <f>B15</f>
        <v>T2</v>
      </c>
      <c r="C17" s="216" t="s">
        <v>4</v>
      </c>
      <c r="D17" s="419">
        <f t="array" ref="D17">IFERROR(IF($D$1="","",INDEX('Raw data'!$S$4:$S$267,MATCH('Body weight gain'!D$1&amp;$A$1&amp;$A17,'Raw data'!$K$4:$K$267&amp;'Raw data'!$L$2&amp;'Raw data'!$L$4:$L$267,0))),"")</f>
        <v>0.33471282051282047</v>
      </c>
      <c r="E17" s="419">
        <f t="array" ref="E17">IFERROR(IF($E$1="","",INDEX('Raw data'!$S$4:$S$267,MATCH('Body weight gain'!E$1&amp;$A$1&amp;$A17,'Raw data'!$K$4:$K$267&amp;'Raw data'!$L$2&amp;'Raw data'!$L$4:$L$267,0))),"")</f>
        <v>0.62076923076923074</v>
      </c>
      <c r="F17" s="419">
        <f t="array" ref="F17">IFERROR(IF($F$1="","",INDEX('Raw data'!$S$4:$S$267,MATCH('Body weight gain'!F$1&amp;$A$1&amp;$A17,'Raw data'!$K$4:$K$267&amp;'Raw data'!$L$2&amp;'Raw data'!$L$4:$L$267,0))),"")</f>
        <v>0.51977058029689593</v>
      </c>
      <c r="G17" s="442">
        <f t="array" ref="G17">IFERROR(IF($G$1="","",INDEX('Raw data'!$S$4:$S$267,MATCH('Body weight gain'!G$1&amp;$A$1&amp;$A17,'Raw data'!$K$4:$K$267&amp;'Raw data'!$L$2&amp;'Raw data'!$L$4:$L$267,0))),"")</f>
        <v>0.90789473684210553</v>
      </c>
      <c r="H17" s="24"/>
    </row>
    <row r="18" spans="1:8" x14ac:dyDescent="0.25">
      <c r="A18" s="432">
        <f t="array" ref="A18">IFERROR(INDEX(Map!$V$2:$V$67,MATCH('Body weight gain'!$B18&amp;'Body weight gain'!$C18,Map!$W$2:$W$67&amp;Map!$X$2:$X$67,0)),"")</f>
        <v>25</v>
      </c>
      <c r="B18" s="24" t="str">
        <f>B15</f>
        <v>T2</v>
      </c>
      <c r="C18" s="216" t="s">
        <v>5</v>
      </c>
      <c r="D18" s="419">
        <f t="array" ref="D18">IFERROR(IF($D$1="","",INDEX('Raw data'!$S$4:$S$267,MATCH('Body weight gain'!D$1&amp;$A$1&amp;$A18,'Raw data'!$K$4:$K$267&amp;'Raw data'!$L$2&amp;'Raw data'!$L$4:$L$267,0))),"")</f>
        <v>0.30662499999999993</v>
      </c>
      <c r="E18" s="419">
        <f t="array" ref="E18">IFERROR(IF($E$1="","",INDEX('Raw data'!$S$4:$S$267,MATCH('Body weight gain'!E$1&amp;$A$1&amp;$A18,'Raw data'!$K$4:$K$267&amp;'Raw data'!$L$2&amp;'Raw data'!$L$4:$L$267,0))),"")</f>
        <v>0.60400000000000009</v>
      </c>
      <c r="F18" s="419">
        <f t="array" ref="F18">IFERROR(IF($F$1="","",INDEX('Raw data'!$S$4:$S$267,MATCH('Body weight gain'!F$1&amp;$A$1&amp;$A18,'Raw data'!$K$4:$K$267&amp;'Raw data'!$L$2&amp;'Raw data'!$L$4:$L$267,0))),"")</f>
        <v>0.50400641025641013</v>
      </c>
      <c r="G18" s="442">
        <f t="array" ref="G18">IFERROR(IF($G$1="","",INDEX('Raw data'!$S$4:$S$267,MATCH('Body weight gain'!G$1&amp;$A$1&amp;$A18,'Raw data'!$K$4:$K$267&amp;'Raw data'!$L$2&amp;'Raw data'!$L$4:$L$267,0))),"")</f>
        <v>0.85512820512820498</v>
      </c>
      <c r="H18" s="24"/>
    </row>
    <row r="19" spans="1:8" x14ac:dyDescent="0.25">
      <c r="A19" s="432">
        <f t="array" ref="A19">IFERROR(INDEX(Map!$V$2:$V$67,MATCH('Body weight gain'!$B19&amp;'Body weight gain'!$C19,Map!$W$2:$W$67&amp;Map!$X$2:$X$67,0)),"")</f>
        <v>34</v>
      </c>
      <c r="B19" s="24" t="str">
        <f>B15</f>
        <v>T2</v>
      </c>
      <c r="C19" s="216" t="s">
        <v>6</v>
      </c>
      <c r="D19" s="419">
        <f t="array" ref="D19">IFERROR(IF($D$1="","",INDEX('Raw data'!$S$4:$S$267,MATCH('Body weight gain'!D$1&amp;$A$1&amp;$A19,'Raw data'!$K$4:$K$267&amp;'Raw data'!$L$2&amp;'Raw data'!$L$4:$L$267,0))),"")</f>
        <v>0.30437500000000001</v>
      </c>
      <c r="E19" s="419">
        <f t="array" ref="E19">IFERROR(IF($E$1="","",INDEX('Raw data'!$S$4:$S$267,MATCH('Body weight gain'!E$1&amp;$A$1&amp;$A19,'Raw data'!$K$4:$K$267&amp;'Raw data'!$L$2&amp;'Raw data'!$L$4:$L$267,0))),"")</f>
        <v>0.59524999999999995</v>
      </c>
      <c r="F19" s="419">
        <f t="array" ref="F19">IFERROR(IF($F$1="","",INDEX('Raw data'!$S$4:$S$267,MATCH('Body weight gain'!F$1&amp;$A$1&amp;$A19,'Raw data'!$K$4:$K$267&amp;'Raw data'!$L$2&amp;'Raw data'!$L$4:$L$267,0))),"")</f>
        <v>0.50115384615384595</v>
      </c>
      <c r="G19" s="442">
        <f t="array" ref="G19">IFERROR(IF($G$1="","",INDEX('Raw data'!$S$4:$S$267,MATCH('Body weight gain'!G$1&amp;$A$1&amp;$A19,'Raw data'!$K$4:$K$267&amp;'Raw data'!$L$2&amp;'Raw data'!$L$4:$L$267,0))),"")</f>
        <v>0.85114345114345147</v>
      </c>
      <c r="H19" s="24"/>
    </row>
    <row r="20" spans="1:8" x14ac:dyDescent="0.25">
      <c r="A20" s="432">
        <f t="array" ref="A20">IFERROR(INDEX(Map!$V$2:$V$67,MATCH('Body weight gain'!$B20&amp;'Body weight gain'!$C20,Map!$W$2:$W$67&amp;Map!$X$2:$X$67,0)),"")</f>
        <v>37</v>
      </c>
      <c r="B20" s="24" t="str">
        <f>B15</f>
        <v>T2</v>
      </c>
      <c r="C20" s="216" t="s">
        <v>7</v>
      </c>
      <c r="D20" s="419">
        <f t="array" ref="D20">IFERROR(IF($D$1="","",INDEX('Raw data'!$S$4:$S$267,MATCH('Body weight gain'!D$1&amp;$A$1&amp;$A20,'Raw data'!$K$4:$K$267&amp;'Raw data'!$L$2&amp;'Raw data'!$L$4:$L$267,0))),"")</f>
        <v>0.30422500000000002</v>
      </c>
      <c r="E20" s="419">
        <f t="array" ref="E20">IFERROR(IF($E$1="","",INDEX('Raw data'!$S$4:$S$267,MATCH('Body weight gain'!E$1&amp;$A$1&amp;$A20,'Raw data'!$K$4:$K$267&amp;'Raw data'!$L$2&amp;'Raw data'!$L$4:$L$267,0))),"")</f>
        <v>0.52845512820512819</v>
      </c>
      <c r="F20" s="419">
        <f t="array" ref="F20">IFERROR(IF($F$1="","",INDEX('Raw data'!$S$4:$S$267,MATCH('Body weight gain'!F$1&amp;$A$1&amp;$A20,'Raw data'!$K$4:$K$267&amp;'Raw data'!$L$2&amp;'Raw data'!$L$4:$L$267,0))),"")</f>
        <v>0.60693000693000676</v>
      </c>
      <c r="G20" s="442">
        <f t="array" ref="G20">IFERROR(IF($G$1="","",INDEX('Raw data'!$S$4:$S$267,MATCH('Body weight gain'!G$1&amp;$A$1&amp;$A20,'Raw data'!$K$4:$K$267&amp;'Raw data'!$L$2&amp;'Raw data'!$L$4:$L$267,0))),"")</f>
        <v>0.77736486486486478</v>
      </c>
      <c r="H20" s="24"/>
    </row>
    <row r="21" spans="1:8" x14ac:dyDescent="0.25">
      <c r="A21" s="432">
        <f t="array" ref="A21">IFERROR(INDEX(Map!$V$2:$V$67,MATCH('Body weight gain'!$B21&amp;'Body weight gain'!$C21,Map!$W$2:$W$67&amp;Map!$X$2:$X$67,0)),"")</f>
        <v>52</v>
      </c>
      <c r="B21" s="24" t="str">
        <f>B15</f>
        <v>T2</v>
      </c>
      <c r="C21" s="216" t="s">
        <v>8</v>
      </c>
      <c r="D21" s="419">
        <f t="array" ref="D21">IFERROR(IF($D$1="","",INDEX('Raw data'!$S$4:$S$267,MATCH('Body weight gain'!D$1&amp;$A$1&amp;$A21,'Raw data'!$K$4:$K$267&amp;'Raw data'!$L$2&amp;'Raw data'!$L$4:$L$267,0))),"")</f>
        <v>0.33626987179487178</v>
      </c>
      <c r="E21" s="419">
        <f t="array" ref="E21">IFERROR(IF($E$1="","",INDEX('Raw data'!$S$4:$S$267,MATCH('Body weight gain'!E$1&amp;$A$1&amp;$A21,'Raw data'!$K$4:$K$267&amp;'Raw data'!$L$2&amp;'Raw data'!$L$4:$L$267,0))),"")</f>
        <v>0.59897435897435902</v>
      </c>
      <c r="F21" s="419">
        <f t="array" ref="F21">IFERROR(IF($F$1="","",INDEX('Raw data'!$S$4:$S$267,MATCH('Body weight gain'!F$1&amp;$A$1&amp;$A21,'Raw data'!$K$4:$K$267&amp;'Raw data'!$L$2&amp;'Raw data'!$L$4:$L$267,0))),"")</f>
        <v>0.57054655870445348</v>
      </c>
      <c r="G21" s="442">
        <f t="array" ref="G21">IFERROR(IF($G$1="","",INDEX('Raw data'!$S$4:$S$267,MATCH('Body weight gain'!G$1&amp;$A$1&amp;$A21,'Raw data'!$K$4:$K$267&amp;'Raw data'!$L$2&amp;'Raw data'!$L$4:$L$267,0))),"")</f>
        <v>0.82236842105263119</v>
      </c>
      <c r="H21" s="24"/>
    </row>
    <row r="22" spans="1:8" x14ac:dyDescent="0.25">
      <c r="A22" s="432">
        <f t="array" ref="A22">IFERROR(INDEX(Map!$V$2:$V$67,MATCH('Body weight gain'!$B22&amp;'Body weight gain'!$C22,Map!$W$2:$W$67&amp;Map!$X$2:$X$67,0)),"")</f>
        <v>57</v>
      </c>
      <c r="B22" s="24" t="str">
        <f>B15</f>
        <v>T2</v>
      </c>
      <c r="C22" s="216" t="s">
        <v>9</v>
      </c>
      <c r="D22" s="419">
        <f t="array" ref="D22">IFERROR(IF($D$1="","",INDEX('Raw data'!$S$4:$S$267,MATCH('Body weight gain'!D$1&amp;$A$1&amp;$A22,'Raw data'!$K$4:$K$267&amp;'Raw data'!$L$2&amp;'Raw data'!$L$4:$L$267,0))),"")</f>
        <v>0.31606689189189185</v>
      </c>
      <c r="E22" s="419">
        <f t="array" ref="E22">IFERROR(IF($E$1="","",INDEX('Raw data'!$S$4:$S$267,MATCH('Body weight gain'!E$1&amp;$A$1&amp;$A22,'Raw data'!$K$4:$K$267&amp;'Raw data'!$L$2&amp;'Raw data'!$L$4:$L$267,0))),"")</f>
        <v>0.62054054054054042</v>
      </c>
      <c r="F22" s="419">
        <f t="array" ref="F22">IFERROR(IF($F$1="","",INDEX('Raw data'!$S$4:$S$267,MATCH('Body weight gain'!F$1&amp;$A$1&amp;$A22,'Raw data'!$K$4:$K$267&amp;'Raw data'!$L$2&amp;'Raw data'!$L$4:$L$267,0))),"")</f>
        <v>0.44951201201201219</v>
      </c>
      <c r="G22" s="442">
        <f t="array" ref="G22">IFERROR(IF($G$1="","",INDEX('Raw data'!$S$4:$S$267,MATCH('Body weight gain'!G$1&amp;$A$1&amp;$A22,'Raw data'!$K$4:$K$267&amp;'Raw data'!$L$2&amp;'Raw data'!$L$4:$L$267,0))),"")</f>
        <v>0.77662698412698461</v>
      </c>
      <c r="H22" s="24"/>
    </row>
    <row r="23" spans="1:8" s="417" customFormat="1" x14ac:dyDescent="0.25">
      <c r="A23" s="432">
        <f t="array" ref="A23">IFERROR(INDEX(Map!$V$2:$V$67,MATCH('Body weight gain'!$B23&amp;'Body weight gain'!$C23,Map!$W$2:$W$67&amp;Map!$X$2:$X$67,0)),"")</f>
        <v>61</v>
      </c>
      <c r="B23" s="418" t="str">
        <f>B16</f>
        <v>T2</v>
      </c>
      <c r="C23" s="436" t="s">
        <v>22</v>
      </c>
      <c r="D23" s="419">
        <f t="array" ref="D23">IFERROR(IF($D$1="","",INDEX('Raw data'!$S$4:$S$267,MATCH('Body weight gain'!D$1&amp;$A$1&amp;$A23,'Raw data'!$K$4:$K$267&amp;'Raw data'!$L$2&amp;'Raw data'!$L$4:$L$267,0))),"")</f>
        <v>0.32019594594594591</v>
      </c>
      <c r="E23" s="419">
        <f t="array" ref="E23">IFERROR(IF($E$1="","",INDEX('Raw data'!$S$4:$S$267,MATCH('Body weight gain'!E$1&amp;$A$1&amp;$A23,'Raw data'!$K$4:$K$267&amp;'Raw data'!$L$2&amp;'Raw data'!$L$4:$L$267,0))),"")</f>
        <v>0.65432432432432419</v>
      </c>
      <c r="F23" s="419">
        <f t="array" ref="F23">IFERROR(IF($F$1="","",INDEX('Raw data'!$S$4:$S$267,MATCH('Body weight gain'!F$1&amp;$A$1&amp;$A23,'Raw data'!$K$4:$K$267&amp;'Raw data'!$L$2&amp;'Raw data'!$L$4:$L$267,0))),"")</f>
        <v>0.46167417417417411</v>
      </c>
      <c r="G23" s="442">
        <f t="array" ref="G23">IFERROR(IF($G$1="","",INDEX('Raw data'!$S$4:$S$267,MATCH('Body weight gain'!G$1&amp;$A$1&amp;$A23,'Raw data'!$K$4:$K$267&amp;'Raw data'!$L$2&amp;'Raw data'!$L$4:$L$267,0))),"")</f>
        <v>0.84999999999999964</v>
      </c>
      <c r="H23" s="418"/>
    </row>
    <row r="24" spans="1:8" s="417" customFormat="1" x14ac:dyDescent="0.25">
      <c r="A24" s="432">
        <f t="array" ref="A24">IFERROR(INDEX(Map!$V$2:$V$67,MATCH('Body weight gain'!$B24&amp;'Body weight gain'!$C24,Map!$W$2:$W$67&amp;Map!$X$2:$X$67,0)),"")</f>
        <v>2</v>
      </c>
      <c r="B24" s="418" t="str">
        <f>B15</f>
        <v>T2</v>
      </c>
      <c r="C24" s="436" t="s">
        <v>101</v>
      </c>
      <c r="D24" s="419">
        <f t="array" ref="D24">IFERROR(IF($D$1="","",INDEX('Raw data'!$S$4:$S$267,MATCH('Body weight gain'!D$1&amp;$A$1&amp;$A24,'Raw data'!$K$4:$K$267&amp;'Raw data'!$L$2&amp;'Raw data'!$L$4:$L$267,0))),"")</f>
        <v>0.31640000000000001</v>
      </c>
      <c r="E24" s="419">
        <f t="array" ref="E24">IFERROR(IF($E$1="","",INDEX('Raw data'!$S$4:$S$267,MATCH('Body weight gain'!E$1&amp;$A$1&amp;$A24,'Raw data'!$K$4:$K$267&amp;'Raw data'!$L$2&amp;'Raw data'!$L$4:$L$267,0))),"")</f>
        <v>0.60525000000000007</v>
      </c>
      <c r="F24" s="419">
        <f t="array" ref="F24">IFERROR(IF($F$1="","",INDEX('Raw data'!$S$4:$S$267,MATCH('Body weight gain'!F$1&amp;$A$1&amp;$A24,'Raw data'!$K$4:$K$267&amp;'Raw data'!$L$2&amp;'Raw data'!$L$4:$L$267,0))),"")</f>
        <v>0.48378205128205121</v>
      </c>
      <c r="G24" s="442">
        <f t="array" ref="G24">IFERROR(IF($G$1="","",INDEX('Raw data'!$S$4:$S$267,MATCH('Body weight gain'!G$1&amp;$A$1&amp;$A24,'Raw data'!$K$4:$K$267&amp;'Raw data'!$L$2&amp;'Raw data'!$L$4:$L$267,0))),"")</f>
        <v>0.83161268556005408</v>
      </c>
      <c r="H24" s="418"/>
    </row>
    <row r="25" spans="1:8" s="417" customFormat="1" x14ac:dyDescent="0.25">
      <c r="A25" s="446">
        <f t="array" ref="A25">IFERROR(INDEX(Map!$V$2:$V$67,MATCH('Body weight gain'!$B25&amp;'Body weight gain'!$C25,Map!$W$2:$W$67&amp;Map!$X$2:$X$67,0)),"")</f>
        <v>21</v>
      </c>
      <c r="B25" s="418" t="str">
        <f>B15</f>
        <v>T2</v>
      </c>
      <c r="C25" s="436" t="s">
        <v>102</v>
      </c>
      <c r="D25" s="435" t="str">
        <f>IFERROR(IF($D$1="","",INDEX('Raw data'!$S$4:$S$267,MATCH('Body weight gain'!D$1&amp;$A$1&amp;$A25,'Raw data'!$K$4:$K$267&amp;'Raw data'!$L$2&amp;'Raw data'!$L$4:$L$267,0))),"")</f>
        <v/>
      </c>
      <c r="E25" s="435">
        <f t="array" ref="E25">IFERROR(IF($E$1="","",INDEX('Raw data'!$S$4:$S$267,MATCH('Body weight gain'!E$1&amp;$A$1&amp;$A25,'Raw data'!$K$4:$K$267&amp;'Raw data'!$L$2&amp;'Raw data'!$L$4:$L$267,0))),"")</f>
        <v>0.58135135135135108</v>
      </c>
      <c r="F25" s="435">
        <f t="array" ref="F25">IFERROR(IF($F$1="","",INDEX('Raw data'!$S$4:$S$267,MATCH('Body weight gain'!F$1&amp;$A$1&amp;$A25,'Raw data'!$K$4:$K$267&amp;'Raw data'!$L$2&amp;'Raw data'!$L$4:$L$267,0))),"")</f>
        <v>0.44837837837837868</v>
      </c>
      <c r="G25" s="443">
        <f t="array" ref="G25">IFERROR(IF($G$1="","",INDEX('Raw data'!$S$4:$S$267,MATCH('Body weight gain'!G$1&amp;$A$1&amp;$A25,'Raw data'!$K$4:$K$267&amp;'Raw data'!$L$2&amp;'Raw data'!$L$4:$L$267,0))),"")</f>
        <v>0.78147058823529436</v>
      </c>
      <c r="H25" s="418"/>
    </row>
    <row r="26" spans="1:8" s="417" customFormat="1" x14ac:dyDescent="0.25">
      <c r="A26" s="432"/>
      <c r="B26" s="565" t="s">
        <v>82</v>
      </c>
      <c r="C26" s="566"/>
      <c r="D26" s="437" t="str">
        <f>IF($D$1="","",(ROUND(AVERAGE(D15:D25),3)&amp;" ± "&amp;(ROUND(STDEV(D15:D25),3))))</f>
        <v>0,313 ± 0,017</v>
      </c>
      <c r="E26" s="437" t="str">
        <f>IF($E$1="","",(ROUND(AVERAGE(E15:E25),3)&amp;" ± "&amp;(ROUND(STDEV(E15:E25),3))))</f>
        <v>0,599 ± 0,037</v>
      </c>
      <c r="F26" s="437" t="str">
        <f>IF($F$1="","",(ROUND(AVERAGE(F15:F25),3)&amp;" ± "&amp;(ROUND(STDEV(F15:F25),3))))</f>
        <v>0,503 ± 0,052</v>
      </c>
      <c r="G26" s="444" t="str">
        <f>IF($G$1="","",(ROUND(AVERAGE(G15:G25),3)&amp;" ± "&amp;(ROUND(STDEV(G15:G25),3))))</f>
        <v>0,823 ± 0,041</v>
      </c>
      <c r="H26" s="418"/>
    </row>
    <row r="27" spans="1:8" s="417" customFormat="1" ht="15.75" thickBot="1" x14ac:dyDescent="0.3">
      <c r="A27" s="433"/>
      <c r="B27" s="567" t="s">
        <v>83</v>
      </c>
      <c r="C27" s="568"/>
      <c r="D27" s="438">
        <f>IF($D$1="","",STDEV(D15:D25)/(AVERAGE(D15:D25)))</f>
        <v>5.4983648255949397E-2</v>
      </c>
      <c r="E27" s="438">
        <f>IF($E$1="","",STDEV(E15:E25)/(AVERAGE(E15:E25)))</f>
        <v>6.1268767394482629E-2</v>
      </c>
      <c r="F27" s="438">
        <f>IF($F$1="","",STDEV(F15:F25)/(AVERAGE(F15:F25)))</f>
        <v>0.10308607049966767</v>
      </c>
      <c r="G27" s="445">
        <f>IF($G$1="","",STDEV(G15:G25)/(AVERAGE(G15:G25)))</f>
        <v>5.0390447131114867E-2</v>
      </c>
      <c r="H27" s="418"/>
    </row>
    <row r="28" spans="1:8" x14ac:dyDescent="0.25">
      <c r="A28" s="431">
        <f t="array" ref="A28">IFERROR(INDEX(Map!$V$2:$V$67,MATCH('Body weight gain'!$B28&amp;'Body weight gain'!$C28,Map!$W$2:$W$67&amp;Map!$X$2:$X$67,0)),"")</f>
        <v>4</v>
      </c>
      <c r="B28" s="41" t="s">
        <v>12</v>
      </c>
      <c r="C28" s="219" t="s">
        <v>2</v>
      </c>
      <c r="D28" s="440">
        <f t="array" ref="D28">IFERROR(IF($D$1="","",INDEX('Raw data'!$S$4:$S$267,MATCH('Body weight gain'!D$1&amp;$A$1&amp;$A28,'Raw data'!$K$4:$K$267&amp;'Raw data'!$L$2&amp;'Raw data'!$L$4:$L$267,0))),"")</f>
        <v>0.31276794871794872</v>
      </c>
      <c r="E28" s="440">
        <f t="array" ref="E28">IFERROR(IF($E$1="","",INDEX('Raw data'!$S$4:$S$267,MATCH('Body weight gain'!E$1&amp;$A$1&amp;$A28,'Raw data'!$K$4:$K$267&amp;'Raw data'!$L$2&amp;'Raw data'!$L$4:$L$267,0))),"")</f>
        <v>0.64128205128205129</v>
      </c>
      <c r="F28" s="440">
        <f t="array" ref="F28">IFERROR(IF($F$1="","",INDEX('Raw data'!$S$4:$S$267,MATCH('Body weight gain'!F$1&amp;$A$1&amp;$A28,'Raw data'!$K$4:$K$267&amp;'Raw data'!$L$2&amp;'Raw data'!$L$4:$L$267,0))),"")</f>
        <v>0.52307692307692299</v>
      </c>
      <c r="G28" s="441">
        <f t="array" ref="G28">IFERROR(IF($G$1="","",INDEX('Raw data'!$S$4:$S$267,MATCH('Body weight gain'!G$1&amp;$A$1&amp;$A28,'Raw data'!$K$4:$K$267&amp;'Raw data'!$L$2&amp;'Raw data'!$L$4:$L$267,0))),"")</f>
        <v>0.87016632016632034</v>
      </c>
      <c r="H28" s="24"/>
    </row>
    <row r="29" spans="1:8" x14ac:dyDescent="0.25">
      <c r="A29" s="432">
        <f t="array" ref="A29">IFERROR(INDEX(Map!$V$2:$V$67,MATCH('Body weight gain'!$B29&amp;'Body weight gain'!$C29,Map!$W$2:$W$67&amp;Map!$X$2:$X$67,0)),"")</f>
        <v>13</v>
      </c>
      <c r="B29" s="24" t="str">
        <f>B28</f>
        <v>T3</v>
      </c>
      <c r="C29" s="216" t="s">
        <v>3</v>
      </c>
      <c r="D29" s="419">
        <f t="array" ref="D29">IFERROR(IF($D$1="","",INDEX('Raw data'!$S$4:$S$267,MATCH('Body weight gain'!D$1&amp;$A$1&amp;$A29,'Raw data'!$K$4:$K$267&amp;'Raw data'!$L$2&amp;'Raw data'!$L$4:$L$267,0))),"")</f>
        <v>0.30658269230769231</v>
      </c>
      <c r="E29" s="419">
        <f t="array" ref="E29">IFERROR(IF($E$1="","",INDEX('Raw data'!$S$4:$S$267,MATCH('Body weight gain'!E$1&amp;$A$1&amp;$A29,'Raw data'!$K$4:$K$267&amp;'Raw data'!$L$2&amp;'Raw data'!$L$4:$L$267,0))),"")</f>
        <v>0.60163967611336033</v>
      </c>
      <c r="F29" s="419">
        <f t="array" ref="F29">IFERROR(IF($F$1="","",INDEX('Raw data'!$S$4:$S$267,MATCH('Body weight gain'!F$1&amp;$A$1&amp;$A29,'Raw data'!$K$4:$K$267&amp;'Raw data'!$L$2&amp;'Raw data'!$L$4:$L$267,0))),"")</f>
        <v>0.49342105263157876</v>
      </c>
      <c r="G29" s="442">
        <f t="array" ref="G29">IFERROR(IF($G$1="","",INDEX('Raw data'!$S$4:$S$267,MATCH('Body weight gain'!G$1&amp;$A$1&amp;$A29,'Raw data'!$K$4:$K$267&amp;'Raw data'!$L$2&amp;'Raw data'!$L$4:$L$267,0))),"")</f>
        <v>0.83026315789473681</v>
      </c>
      <c r="H29" s="24"/>
    </row>
    <row r="30" spans="1:8" x14ac:dyDescent="0.25">
      <c r="A30" s="432">
        <f t="array" ref="A30">IFERROR(INDEX(Map!$V$2:$V$67,MATCH('Body weight gain'!$B30&amp;'Body weight gain'!$C30,Map!$W$2:$W$67&amp;Map!$X$2:$X$67,0)),"")</f>
        <v>19</v>
      </c>
      <c r="B30" s="24" t="str">
        <f>B28</f>
        <v>T3</v>
      </c>
      <c r="C30" s="216" t="s">
        <v>4</v>
      </c>
      <c r="D30" s="419">
        <f t="array" ref="D30">IFERROR(IF($D$1="","",INDEX('Raw data'!$S$4:$S$267,MATCH('Body weight gain'!D$1&amp;$A$1&amp;$A30,'Raw data'!$K$4:$K$267&amp;'Raw data'!$L$2&amp;'Raw data'!$L$4:$L$267,0))),"")</f>
        <v>0.28599166666666664</v>
      </c>
      <c r="E30" s="419">
        <f t="array" ref="E30">IFERROR(IF($E$1="","",INDEX('Raw data'!$S$4:$S$267,MATCH('Body weight gain'!E$1&amp;$A$1&amp;$A30,'Raw data'!$K$4:$K$267&amp;'Raw data'!$L$2&amp;'Raw data'!$L$4:$L$267,0))),"")</f>
        <v>0.5845098039215687</v>
      </c>
      <c r="F30" s="419">
        <f t="array" ref="F30">IFERROR(IF($F$1="","",INDEX('Raw data'!$S$4:$S$267,MATCH('Body weight gain'!F$1&amp;$A$1&amp;$A30,'Raw data'!$K$4:$K$267&amp;'Raw data'!$L$2&amp;'Raw data'!$L$4:$L$267,0))),"")</f>
        <v>0.42647058823529393</v>
      </c>
      <c r="G30" s="442">
        <f t="array" ref="G30">IFERROR(IF($G$1="","",INDEX('Raw data'!$S$4:$S$267,MATCH('Body weight gain'!G$1&amp;$A$1&amp;$A30,'Raw data'!$K$4:$K$267&amp;'Raw data'!$L$2&amp;'Raw data'!$L$4:$L$267,0))),"")</f>
        <v>0.85735294117647043</v>
      </c>
      <c r="H30" s="24"/>
    </row>
    <row r="31" spans="1:8" x14ac:dyDescent="0.25">
      <c r="A31" s="432">
        <f t="array" ref="A31">IFERROR(INDEX(Map!$V$2:$V$67,MATCH('Body weight gain'!$B31&amp;'Body weight gain'!$C31,Map!$W$2:$W$67&amp;Map!$X$2:$X$67,0)),"")</f>
        <v>26</v>
      </c>
      <c r="B31" s="24" t="str">
        <f>B28</f>
        <v>T3</v>
      </c>
      <c r="C31" s="216" t="s">
        <v>5</v>
      </c>
      <c r="D31" s="419">
        <f t="array" ref="D31">IFERROR(IF($D$1="","",INDEX('Raw data'!$S$4:$S$267,MATCH('Body weight gain'!D$1&amp;$A$1&amp;$A31,'Raw data'!$K$4:$K$267&amp;'Raw data'!$L$2&amp;'Raw data'!$L$4:$L$267,0))),"")</f>
        <v>0.2914230769230769</v>
      </c>
      <c r="E31" s="419">
        <f t="array" ref="E31">IFERROR(IF($E$1="","",INDEX('Raw data'!$S$4:$S$267,MATCH('Body weight gain'!E$1&amp;$A$1&amp;$A31,'Raw data'!$K$4:$K$267&amp;'Raw data'!$L$2&amp;'Raw data'!$L$4:$L$267,0))),"")</f>
        <v>0.57076923076923092</v>
      </c>
      <c r="F31" s="419">
        <f t="array" ref="F31">IFERROR(IF($F$1="","",INDEX('Raw data'!$S$4:$S$267,MATCH('Body weight gain'!F$1&amp;$A$1&amp;$A31,'Raw data'!$K$4:$K$267&amp;'Raw data'!$L$2&amp;'Raw data'!$L$4:$L$267,0))),"")</f>
        <v>0.48076923076923062</v>
      </c>
      <c r="G31" s="442">
        <f t="array" ref="G31">IFERROR(IF($G$1="","",INDEX('Raw data'!$S$4:$S$267,MATCH('Body weight gain'!G$1&amp;$A$1&amp;$A31,'Raw data'!$K$4:$K$267&amp;'Raw data'!$L$2&amp;'Raw data'!$L$4:$L$267,0))),"")</f>
        <v>0.82051282051282071</v>
      </c>
      <c r="H31" s="24"/>
    </row>
    <row r="32" spans="1:8" x14ac:dyDescent="0.25">
      <c r="A32" s="432">
        <f t="array" ref="A32">IFERROR(INDEX(Map!$V$2:$V$67,MATCH('Body weight gain'!$B32&amp;'Body weight gain'!$C32,Map!$W$2:$W$67&amp;Map!$X$2:$X$67,0)),"")</f>
        <v>33</v>
      </c>
      <c r="B32" s="24" t="str">
        <f>B28</f>
        <v>T3</v>
      </c>
      <c r="C32" s="216" t="s">
        <v>6</v>
      </c>
      <c r="D32" s="419">
        <f t="array" ref="D32">IFERROR(IF($D$1="","",INDEX('Raw data'!$S$4:$S$267,MATCH('Body weight gain'!D$1&amp;$A$1&amp;$A32,'Raw data'!$K$4:$K$267&amp;'Raw data'!$L$2&amp;'Raw data'!$L$4:$L$267,0))),"")</f>
        <v>0.29534999999999995</v>
      </c>
      <c r="E32" s="419">
        <f t="array" ref="E32">IFERROR(IF($E$1="","",INDEX('Raw data'!$S$4:$S$267,MATCH('Body weight gain'!E$1&amp;$A$1&amp;$A32,'Raw data'!$K$4:$K$267&amp;'Raw data'!$L$2&amp;'Raw data'!$L$4:$L$267,0))),"")</f>
        <v>0.58649999999999991</v>
      </c>
      <c r="F32" s="419">
        <f t="array" ref="F32">IFERROR(IF($F$1="","",INDEX('Raw data'!$S$4:$S$267,MATCH('Body weight gain'!F$1&amp;$A$1&amp;$A32,'Raw data'!$K$4:$K$267&amp;'Raw data'!$L$2&amp;'Raw data'!$L$4:$L$267,0))),"")</f>
        <v>0.52500000000000002</v>
      </c>
      <c r="G32" s="442">
        <f t="array" ref="G32">IFERROR(IF($G$1="","",INDEX('Raw data'!$S$4:$S$267,MATCH('Body weight gain'!G$1&amp;$A$1&amp;$A32,'Raw data'!$K$4:$K$267&amp;'Raw data'!$L$2&amp;'Raw data'!$L$4:$L$267,0))),"")</f>
        <v>0.84374999999999978</v>
      </c>
      <c r="H32" s="24"/>
    </row>
    <row r="33" spans="1:8" x14ac:dyDescent="0.25">
      <c r="A33" s="432">
        <f t="array" ref="A33">IFERROR(INDEX(Map!$V$2:$V$67,MATCH('Body weight gain'!$B33&amp;'Body weight gain'!$C33,Map!$W$2:$W$67&amp;Map!$X$2:$X$67,0)),"")</f>
        <v>40</v>
      </c>
      <c r="B33" s="24" t="str">
        <f>B28</f>
        <v>T3</v>
      </c>
      <c r="C33" s="216" t="s">
        <v>7</v>
      </c>
      <c r="D33" s="419">
        <f t="array" ref="D33">IFERROR(IF($D$1="","",INDEX('Raw data'!$S$4:$S$267,MATCH('Body weight gain'!D$1&amp;$A$1&amp;$A33,'Raw data'!$K$4:$K$267&amp;'Raw data'!$L$2&amp;'Raw data'!$L$4:$L$267,0))),"")</f>
        <v>0.29912499999999997</v>
      </c>
      <c r="E33" s="419">
        <f t="array" ref="E33">IFERROR(IF($E$1="","",INDEX('Raw data'!$S$4:$S$267,MATCH('Body weight gain'!E$1&amp;$A$1&amp;$A33,'Raw data'!$K$4:$K$267&amp;'Raw data'!$L$2&amp;'Raw data'!$L$4:$L$267,0))),"")</f>
        <v>0.61025000000000007</v>
      </c>
      <c r="F33" s="419">
        <f t="array" ref="F33">IFERROR(IF($F$1="","",INDEX('Raw data'!$S$4:$S$267,MATCH('Body weight gain'!F$1&amp;$A$1&amp;$A33,'Raw data'!$K$4:$K$267&amp;'Raw data'!$L$2&amp;'Raw data'!$L$4:$L$267,0))),"")</f>
        <v>0.49374999999999991</v>
      </c>
      <c r="G33" s="442">
        <f t="array" ref="G33">IFERROR(IF($G$1="","",INDEX('Raw data'!$S$4:$S$267,MATCH('Body weight gain'!G$1&amp;$A$1&amp;$A33,'Raw data'!$K$4:$K$267&amp;'Raw data'!$L$2&amp;'Raw data'!$L$4:$L$267,0))),"")</f>
        <v>0.86500000000000021</v>
      </c>
      <c r="H33" s="24"/>
    </row>
    <row r="34" spans="1:8" x14ac:dyDescent="0.25">
      <c r="A34" s="432">
        <f t="array" ref="A34">IFERROR(INDEX(Map!$V$2:$V$67,MATCH('Body weight gain'!$B34&amp;'Body weight gain'!$C34,Map!$W$2:$W$67&amp;Map!$X$2:$X$67,0)),"")</f>
        <v>51</v>
      </c>
      <c r="B34" s="24" t="str">
        <f>B28</f>
        <v>T3</v>
      </c>
      <c r="C34" s="216" t="s">
        <v>8</v>
      </c>
      <c r="D34" s="419">
        <f t="array" ref="D34">IFERROR(IF($D$1="","",INDEX('Raw data'!$S$4:$S$267,MATCH('Body weight gain'!D$1&amp;$A$1&amp;$A34,'Raw data'!$K$4:$K$267&amp;'Raw data'!$L$2&amp;'Raw data'!$L$4:$L$267,0))),"")</f>
        <v>0.31532499999999997</v>
      </c>
      <c r="E34" s="419">
        <f t="array" ref="E34">IFERROR(IF($E$1="","",INDEX('Raw data'!$S$4:$S$267,MATCH('Body weight gain'!E$1&amp;$A$1&amp;$A34,'Raw data'!$K$4:$K$267&amp;'Raw data'!$L$2&amp;'Raw data'!$L$4:$L$267,0))),"")</f>
        <v>0.57650000000000001</v>
      </c>
      <c r="F34" s="419">
        <f t="array" ref="F34">IFERROR(IF($F$1="","",INDEX('Raw data'!$S$4:$S$267,MATCH('Body weight gain'!F$1&amp;$A$1&amp;$A34,'Raw data'!$K$4:$K$267&amp;'Raw data'!$L$2&amp;'Raw data'!$L$4:$L$267,0))),"")</f>
        <v>0.50874999999999981</v>
      </c>
      <c r="G34" s="442">
        <f t="array" ref="G34">IFERROR(IF($G$1="","",INDEX('Raw data'!$S$4:$S$267,MATCH('Body weight gain'!G$1&amp;$A$1&amp;$A34,'Raw data'!$K$4:$K$267&amp;'Raw data'!$L$2&amp;'Raw data'!$L$4:$L$267,0))),"")</f>
        <v>0.81400641025641041</v>
      </c>
      <c r="H34" s="24"/>
    </row>
    <row r="35" spans="1:8" x14ac:dyDescent="0.25">
      <c r="A35" s="432">
        <f t="array" ref="A35">IFERROR(INDEX(Map!$V$2:$V$67,MATCH('Body weight gain'!$B35&amp;'Body weight gain'!$C35,Map!$W$2:$W$67&amp;Map!$X$2:$X$67,0)),"")</f>
        <v>56</v>
      </c>
      <c r="B35" s="24" t="str">
        <f>B28</f>
        <v>T3</v>
      </c>
      <c r="C35" s="216" t="s">
        <v>9</v>
      </c>
      <c r="D35" s="419">
        <f t="array" ref="D35">IFERROR(IF($D$1="","",INDEX('Raw data'!$S$4:$S$267,MATCH('Body weight gain'!D$1&amp;$A$1&amp;$A35,'Raw data'!$K$4:$K$267&amp;'Raw data'!$L$2&amp;'Raw data'!$L$4:$L$267,0))),"")</f>
        <v>0.30683269230769233</v>
      </c>
      <c r="E35" s="419">
        <f t="array" ref="E35">IFERROR(IF($E$1="","",INDEX('Raw data'!$S$4:$S$267,MATCH('Body weight gain'!E$1&amp;$A$1&amp;$A35,'Raw data'!$K$4:$K$267&amp;'Raw data'!$L$2&amp;'Raw data'!$L$4:$L$267,0))),"")</f>
        <v>0.6240080971659917</v>
      </c>
      <c r="F35" s="419">
        <f t="array" ref="F35">IFERROR(IF($F$1="","",INDEX('Raw data'!$S$4:$S$267,MATCH('Body weight gain'!F$1&amp;$A$1&amp;$A35,'Raw data'!$K$4:$K$267&amp;'Raw data'!$L$2&amp;'Raw data'!$L$4:$L$267,0))),"")</f>
        <v>0.51447368421052642</v>
      </c>
      <c r="G35" s="442">
        <f t="array" ref="G35">IFERROR(IF($G$1="","",INDEX('Raw data'!$S$4:$S$267,MATCH('Body weight gain'!G$1&amp;$A$1&amp;$A35,'Raw data'!$K$4:$K$267&amp;'Raw data'!$L$2&amp;'Raw data'!$L$4:$L$267,0))),"")</f>
        <v>0.8186699857752493</v>
      </c>
      <c r="H35" s="24"/>
    </row>
    <row r="36" spans="1:8" x14ac:dyDescent="0.25">
      <c r="A36" s="432">
        <f t="array" ref="A36">IFERROR(INDEX(Map!$V$2:$V$67,MATCH('Body weight gain'!$B36&amp;'Body weight gain'!$C36,Map!$W$2:$W$67&amp;Map!$X$2:$X$67,0)),"")</f>
        <v>59</v>
      </c>
      <c r="B36" s="418" t="str">
        <f>B28</f>
        <v>T3</v>
      </c>
      <c r="C36" s="436" t="s">
        <v>22</v>
      </c>
      <c r="D36" s="419">
        <f t="array" ref="D36">IFERROR(IF($D$1="","",INDEX('Raw data'!$S$4:$S$267,MATCH('Body weight gain'!D$1&amp;$A$1&amp;$A36,'Raw data'!$K$4:$K$267&amp;'Raw data'!$L$2&amp;'Raw data'!$L$4:$L$267,0))),"")</f>
        <v>0.30422500000000002</v>
      </c>
      <c r="E36" s="419">
        <f t="array" ref="E36">IFERROR(IF($E$1="","",INDEX('Raw data'!$S$4:$S$267,MATCH('Body weight gain'!E$1&amp;$A$1&amp;$A36,'Raw data'!$K$4:$K$267&amp;'Raw data'!$L$2&amp;'Raw data'!$L$4:$L$267,0))),"")</f>
        <v>0.61275000000000002</v>
      </c>
      <c r="F36" s="419">
        <f t="array" ref="F36">IFERROR(IF($F$1="","",INDEX('Raw data'!$S$4:$S$267,MATCH('Body weight gain'!F$1&amp;$A$1&amp;$A36,'Raw data'!$K$4:$K$267&amp;'Raw data'!$L$2&amp;'Raw data'!$L$4:$L$267,0))),"")</f>
        <v>0.46749999999999992</v>
      </c>
      <c r="G36" s="442">
        <f t="array" ref="G36">IFERROR(IF($G$1="","",INDEX('Raw data'!$S$4:$S$267,MATCH('Body weight gain'!G$1&amp;$A$1&amp;$A36,'Raw data'!$K$4:$K$267&amp;'Raw data'!$L$2&amp;'Raw data'!$L$4:$L$267,0))),"")</f>
        <v>0.83000000000000029</v>
      </c>
      <c r="H36" s="24"/>
    </row>
    <row r="37" spans="1:8" s="417" customFormat="1" x14ac:dyDescent="0.25">
      <c r="A37" s="432">
        <f t="array" ref="A37">IFERROR(INDEX(Map!$V$2:$V$67,MATCH('Body weight gain'!$B37&amp;'Body weight gain'!$C37,Map!$W$2:$W$67&amp;Map!$X$2:$X$67,0)),"")</f>
        <v>45</v>
      </c>
      <c r="B37" s="418" t="str">
        <f>B28</f>
        <v>T3</v>
      </c>
      <c r="C37" s="436" t="s">
        <v>101</v>
      </c>
      <c r="D37" s="419">
        <f t="array" ref="D37">IFERROR(IF($D$1="","",INDEX('Raw data'!$S$4:$S$267,MATCH('Body weight gain'!D$1&amp;$A$1&amp;$A37,'Raw data'!$K$4:$K$267&amp;'Raw data'!$L$2&amp;'Raw data'!$L$4:$L$267,0))),"")</f>
        <v>0.28925000000000001</v>
      </c>
      <c r="E37" s="419">
        <f t="array" ref="E37">IFERROR(IF($E$1="","",INDEX('Raw data'!$S$4:$S$267,MATCH('Body weight gain'!E$1&amp;$A$1&amp;$A37,'Raw data'!$K$4:$K$267&amp;'Raw data'!$L$2&amp;'Raw data'!$L$4:$L$267,0))),"")</f>
        <v>0.62899999999999989</v>
      </c>
      <c r="F37" s="419">
        <f t="array" ref="F37">IFERROR(IF($F$1="","",INDEX('Raw data'!$S$4:$S$267,MATCH('Body weight gain'!F$1&amp;$A$1&amp;$A37,'Raw data'!$K$4:$K$267&amp;'Raw data'!$L$2&amp;'Raw data'!$L$4:$L$267,0))),"")</f>
        <v>0.54907051282051289</v>
      </c>
      <c r="G37" s="442">
        <f t="array" ref="G37">IFERROR(IF($G$1="","",INDEX('Raw data'!$S$4:$S$267,MATCH('Body weight gain'!G$1&amp;$A$1&amp;$A37,'Raw data'!$K$4:$K$267&amp;'Raw data'!$L$2&amp;'Raw data'!$L$4:$L$267,0))),"")</f>
        <v>0.83846153846153815</v>
      </c>
      <c r="H37" s="418"/>
    </row>
    <row r="38" spans="1:8" s="417" customFormat="1" x14ac:dyDescent="0.25">
      <c r="A38" s="446">
        <f t="array" ref="A38">IFERROR(INDEX(Map!$V$2:$V$67,MATCH('Body weight gain'!$B38&amp;'Body weight gain'!$C38,Map!$W$2:$W$67&amp;Map!$X$2:$X$67,0)),"")</f>
        <v>65</v>
      </c>
      <c r="B38" s="418" t="str">
        <f>B28</f>
        <v>T3</v>
      </c>
      <c r="C38" s="436" t="s">
        <v>102</v>
      </c>
      <c r="D38" s="435">
        <f t="array" ref="D38">IFERROR(IF($D$1="","",INDEX('Raw data'!$S$4:$S$267,MATCH('Body weight gain'!D$1&amp;$A$1&amp;$A38,'Raw data'!$K$4:$K$267&amp;'Raw data'!$L$2&amp;'Raw data'!$L$4:$L$267,0))),"")</f>
        <v>0.32933684210526315</v>
      </c>
      <c r="E38" s="435">
        <f t="array" ref="E38">IFERROR(IF($E$1="","",INDEX('Raw data'!$S$4:$S$267,MATCH('Body weight gain'!E$1&amp;$A$1&amp;$A38,'Raw data'!$K$4:$K$267&amp;'Raw data'!$L$2&amp;'Raw data'!$L$4:$L$267,0))),"")</f>
        <v>0.64894736842105283</v>
      </c>
      <c r="F38" s="435">
        <f t="array" ref="F38">IFERROR(IF($F$1="","",INDEX('Raw data'!$S$4:$S$267,MATCH('Body weight gain'!F$1&amp;$A$1&amp;$A38,'Raw data'!$K$4:$K$267&amp;'Raw data'!$L$2&amp;'Raw data'!$L$4:$L$267,0))),"")</f>
        <v>0.45469416785206218</v>
      </c>
      <c r="G38" s="443">
        <f t="array" ref="G38">IFERROR(IF($G$1="","",INDEX('Raw data'!$S$4:$S$267,MATCH('Body weight gain'!G$1&amp;$A$1&amp;$A38,'Raw data'!$K$4:$K$267&amp;'Raw data'!$L$2&amp;'Raw data'!$L$4:$L$267,0))),"")</f>
        <v>0.89459459459459501</v>
      </c>
      <c r="H38" s="418"/>
    </row>
    <row r="39" spans="1:8" s="417" customFormat="1" x14ac:dyDescent="0.25">
      <c r="A39" s="432"/>
      <c r="B39" s="565" t="s">
        <v>82</v>
      </c>
      <c r="C39" s="566"/>
      <c r="D39" s="437" t="str">
        <f>IF($D$1="","",(ROUND(AVERAGE(D28:D38),3)&amp;" ± "&amp;(ROUND(STDEV(D28:D38),3))))</f>
        <v>0,303 ± 0,013</v>
      </c>
      <c r="E39" s="437" t="str">
        <f>IF($E$1="","",(ROUND(AVERAGE(E28:E38),3)&amp;" ± "&amp;(ROUND(STDEV(E28:E38),3))))</f>
        <v>0,608 ± 0,026</v>
      </c>
      <c r="F39" s="437" t="str">
        <f>IF($F$1="","",(ROUND(AVERAGE(F28:F38),3)&amp;" ± "&amp;(ROUND(STDEV(F28:F38),3))))</f>
        <v>0,494 ± 0,035</v>
      </c>
      <c r="G39" s="444" t="str">
        <f>IF($G$1="","",(ROUND(AVERAGE(G28:G38),3)&amp;" ± "&amp;(ROUND(STDEV(G28:G38),3))))</f>
        <v>0,844 ± 0,025</v>
      </c>
      <c r="H39" s="418"/>
    </row>
    <row r="40" spans="1:8" s="417" customFormat="1" ht="15.75" thickBot="1" x14ac:dyDescent="0.3">
      <c r="A40" s="433"/>
      <c r="B40" s="567" t="s">
        <v>83</v>
      </c>
      <c r="C40" s="568"/>
      <c r="D40" s="438">
        <f>IF($D$1="","",STDEV(D28:D38)/(AVERAGE(D28:D38)))</f>
        <v>4.2416148709188299E-2</v>
      </c>
      <c r="E40" s="438">
        <f>IF($E$1="","",STDEV(E28:E38)/(AVERAGE(E28:E38)))</f>
        <v>4.3346412555981137E-2</v>
      </c>
      <c r="F40" s="438">
        <f>IF($F$1="","",STDEV(F28:F38)/(AVERAGE(F28:F38)))</f>
        <v>7.1410145782821996E-2</v>
      </c>
      <c r="G40" s="445">
        <f>IF($G$1="","",STDEV(G28:G38)/(AVERAGE(G28:G38)))</f>
        <v>2.991241139833949E-2</v>
      </c>
      <c r="H40" s="418"/>
    </row>
    <row r="41" spans="1:8" x14ac:dyDescent="0.25">
      <c r="A41" s="431">
        <f t="array" ref="A41">IFERROR(INDEX(Map!$V$2:$V$67,MATCH('Body weight gain'!$B41&amp;'Body weight gain'!$C41,Map!$W$2:$W$67&amp;Map!$X$2:$X$67,0)),"")</f>
        <v>6</v>
      </c>
      <c r="B41" s="420" t="s">
        <v>11</v>
      </c>
      <c r="C41" s="439" t="s">
        <v>2</v>
      </c>
      <c r="D41" s="440">
        <f t="array" ref="D41">IFERROR(IF($D$1="","",INDEX('Raw data'!$S$4:$S$267,MATCH('Body weight gain'!D$1&amp;$A$1&amp;$A41,'Raw data'!$K$4:$K$267&amp;'Raw data'!$L$2&amp;'Raw data'!$L$4:$L$267,0))),"")</f>
        <v>0.28268421052631582</v>
      </c>
      <c r="E41" s="440">
        <f t="array" ref="E41">IFERROR(IF($E$1="","",INDEX('Raw data'!$S$4:$S$267,MATCH('Body weight gain'!E$1&amp;$A$1&amp;$A41,'Raw data'!$K$4:$K$267&amp;'Raw data'!$L$2&amp;'Raw data'!$L$4:$L$267,0))),"")</f>
        <v>0.6081578947368419</v>
      </c>
      <c r="F41" s="440">
        <f t="array" ref="F41">IFERROR(IF($F$1="","",INDEX('Raw data'!$S$4:$S$267,MATCH('Body weight gain'!F$1&amp;$A$1&amp;$A41,'Raw data'!$K$4:$K$267&amp;'Raw data'!$L$2&amp;'Raw data'!$L$4:$L$267,0))),"")</f>
        <v>0.4367690058479532</v>
      </c>
      <c r="G41" s="441">
        <f t="array" ref="G41">IFERROR(IF($G$1="","",INDEX('Raw data'!$S$4:$S$267,MATCH('Body weight gain'!G$1&amp;$A$1&amp;$A41,'Raw data'!$K$4:$K$267&amp;'Raw data'!$L$2&amp;'Raw data'!$L$4:$L$267,0))),"")</f>
        <v>0.80277777777777803</v>
      </c>
      <c r="H41" s="24"/>
    </row>
    <row r="42" spans="1:8" x14ac:dyDescent="0.25">
      <c r="A42" s="432">
        <f t="array" ref="A42">IFERROR(INDEX(Map!$V$2:$V$67,MATCH('Body weight gain'!$B42&amp;'Body weight gain'!$C42,Map!$W$2:$W$67&amp;Map!$X$2:$X$67,0)),"")</f>
        <v>9</v>
      </c>
      <c r="B42" s="418" t="str">
        <f>B41</f>
        <v>T4</v>
      </c>
      <c r="C42" s="436" t="s">
        <v>3</v>
      </c>
      <c r="D42" s="419">
        <f t="array" ref="D42">IFERROR(IF($D$1="","",INDEX('Raw data'!$S$4:$S$267,MATCH('Body weight gain'!D$1&amp;$A$1&amp;$A42,'Raw data'!$K$4:$K$267&amp;'Raw data'!$L$2&amp;'Raw data'!$L$4:$L$267,0))),"")</f>
        <v>0.278775</v>
      </c>
      <c r="E42" s="419">
        <f t="array" ref="E42">IFERROR(IF($E$1="","",INDEX('Raw data'!$S$4:$S$267,MATCH('Body weight gain'!E$1&amp;$A$1&amp;$A42,'Raw data'!$K$4:$K$267&amp;'Raw data'!$L$2&amp;'Raw data'!$L$4:$L$267,0))),"")</f>
        <v>0.58274999999999999</v>
      </c>
      <c r="F42" s="419">
        <f t="array" ref="F42">IFERROR(IF($F$1="","",INDEX('Raw data'!$S$4:$S$267,MATCH('Body weight gain'!F$1&amp;$A$1&amp;$A42,'Raw data'!$K$4:$K$267&amp;'Raw data'!$L$2&amp;'Raw data'!$L$4:$L$267,0))),"")</f>
        <v>0.460448717948718</v>
      </c>
      <c r="G42" s="442">
        <f t="array" ref="G42">IFERROR(IF($G$1="","",INDEX('Raw data'!$S$4:$S$267,MATCH('Body weight gain'!G$1&amp;$A$1&amp;$A42,'Raw data'!$K$4:$K$267&amp;'Raw data'!$L$2&amp;'Raw data'!$L$4:$L$267,0))),"")</f>
        <v>0.7158012820512818</v>
      </c>
      <c r="H42" s="24"/>
    </row>
    <row r="43" spans="1:8" x14ac:dyDescent="0.25">
      <c r="A43" s="432">
        <f t="array" ref="A43">IFERROR(INDEX(Map!$V$2:$V$67,MATCH('Body weight gain'!$B43&amp;'Body weight gain'!$C43,Map!$W$2:$W$67&amp;Map!$X$2:$X$67,0)),"")</f>
        <v>15</v>
      </c>
      <c r="B43" s="418" t="str">
        <f>B41</f>
        <v>T4</v>
      </c>
      <c r="C43" s="436" t="s">
        <v>4</v>
      </c>
      <c r="D43" s="419">
        <f t="array" ref="D43">IFERROR(IF($D$1="","",INDEX('Raw data'!$S$4:$S$267,MATCH('Body weight gain'!D$1&amp;$A$1&amp;$A43,'Raw data'!$K$4:$K$267&amp;'Raw data'!$L$2&amp;'Raw data'!$L$4:$L$267,0))),"")</f>
        <v>0.32058525641025643</v>
      </c>
      <c r="E43" s="419">
        <f t="array" ref="E43">IFERROR(IF($E$1="","",INDEX('Raw data'!$S$4:$S$267,MATCH('Body weight gain'!E$1&amp;$A$1&amp;$A43,'Raw data'!$K$4:$K$267&amp;'Raw data'!$L$2&amp;'Raw data'!$L$4:$L$267,0))),"")</f>
        <v>0.60332658569500652</v>
      </c>
      <c r="F43" s="419">
        <f t="array" ref="F43">IFERROR(IF($F$1="","",INDEX('Raw data'!$S$4:$S$267,MATCH('Body weight gain'!F$1&amp;$A$1&amp;$A43,'Raw data'!$K$4:$K$267&amp;'Raw data'!$L$2&amp;'Raw data'!$L$4:$L$267,0))),"")</f>
        <v>0.50323613086771002</v>
      </c>
      <c r="G43" s="442">
        <f t="array" ref="G43">IFERROR(IF($G$1="","",INDEX('Raw data'!$S$4:$S$267,MATCH('Body weight gain'!G$1&amp;$A$1&amp;$A43,'Raw data'!$K$4:$K$267&amp;'Raw data'!$L$2&amp;'Raw data'!$L$4:$L$267,0))),"")</f>
        <v>0.81216216216216197</v>
      </c>
      <c r="H43" s="24"/>
    </row>
    <row r="44" spans="1:8" x14ac:dyDescent="0.25">
      <c r="A44" s="432">
        <f t="array" ref="A44">IFERROR(INDEX(Map!$V$2:$V$67,MATCH('Body weight gain'!$B44&amp;'Body weight gain'!$C44,Map!$W$2:$W$67&amp;Map!$X$2:$X$67,0)),"")</f>
        <v>30</v>
      </c>
      <c r="B44" s="418" t="str">
        <f>B41</f>
        <v>T4</v>
      </c>
      <c r="C44" s="436" t="s">
        <v>5</v>
      </c>
      <c r="D44" s="419">
        <f t="array" ref="D44">IFERROR(IF($D$1="","",INDEX('Raw data'!$S$4:$S$267,MATCH('Body weight gain'!D$1&amp;$A$1&amp;$A44,'Raw data'!$K$4:$K$267&amp;'Raw data'!$L$2&amp;'Raw data'!$L$4:$L$267,0))),"")</f>
        <v>0.31188589743589745</v>
      </c>
      <c r="E44" s="419">
        <f t="array" ref="E44">IFERROR(IF($E$1="","",INDEX('Raw data'!$S$4:$S$267,MATCH('Body weight gain'!E$1&amp;$A$1&amp;$A44,'Raw data'!$K$4:$K$267&amp;'Raw data'!$L$2&amp;'Raw data'!$L$4:$L$267,0))),"")</f>
        <v>0.60966936572199726</v>
      </c>
      <c r="F44" s="419">
        <f t="array" ref="F44">IFERROR(IF($F$1="","",INDEX('Raw data'!$S$4:$S$267,MATCH('Body weight gain'!F$1&amp;$A$1&amp;$A44,'Raw data'!$K$4:$K$267&amp;'Raw data'!$L$2&amp;'Raw data'!$L$4:$L$267,0))),"")</f>
        <v>0.49911095305832154</v>
      </c>
      <c r="G44" s="442">
        <f t="array" ref="G44">IFERROR(IF($G$1="","",INDEX('Raw data'!$S$4:$S$267,MATCH('Body weight gain'!G$1&amp;$A$1&amp;$A44,'Raw data'!$K$4:$K$267&amp;'Raw data'!$L$2&amp;'Raw data'!$L$4:$L$267,0))),"")</f>
        <v>0.84459459459459474</v>
      </c>
      <c r="H44" s="24"/>
    </row>
    <row r="45" spans="1:8" x14ac:dyDescent="0.25">
      <c r="A45" s="432">
        <f t="array" ref="A45">IFERROR(INDEX(Map!$V$2:$V$67,MATCH('Body weight gain'!$B45&amp;'Body weight gain'!$C45,Map!$W$2:$W$67&amp;Map!$X$2:$X$67,0)),"")</f>
        <v>36</v>
      </c>
      <c r="B45" s="418" t="str">
        <f>B41</f>
        <v>T4</v>
      </c>
      <c r="C45" s="436" t="s">
        <v>6</v>
      </c>
      <c r="D45" s="419">
        <f t="array" ref="D45">IFERROR(IF($D$1="","",INDEX('Raw data'!$S$4:$S$267,MATCH('Body weight gain'!D$1&amp;$A$1&amp;$A45,'Raw data'!$K$4:$K$267&amp;'Raw data'!$L$2&amp;'Raw data'!$L$4:$L$267,0))),"")</f>
        <v>0.29359391891891889</v>
      </c>
      <c r="E45" s="419">
        <f t="array" ref="E45">IFERROR(IF($E$1="","",INDEX('Raw data'!$S$4:$S$267,MATCH('Body weight gain'!E$1&amp;$A$1&amp;$A45,'Raw data'!$K$4:$K$267&amp;'Raw data'!$L$2&amp;'Raw data'!$L$4:$L$267,0))),"")</f>
        <v>0.62864864864864856</v>
      </c>
      <c r="F45" s="419">
        <f t="array" ref="F45">IFERROR(IF($F$1="","",INDEX('Raw data'!$S$4:$S$267,MATCH('Body weight gain'!F$1&amp;$A$1&amp;$A45,'Raw data'!$K$4:$K$267&amp;'Raw data'!$L$2&amp;'Raw data'!$L$4:$L$267,0))),"")</f>
        <v>0.38243243243243241</v>
      </c>
      <c r="G45" s="442">
        <f t="array" ref="G45">IFERROR(IF($G$1="","",INDEX('Raw data'!$S$4:$S$267,MATCH('Body weight gain'!G$1&amp;$A$1&amp;$A45,'Raw data'!$K$4:$K$267&amp;'Raw data'!$L$2&amp;'Raw data'!$L$4:$L$267,0))),"")</f>
        <v>0.81249999999999978</v>
      </c>
      <c r="H45" s="24"/>
    </row>
    <row r="46" spans="1:8" x14ac:dyDescent="0.25">
      <c r="A46" s="432">
        <f t="array" ref="A46">IFERROR(INDEX(Map!$V$2:$V$67,MATCH('Body weight gain'!$B46&amp;'Body weight gain'!$C46,Map!$W$2:$W$67&amp;Map!$X$2:$X$67,0)),"")</f>
        <v>39</v>
      </c>
      <c r="B46" s="418" t="str">
        <f>B41</f>
        <v>T4</v>
      </c>
      <c r="C46" s="436" t="s">
        <v>7</v>
      </c>
      <c r="D46" s="419">
        <f t="array" ref="D46">IFERROR(IF($D$1="","",INDEX('Raw data'!$S$4:$S$267,MATCH('Body weight gain'!D$1&amp;$A$1&amp;$A46,'Raw data'!$K$4:$K$267&amp;'Raw data'!$L$2&amp;'Raw data'!$L$4:$L$267,0))),"")</f>
        <v>0.31081578947368421</v>
      </c>
      <c r="E46" s="419">
        <f t="array" ref="E46">IFERROR(IF($E$1="","",INDEX('Raw data'!$S$4:$S$267,MATCH('Body weight gain'!E$1&amp;$A$1&amp;$A46,'Raw data'!$K$4:$K$267&amp;'Raw data'!$L$2&amp;'Raw data'!$L$4:$L$267,0))),"")</f>
        <v>0.63447368421052652</v>
      </c>
      <c r="F46" s="419">
        <f t="array" ref="F46">IFERROR(IF($F$1="","",INDEX('Raw data'!$S$4:$S$267,MATCH('Body weight gain'!F$1&amp;$A$1&amp;$A46,'Raw data'!$K$4:$K$267&amp;'Raw data'!$L$2&amp;'Raw data'!$L$4:$L$267,0))),"")</f>
        <v>0.46056187766714074</v>
      </c>
      <c r="G46" s="442">
        <f t="array" ref="G46">IFERROR(IF($G$1="","",INDEX('Raw data'!$S$4:$S$267,MATCH('Body weight gain'!G$1&amp;$A$1&amp;$A46,'Raw data'!$K$4:$K$267&amp;'Raw data'!$L$2&amp;'Raw data'!$L$4:$L$267,0))),"")</f>
        <v>0.83918918918918894</v>
      </c>
      <c r="H46" s="24"/>
    </row>
    <row r="47" spans="1:8" x14ac:dyDescent="0.25">
      <c r="A47" s="432">
        <f t="array" ref="A47">IFERROR(INDEX(Map!$V$2:$V$67,MATCH('Body weight gain'!$B47&amp;'Body weight gain'!$C47,Map!$W$2:$W$67&amp;Map!$X$2:$X$67,0)),"")</f>
        <v>48</v>
      </c>
      <c r="B47" s="418" t="str">
        <f>B41</f>
        <v>T4</v>
      </c>
      <c r="C47" s="436" t="s">
        <v>8</v>
      </c>
      <c r="D47" s="419">
        <f t="array" ref="D47">IFERROR(IF($D$1="","",INDEX('Raw data'!$S$4:$S$267,MATCH('Body weight gain'!D$1&amp;$A$1&amp;$A47,'Raw data'!$K$4:$K$267&amp;'Raw data'!$L$2&amp;'Raw data'!$L$4:$L$267,0))),"")</f>
        <v>0.29904868421052633</v>
      </c>
      <c r="E47" s="419">
        <f t="array" ref="E47">IFERROR(IF($E$1="","",INDEX('Raw data'!$S$4:$S$267,MATCH('Body weight gain'!E$1&amp;$A$1&amp;$A47,'Raw data'!$K$4:$K$267&amp;'Raw data'!$L$2&amp;'Raw data'!$L$4:$L$267,0))),"")</f>
        <v>0.61736842105263157</v>
      </c>
      <c r="F47" s="419">
        <f t="array" ref="F47">IFERROR(IF($F$1="","",INDEX('Raw data'!$S$4:$S$267,MATCH('Body weight gain'!F$1&amp;$A$1&amp;$A47,'Raw data'!$K$4:$K$267&amp;'Raw data'!$L$2&amp;'Raw data'!$L$4:$L$267,0))),"")</f>
        <v>0.45789473684210513</v>
      </c>
      <c r="G47" s="442">
        <f t="array" ref="G47">IFERROR(IF($G$1="","",INDEX('Raw data'!$S$4:$S$267,MATCH('Body weight gain'!G$1&amp;$A$1&amp;$A47,'Raw data'!$K$4:$K$267&amp;'Raw data'!$L$2&amp;'Raw data'!$L$4:$L$267,0))),"")</f>
        <v>0.80188477951635817</v>
      </c>
      <c r="H47" s="24"/>
    </row>
    <row r="48" spans="1:8" x14ac:dyDescent="0.25">
      <c r="A48" s="432">
        <f t="array" ref="A48">IFERROR(INDEX(Map!$V$2:$V$67,MATCH('Body weight gain'!$B48&amp;'Body weight gain'!$C48,Map!$W$2:$W$67&amp;Map!$X$2:$X$67,0)),"")</f>
        <v>54</v>
      </c>
      <c r="B48" s="418" t="str">
        <f>B41</f>
        <v>T4</v>
      </c>
      <c r="C48" s="436" t="s">
        <v>9</v>
      </c>
      <c r="D48" s="419">
        <f t="array" ref="D48">IFERROR(IF($D$1="","",INDEX('Raw data'!$S$4:$S$267,MATCH('Body weight gain'!D$1&amp;$A$1&amp;$A48,'Raw data'!$K$4:$K$267&amp;'Raw data'!$L$2&amp;'Raw data'!$L$4:$L$267,0))),"")</f>
        <v>0.32005131578947366</v>
      </c>
      <c r="E48" s="419">
        <f t="array" ref="E48">IFERROR(IF($E$1="","",INDEX('Raw data'!$S$4:$S$267,MATCH('Body weight gain'!E$1&amp;$A$1&amp;$A48,'Raw data'!$K$4:$K$267&amp;'Raw data'!$L$2&amp;'Raw data'!$L$4:$L$267,0))),"")</f>
        <v>0.62366287339971538</v>
      </c>
      <c r="F48" s="419">
        <f t="array" ref="F48">IFERROR(IF($F$1="","",INDEX('Raw data'!$S$4:$S$267,MATCH('Body weight gain'!F$1&amp;$A$1&amp;$A48,'Raw data'!$K$4:$K$267&amp;'Raw data'!$L$2&amp;'Raw data'!$L$4:$L$267,0))),"")</f>
        <v>0.5038663663663665</v>
      </c>
      <c r="G48" s="442">
        <f t="array" ref="G48">IFERROR(IF($G$1="","",INDEX('Raw data'!$S$4:$S$267,MATCH('Body weight gain'!G$1&amp;$A$1&amp;$A48,'Raw data'!$K$4:$K$267&amp;'Raw data'!$L$2&amp;'Raw data'!$L$4:$L$267,0))),"")</f>
        <v>0.83472222222222192</v>
      </c>
      <c r="H48" s="24"/>
    </row>
    <row r="49" spans="1:8" x14ac:dyDescent="0.25">
      <c r="A49" s="432">
        <f t="array" ref="A49">IFERROR(INDEX(Map!$V$2:$V$67,MATCH('Body weight gain'!$B49&amp;'Body weight gain'!$C49,Map!$W$2:$W$67&amp;Map!$X$2:$X$67,0)),"")</f>
        <v>64</v>
      </c>
      <c r="B49" s="418" t="str">
        <f>B41</f>
        <v>T4</v>
      </c>
      <c r="C49" s="436" t="s">
        <v>22</v>
      </c>
      <c r="D49" s="419">
        <f t="array" ref="D49">IFERROR(IF($D$1="","",INDEX('Raw data'!$S$4:$S$267,MATCH('Body weight gain'!D$1&amp;$A$1&amp;$A49,'Raw data'!$K$4:$K$267&amp;'Raw data'!$L$2&amp;'Raw data'!$L$4:$L$267,0))),"")</f>
        <v>0.31344736842105264</v>
      </c>
      <c r="E49" s="419">
        <f t="array" ref="E49">IFERROR(IF($E$1="","",INDEX('Raw data'!$S$4:$S$267,MATCH('Body weight gain'!E$1&amp;$A$1&amp;$A49,'Raw data'!$K$4:$K$267&amp;'Raw data'!$L$2&amp;'Raw data'!$L$4:$L$267,0))),"")</f>
        <v>0.63970128022759609</v>
      </c>
      <c r="F49" s="419">
        <f t="array" ref="F49">IFERROR(IF($F$1="","",INDEX('Raw data'!$S$4:$S$267,MATCH('Body weight gain'!F$1&amp;$A$1&amp;$A49,'Raw data'!$K$4:$K$267&amp;'Raw data'!$L$2&amp;'Raw data'!$L$4:$L$267,0))),"")</f>
        <v>0.45690690690690672</v>
      </c>
      <c r="G49" s="442">
        <f t="array" ref="G49">IFERROR(IF($G$1="","",INDEX('Raw data'!$S$4:$S$267,MATCH('Body weight gain'!G$1&amp;$A$1&amp;$A49,'Raw data'!$K$4:$K$267&amp;'Raw data'!$L$2&amp;'Raw data'!$L$4:$L$267,0))),"")</f>
        <v>0.88444444444444481</v>
      </c>
      <c r="H49" s="24"/>
    </row>
    <row r="50" spans="1:8" s="417" customFormat="1" x14ac:dyDescent="0.25">
      <c r="A50" s="432">
        <f t="array" ref="A50">IFERROR(INDEX(Map!$V$2:$V$67,MATCH('Body weight gain'!$B50&amp;'Body weight gain'!$C50,Map!$W$2:$W$67&amp;Map!$X$2:$X$67,0)),"")</f>
        <v>24</v>
      </c>
      <c r="B50" s="418" t="str">
        <f>B41</f>
        <v>T4</v>
      </c>
      <c r="C50" s="436" t="s">
        <v>101</v>
      </c>
      <c r="D50" s="419">
        <f t="array" ref="D50">IFERROR(IF($D$1="","",INDEX('Raw data'!$S$4:$S$267,MATCH('Body weight gain'!D$1&amp;$A$1&amp;$A50,'Raw data'!$K$4:$K$267&amp;'Raw data'!$L$2&amp;'Raw data'!$L$4:$L$267,0))),"")</f>
        <v>0.31130000000000002</v>
      </c>
      <c r="E50" s="419">
        <f t="array" ref="E50">IFERROR(IF($E$1="","",INDEX('Raw data'!$S$4:$S$267,MATCH('Body weight gain'!E$1&amp;$A$1&amp;$A50,'Raw data'!$K$4:$K$267&amp;'Raw data'!$L$2&amp;'Raw data'!$L$4:$L$267,0))),"")</f>
        <v>0.61399999999999988</v>
      </c>
      <c r="F50" s="419">
        <f t="array" ref="F50">IFERROR(IF($F$1="","",INDEX('Raw data'!$S$4:$S$267,MATCH('Body weight gain'!F$1&amp;$A$1&amp;$A50,'Raw data'!$K$4:$K$267&amp;'Raw data'!$L$2&amp;'Raw data'!$L$4:$L$267,0))),"")</f>
        <v>0.5082371794871795</v>
      </c>
      <c r="G50" s="442">
        <f t="array" ref="G50">IFERROR(IF($G$1="","",INDEX('Raw data'!$S$4:$S$267,MATCH('Body weight gain'!G$1&amp;$A$1&amp;$A50,'Raw data'!$K$4:$K$267&amp;'Raw data'!$L$2&amp;'Raw data'!$L$4:$L$267,0))),"")</f>
        <v>0.82692307692307687</v>
      </c>
      <c r="H50" s="418"/>
    </row>
    <row r="51" spans="1:8" s="417" customFormat="1" x14ac:dyDescent="0.25">
      <c r="A51" s="446">
        <f t="array" ref="A51">IFERROR(INDEX(Map!$V$2:$V$67,MATCH('Body weight gain'!$B51&amp;'Body weight gain'!$C51,Map!$W$2:$W$67&amp;Map!$X$2:$X$67,0)),"")</f>
        <v>44</v>
      </c>
      <c r="B51" s="418" t="str">
        <f>B41</f>
        <v>T4</v>
      </c>
      <c r="C51" s="436" t="s">
        <v>102</v>
      </c>
      <c r="D51" s="435">
        <f t="array" ref="D51">IFERROR(IF($D$1="","",INDEX('Raw data'!$S$4:$S$267,MATCH('Body weight gain'!D$1&amp;$A$1&amp;$A51,'Raw data'!$K$4:$K$267&amp;'Raw data'!$L$2&amp;'Raw data'!$L$4:$L$267,0))),"")</f>
        <v>0.33579487179487177</v>
      </c>
      <c r="E51" s="435">
        <f t="array" ref="E51">IFERROR(IF($E$1="","",INDEX('Raw data'!$S$4:$S$267,MATCH('Body weight gain'!E$1&amp;$A$1&amp;$A51,'Raw data'!$K$4:$K$267&amp;'Raw data'!$L$2&amp;'Raw data'!$L$4:$L$267,0))),"")</f>
        <v>0.64641025641025629</v>
      </c>
      <c r="F51" s="435">
        <f t="array" ref="F51">IFERROR(IF($F$1="","",INDEX('Raw data'!$S$4:$S$267,MATCH('Body weight gain'!F$1&amp;$A$1&amp;$A51,'Raw data'!$K$4:$K$267&amp;'Raw data'!$L$2&amp;'Raw data'!$L$4:$L$267,0))),"")</f>
        <v>0.53100539811066128</v>
      </c>
      <c r="G51" s="443">
        <f t="array" ref="G51">IFERROR(IF($G$1="","",INDEX('Raw data'!$S$4:$S$267,MATCH('Body weight gain'!G$1&amp;$A$1&amp;$A51,'Raw data'!$K$4:$K$267&amp;'Raw data'!$L$2&amp;'Raw data'!$L$4:$L$267,0))),"")</f>
        <v>0.85526315789473673</v>
      </c>
      <c r="H51" s="418"/>
    </row>
    <row r="52" spans="1:8" s="417" customFormat="1" x14ac:dyDescent="0.25">
      <c r="A52" s="432"/>
      <c r="B52" s="565" t="s">
        <v>82</v>
      </c>
      <c r="C52" s="566"/>
      <c r="D52" s="437" t="str">
        <f>IF($D$1="","",(ROUND(AVERAGE(D41:D51),3)&amp;" ± "&amp;(ROUND(STDEV(D41:D51),3))))</f>
        <v>0,307 ± 0,017</v>
      </c>
      <c r="E52" s="437" t="str">
        <f>IF($E$1="","",(ROUND(AVERAGE(E41:E51),3)&amp;" ± "&amp;(ROUND(STDEV(E41:E51),3))))</f>
        <v>0,619 ± 0,018</v>
      </c>
      <c r="F52" s="437" t="str">
        <f>IF($F$1="","",(ROUND(AVERAGE(F41:F51),3)&amp;" ± "&amp;(ROUND(STDEV(F41:F51),3))))</f>
        <v>0,473 ± 0,042</v>
      </c>
      <c r="G52" s="444" t="str">
        <f>IF($G$1="","",(ROUND(AVERAGE(G41:G51),3)&amp;" ± "&amp;(ROUND(STDEV(G41:G51),3))))</f>
        <v>0,821 ± 0,043</v>
      </c>
      <c r="H52" s="418"/>
    </row>
    <row r="53" spans="1:8" s="417" customFormat="1" ht="15.75" thickBot="1" x14ac:dyDescent="0.3">
      <c r="A53" s="433"/>
      <c r="B53" s="567" t="s">
        <v>83</v>
      </c>
      <c r="C53" s="568"/>
      <c r="D53" s="438">
        <f>IF($D$1="","",STDEV(D41:D51)/(AVERAGE(D41:D51)))</f>
        <v>5.5581184970555267E-2</v>
      </c>
      <c r="E53" s="438">
        <f>IF($E$1="","",STDEV(E41:E51)/(AVERAGE(E41:E51)))</f>
        <v>2.9466459312850874E-2</v>
      </c>
      <c r="F53" s="438">
        <f>IF($F$1="","",STDEV(F41:F51)/(AVERAGE(F41:F51)))</f>
        <v>8.8406509107408493E-2</v>
      </c>
      <c r="G53" s="445">
        <f>IF($G$1="","",STDEV(G41:G51)/(AVERAGE(G41:G51)))</f>
        <v>5.200217116136132E-2</v>
      </c>
      <c r="H53" s="418"/>
    </row>
    <row r="54" spans="1:8" x14ac:dyDescent="0.25">
      <c r="A54" s="431">
        <f t="array" ref="A54">IFERROR(INDEX(Map!$V$2:$V$67,MATCH('Body weight gain'!$B54&amp;'Body weight gain'!$C54,Map!$W$2:$W$67&amp;Map!$X$2:$X$67,0)),"")</f>
        <v>3</v>
      </c>
      <c r="B54" s="41" t="s">
        <v>14</v>
      </c>
      <c r="C54" s="219" t="s">
        <v>2</v>
      </c>
      <c r="D54" s="440">
        <f t="array" ref="D54">IFERROR(IF($D$1="","",INDEX('Raw data'!$S$4:$S$267,MATCH('Body weight gain'!D$1&amp;$A$1&amp;$A54,'Raw data'!$K$4:$K$267&amp;'Raw data'!$L$2&amp;'Raw data'!$L$4:$L$267,0))),"")</f>
        <v>0.29697297297297298</v>
      </c>
      <c r="E54" s="440">
        <f t="array" ref="E54">IFERROR(IF($E$1="","",INDEX('Raw data'!$S$4:$S$267,MATCH('Body weight gain'!E$1&amp;$A$1&amp;$A54,'Raw data'!$K$4:$K$267&amp;'Raw data'!$L$2&amp;'Raw data'!$L$4:$L$267,0))),"")</f>
        <v>0.60286036036036039</v>
      </c>
      <c r="F54" s="440">
        <f t="array" ref="F54">IFERROR(IF($F$1="","",INDEX('Raw data'!$S$4:$S$267,MATCH('Body weight gain'!F$1&amp;$A$1&amp;$A54,'Raw data'!$K$4:$K$267&amp;'Raw data'!$L$2&amp;'Raw data'!$L$4:$L$267,0))),"")</f>
        <v>0.48611111111111116</v>
      </c>
      <c r="G54" s="441">
        <f t="array" ref="G54">IFERROR(IF($G$1="","",INDEX('Raw data'!$S$4:$S$267,MATCH('Body weight gain'!G$1&amp;$A$1&amp;$A54,'Raw data'!$K$4:$K$267&amp;'Raw data'!$L$2&amp;'Raw data'!$L$4:$L$267,0))),"")</f>
        <v>0.84948412698412668</v>
      </c>
      <c r="H54" s="24"/>
    </row>
    <row r="55" spans="1:8" x14ac:dyDescent="0.25">
      <c r="A55" s="432">
        <f t="array" ref="A55">IFERROR(INDEX(Map!$V$2:$V$67,MATCH('Body weight gain'!$B55&amp;'Body weight gain'!$C55,Map!$W$2:$W$67&amp;Map!$X$2:$X$67,0)),"")</f>
        <v>14</v>
      </c>
      <c r="B55" s="24" t="str">
        <f>B54</f>
        <v>T5</v>
      </c>
      <c r="C55" s="216" t="s">
        <v>3</v>
      </c>
      <c r="D55" s="419">
        <f t="array" ref="D55">IFERROR(IF($D$1="","",INDEX('Raw data'!$S$4:$S$267,MATCH('Body weight gain'!D$1&amp;$A$1&amp;$A55,'Raw data'!$K$4:$K$267&amp;'Raw data'!$L$2&amp;'Raw data'!$L$4:$L$267,0))),"")</f>
        <v>0.31563205128205118</v>
      </c>
      <c r="E55" s="419">
        <f t="array" ref="E55">IFERROR(IF($E$1="","",INDEX('Raw data'!$S$4:$S$267,MATCH('Body weight gain'!E$1&amp;$A$1&amp;$A55,'Raw data'!$K$4:$K$267&amp;'Raw data'!$L$2&amp;'Raw data'!$L$4:$L$267,0))),"")</f>
        <v>0.60923076923076924</v>
      </c>
      <c r="F55" s="419">
        <f t="array" ref="F55">IFERROR(IF($F$1="","",INDEX('Raw data'!$S$4:$S$267,MATCH('Body weight gain'!F$1&amp;$A$1&amp;$A55,'Raw data'!$K$4:$K$267&amp;'Raw data'!$L$2&amp;'Raw data'!$L$4:$L$267,0))),"")</f>
        <v>0.47813582813582833</v>
      </c>
      <c r="G55" s="442">
        <f t="array" ref="G55">IFERROR(IF($G$1="","",INDEX('Raw data'!$S$4:$S$267,MATCH('Body weight gain'!G$1&amp;$A$1&amp;$A55,'Raw data'!$K$4:$K$267&amp;'Raw data'!$L$2&amp;'Raw data'!$L$4:$L$267,0))),"")</f>
        <v>0.82702702702702724</v>
      </c>
      <c r="H55" s="24"/>
    </row>
    <row r="56" spans="1:8" x14ac:dyDescent="0.25">
      <c r="A56" s="432">
        <f t="array" ref="A56">IFERROR(INDEX(Map!$V$2:$V$67,MATCH('Body weight gain'!$B56&amp;'Body weight gain'!$C56,Map!$W$2:$W$67&amp;Map!$X$2:$X$67,0)),"")</f>
        <v>18</v>
      </c>
      <c r="B56" s="24" t="str">
        <f>B54</f>
        <v>T5</v>
      </c>
      <c r="C56" s="216" t="s">
        <v>4</v>
      </c>
      <c r="D56" s="419">
        <f t="array" ref="D56">IFERROR(IF($D$1="","",INDEX('Raw data'!$S$4:$S$267,MATCH('Body weight gain'!D$1&amp;$A$1&amp;$A56,'Raw data'!$K$4:$K$267&amp;'Raw data'!$L$2&amp;'Raw data'!$L$4:$L$267,0))),"")</f>
        <v>0.31042500000000001</v>
      </c>
      <c r="E56" s="419">
        <f t="array" ref="E56">IFERROR(IF($E$1="","",INDEX('Raw data'!$S$4:$S$267,MATCH('Body weight gain'!E$1&amp;$A$1&amp;$A56,'Raw data'!$K$4:$K$267&amp;'Raw data'!$L$2&amp;'Raw data'!$L$4:$L$267,0))),"")</f>
        <v>0.60650000000000004</v>
      </c>
      <c r="F56" s="419">
        <f t="array" ref="F56">IFERROR(IF($F$1="","",INDEX('Raw data'!$S$4:$S$267,MATCH('Body weight gain'!F$1&amp;$A$1&amp;$A56,'Raw data'!$K$4:$K$267&amp;'Raw data'!$L$2&amp;'Raw data'!$L$4:$L$267,0))),"")</f>
        <v>0.53374999999999984</v>
      </c>
      <c r="G56" s="442">
        <f t="array" ref="G56">IFERROR(IF($G$1="","",INDEX('Raw data'!$S$4:$S$267,MATCH('Body weight gain'!G$1&amp;$A$1&amp;$A56,'Raw data'!$K$4:$K$267&amp;'Raw data'!$L$2&amp;'Raw data'!$L$4:$L$267,0))),"")</f>
        <v>0.83708333333333362</v>
      </c>
      <c r="H56" s="24"/>
    </row>
    <row r="57" spans="1:8" x14ac:dyDescent="0.25">
      <c r="A57" s="432">
        <f t="array" ref="A57">IFERROR(INDEX(Map!$V$2:$V$67,MATCH('Body weight gain'!$B57&amp;'Body weight gain'!$C57,Map!$W$2:$W$67&amp;Map!$X$2:$X$67,0)),"")</f>
        <v>28</v>
      </c>
      <c r="B57" s="24" t="str">
        <f>B54</f>
        <v>T5</v>
      </c>
      <c r="C57" s="216" t="s">
        <v>5</v>
      </c>
      <c r="D57" s="419">
        <f t="array" ref="D57">IFERROR(IF($D$1="","",INDEX('Raw data'!$S$4:$S$267,MATCH('Body weight gain'!D$1&amp;$A$1&amp;$A57,'Raw data'!$K$4:$K$267&amp;'Raw data'!$L$2&amp;'Raw data'!$L$4:$L$267,0))),"")</f>
        <v>0.30774999999999997</v>
      </c>
      <c r="E57" s="419">
        <f t="array" ref="E57">IFERROR(IF($E$1="","",INDEX('Raw data'!$S$4:$S$267,MATCH('Body weight gain'!E$1&amp;$A$1&amp;$A57,'Raw data'!$K$4:$K$267&amp;'Raw data'!$L$2&amp;'Raw data'!$L$4:$L$267,0))),"")</f>
        <v>0.63024999999999998</v>
      </c>
      <c r="F57" s="419">
        <f t="array" ref="F57">IFERROR(IF($F$1="","",INDEX('Raw data'!$S$4:$S$267,MATCH('Body weight gain'!F$1&amp;$A$1&amp;$A57,'Raw data'!$K$4:$K$267&amp;'Raw data'!$L$2&amp;'Raw data'!$L$4:$L$267,0))),"")</f>
        <v>0.50500000000000012</v>
      </c>
      <c r="G57" s="442">
        <f t="array" ref="G57">IFERROR(IF($G$1="","",INDEX('Raw data'!$S$4:$S$267,MATCH('Body weight gain'!G$1&amp;$A$1&amp;$A57,'Raw data'!$K$4:$K$267&amp;'Raw data'!$L$2&amp;'Raw data'!$L$4:$L$267,0))),"")</f>
        <v>0.71256578947368432</v>
      </c>
      <c r="H57" s="24"/>
    </row>
    <row r="58" spans="1:8" x14ac:dyDescent="0.25">
      <c r="A58" s="432">
        <f t="array" ref="A58">IFERROR(INDEX(Map!$V$2:$V$67,MATCH('Body weight gain'!$B58&amp;'Body weight gain'!$C58,Map!$W$2:$W$67&amp;Map!$X$2:$X$67,0)),"")</f>
        <v>35</v>
      </c>
      <c r="B58" s="24" t="str">
        <f>B54</f>
        <v>T5</v>
      </c>
      <c r="C58" s="216" t="s">
        <v>6</v>
      </c>
      <c r="D58" s="419">
        <f t="array" ref="D58">IFERROR(IF($D$1="","",INDEX('Raw data'!$S$4:$S$267,MATCH('Body weight gain'!D$1&amp;$A$1&amp;$A58,'Raw data'!$K$4:$K$267&amp;'Raw data'!$L$2&amp;'Raw data'!$L$4:$L$267,0))),"")</f>
        <v>0.31098648648648647</v>
      </c>
      <c r="E58" s="419">
        <f t="array" ref="E58">IFERROR(IF($E$1="","",INDEX('Raw data'!$S$4:$S$267,MATCH('Body weight gain'!E$1&amp;$A$1&amp;$A58,'Raw data'!$K$4:$K$267&amp;'Raw data'!$L$2&amp;'Raw data'!$L$4:$L$267,0))),"")</f>
        <v>0.67324324324324314</v>
      </c>
      <c r="F58" s="419">
        <f t="array" ref="F58">IFERROR(IF($F$1="","",INDEX('Raw data'!$S$4:$S$267,MATCH('Body weight gain'!F$1&amp;$A$1&amp;$A58,'Raw data'!$K$4:$K$267&amp;'Raw data'!$L$2&amp;'Raw data'!$L$4:$L$267,0))),"")</f>
        <v>0.42972972972972978</v>
      </c>
      <c r="G58" s="442">
        <f t="array" ref="G58">IFERROR(IF($G$1="","",INDEX('Raw data'!$S$4:$S$267,MATCH('Body weight gain'!G$1&amp;$A$1&amp;$A58,'Raw data'!$K$4:$K$267&amp;'Raw data'!$L$2&amp;'Raw data'!$L$4:$L$267,0))),"")</f>
        <v>0.80405405405405417</v>
      </c>
      <c r="H58" s="24"/>
    </row>
    <row r="59" spans="1:8" x14ac:dyDescent="0.25">
      <c r="A59" s="432">
        <f t="array" ref="A59">IFERROR(INDEX(Map!$V$2:$V$67,MATCH('Body weight gain'!$B59&amp;'Body weight gain'!$C59,Map!$W$2:$W$67&amp;Map!$X$2:$X$67,0)),"")</f>
        <v>42</v>
      </c>
      <c r="B59" s="24" t="str">
        <f>B54</f>
        <v>T5</v>
      </c>
      <c r="C59" s="216" t="s">
        <v>7</v>
      </c>
      <c r="D59" s="419">
        <f t="array" ref="D59">IFERROR(IF($D$1="","",INDEX('Raw data'!$S$4:$S$267,MATCH('Body weight gain'!D$1&amp;$A$1&amp;$A59,'Raw data'!$K$4:$K$267&amp;'Raw data'!$L$2&amp;'Raw data'!$L$4:$L$267,0))),"")</f>
        <v>0.31716410256410255</v>
      </c>
      <c r="E59" s="419">
        <f t="array" ref="E59">IFERROR(IF($E$1="","",INDEX('Raw data'!$S$4:$S$267,MATCH('Body weight gain'!E$1&amp;$A$1&amp;$A59,'Raw data'!$K$4:$K$267&amp;'Raw data'!$L$2&amp;'Raw data'!$L$4:$L$267,0))),"")</f>
        <v>0.60538461538461541</v>
      </c>
      <c r="F59" s="419">
        <f t="array" ref="F59">IFERROR(IF($F$1="","",INDEX('Raw data'!$S$4:$S$267,MATCH('Body weight gain'!F$1&amp;$A$1&amp;$A59,'Raw data'!$K$4:$K$267&amp;'Raw data'!$L$2&amp;'Raw data'!$L$4:$L$267,0))),"")</f>
        <v>0.50384615384615372</v>
      </c>
      <c r="G59" s="442">
        <f t="array" ref="G59">IFERROR(IF($G$1="","",INDEX('Raw data'!$S$4:$S$267,MATCH('Body weight gain'!G$1&amp;$A$1&amp;$A59,'Raw data'!$K$4:$K$267&amp;'Raw data'!$L$2&amp;'Raw data'!$L$4:$L$267,0))),"")</f>
        <v>0.77307692307692322</v>
      </c>
      <c r="H59" s="24"/>
    </row>
    <row r="60" spans="1:8" x14ac:dyDescent="0.25">
      <c r="A60" s="432">
        <f t="array" ref="A60">IFERROR(INDEX(Map!$V$2:$V$67,MATCH('Body weight gain'!$B60&amp;'Body weight gain'!$C60,Map!$W$2:$W$67&amp;Map!$X$2:$X$67,0)),"")</f>
        <v>49</v>
      </c>
      <c r="B60" s="24" t="str">
        <f>B54</f>
        <v>T5</v>
      </c>
      <c r="C60" s="216" t="s">
        <v>8</v>
      </c>
      <c r="D60" s="419">
        <f t="array" ref="D60">IFERROR(IF($D$1="","",INDEX('Raw data'!$S$4:$S$267,MATCH('Body weight gain'!D$1&amp;$A$1&amp;$A60,'Raw data'!$K$4:$K$267&amp;'Raw data'!$L$2&amp;'Raw data'!$L$4:$L$267,0))),"")</f>
        <v>0.30421858974358973</v>
      </c>
      <c r="E60" s="419">
        <f t="array" ref="E60">IFERROR(IF($E$1="","",INDEX('Raw data'!$S$4:$S$267,MATCH('Body weight gain'!E$1&amp;$A$1&amp;$A60,'Raw data'!$K$4:$K$267&amp;'Raw data'!$L$2&amp;'Raw data'!$L$4:$L$267,0))),"")</f>
        <v>0.61692307692307713</v>
      </c>
      <c r="F60" s="419">
        <f t="array" ref="F60">IFERROR(IF($F$1="","",INDEX('Raw data'!$S$4:$S$267,MATCH('Body weight gain'!F$1&amp;$A$1&amp;$A60,'Raw data'!$K$4:$K$267&amp;'Raw data'!$L$2&amp;'Raw data'!$L$4:$L$267,0))),"")</f>
        <v>0.4675438596491226</v>
      </c>
      <c r="G60" s="442">
        <f t="array" ref="G60">IFERROR(IF($G$1="","",INDEX('Raw data'!$S$4:$S$267,MATCH('Body weight gain'!G$1&amp;$A$1&amp;$A60,'Raw data'!$K$4:$K$267&amp;'Raw data'!$L$2&amp;'Raw data'!$L$4:$L$267,0))),"")</f>
        <v>0.80921052631578938</v>
      </c>
      <c r="H60" s="24"/>
    </row>
    <row r="61" spans="1:8" x14ac:dyDescent="0.25">
      <c r="A61" s="432">
        <f t="array" ref="A61">IFERROR(INDEX(Map!$V$2:$V$67,MATCH('Body weight gain'!$B61&amp;'Body weight gain'!$C61,Map!$W$2:$W$67&amp;Map!$X$2:$X$67,0)),"")</f>
        <v>53</v>
      </c>
      <c r="B61" s="24" t="str">
        <f>B54</f>
        <v>T5</v>
      </c>
      <c r="C61" s="216" t="s">
        <v>9</v>
      </c>
      <c r="D61" s="419">
        <f t="array" ref="D61">IFERROR(IF($D$1="","",INDEX('Raw data'!$S$4:$S$267,MATCH('Body weight gain'!D$1&amp;$A$1&amp;$A61,'Raw data'!$K$4:$K$267&amp;'Raw data'!$L$2&amp;'Raw data'!$L$4:$L$267,0))),"")</f>
        <v>0.30155448717948719</v>
      </c>
      <c r="E61" s="419">
        <f t="array" ref="E61">IFERROR(IF($E$1="","",INDEX('Raw data'!$S$4:$S$267,MATCH('Body weight gain'!E$1&amp;$A$1&amp;$A61,'Raw data'!$K$4:$K$267&amp;'Raw data'!$L$2&amp;'Raw data'!$L$4:$L$267,0))),"")</f>
        <v>0.61435897435897435</v>
      </c>
      <c r="F61" s="419">
        <f t="array" ref="F61">IFERROR(IF($F$1="","",INDEX('Raw data'!$S$4:$S$267,MATCH('Body weight gain'!F$1&amp;$A$1&amp;$A61,'Raw data'!$K$4:$K$267&amp;'Raw data'!$L$2&amp;'Raw data'!$L$4:$L$267,0))),"")</f>
        <v>0.48717948717948711</v>
      </c>
      <c r="G61" s="442">
        <f t="array" ref="G61">IFERROR(IF($G$1="","",INDEX('Raw data'!$S$4:$S$267,MATCH('Body weight gain'!G$1&amp;$A$1&amp;$A61,'Raw data'!$K$4:$K$267&amp;'Raw data'!$L$2&amp;'Raw data'!$L$4:$L$267,0))),"")</f>
        <v>0.86923076923076947</v>
      </c>
      <c r="H61" s="24"/>
    </row>
    <row r="62" spans="1:8" s="417" customFormat="1" x14ac:dyDescent="0.25">
      <c r="A62" s="432">
        <f t="array" ref="A62">IFERROR(INDEX(Map!$V$2:$V$67,MATCH('Body weight gain'!$B62&amp;'Body weight gain'!$C62,Map!$W$2:$W$67&amp;Map!$X$2:$X$67,0)),"")</f>
        <v>60</v>
      </c>
      <c r="B62" s="418" t="str">
        <f>B54</f>
        <v>T5</v>
      </c>
      <c r="C62" s="436" t="s">
        <v>22</v>
      </c>
      <c r="D62" s="419">
        <f t="array" ref="D62">IFERROR(IF($D$1="","",INDEX('Raw data'!$S$4:$S$267,MATCH('Body weight gain'!D$1&amp;$A$1&amp;$A62,'Raw data'!$K$4:$K$267&amp;'Raw data'!$L$2&amp;'Raw data'!$L$4:$L$267,0))),"")</f>
        <v>0.32194999999999996</v>
      </c>
      <c r="E62" s="419">
        <f t="array" ref="E62">IFERROR(IF($E$1="","",INDEX('Raw data'!$S$4:$S$267,MATCH('Body weight gain'!E$1&amp;$A$1&amp;$A62,'Raw data'!$K$4:$K$267&amp;'Raw data'!$L$2&amp;'Raw data'!$L$4:$L$267,0))),"")</f>
        <v>0.62762179487179481</v>
      </c>
      <c r="F62" s="419">
        <f t="array" ref="F62">IFERROR(IF($F$1="","",INDEX('Raw data'!$S$4:$S$267,MATCH('Body weight gain'!F$1&amp;$A$1&amp;$A62,'Raw data'!$K$4:$K$267&amp;'Raw data'!$L$2&amp;'Raw data'!$L$4:$L$267,0))),"")</f>
        <v>0.47051282051282051</v>
      </c>
      <c r="G62" s="442">
        <f t="array" ref="G62">IFERROR(IF($G$1="","",INDEX('Raw data'!$S$4:$S$267,MATCH('Body weight gain'!G$1&amp;$A$1&amp;$A62,'Raw data'!$K$4:$K$267&amp;'Raw data'!$L$2&amp;'Raw data'!$L$4:$L$267,0))),"")</f>
        <v>0.86093117408906905</v>
      </c>
      <c r="H62" s="418"/>
    </row>
    <row r="63" spans="1:8" s="417" customFormat="1" x14ac:dyDescent="0.25">
      <c r="A63" s="432">
        <f t="array" ref="A63">IFERROR(INDEX(Map!$V$2:$V$67,MATCH('Body weight gain'!$B63&amp;'Body weight gain'!$C63,Map!$W$2:$W$67&amp;Map!$X$2:$X$67,0)),"")</f>
        <v>23</v>
      </c>
      <c r="B63" s="418" t="str">
        <f>B54</f>
        <v>T5</v>
      </c>
      <c r="C63" s="436" t="s">
        <v>101</v>
      </c>
      <c r="D63" s="419">
        <f t="array" ref="D63">IFERROR(IF($D$1="","",INDEX('Raw data'!$S$4:$S$267,MATCH('Body weight gain'!D$1&amp;$A$1&amp;$A63,'Raw data'!$K$4:$K$267&amp;'Raw data'!$L$2&amp;'Raw data'!$L$4:$L$267,0))),"")</f>
        <v>0.31047884615384608</v>
      </c>
      <c r="E63" s="419">
        <f t="array" ref="E63">IFERROR(IF($E$1="","",INDEX('Raw data'!$S$4:$S$267,MATCH('Body weight gain'!E$1&amp;$A$1&amp;$A63,'Raw data'!$K$4:$K$267&amp;'Raw data'!$L$2&amp;'Raw data'!$L$4:$L$267,0))),"")</f>
        <v>0.58487179487179497</v>
      </c>
      <c r="F63" s="419">
        <f t="array" ref="F63">IFERROR(IF($F$1="","",INDEX('Raw data'!$S$4:$S$267,MATCH('Body weight gain'!F$1&amp;$A$1&amp;$A63,'Raw data'!$K$4:$K$267&amp;'Raw data'!$L$2&amp;'Raw data'!$L$4:$L$267,0))),"")</f>
        <v>0.51410256410256372</v>
      </c>
      <c r="G63" s="442">
        <f t="array" ref="G63">IFERROR(IF($G$1="","",INDEX('Raw data'!$S$4:$S$267,MATCH('Body weight gain'!G$1&amp;$A$1&amp;$A63,'Raw data'!$K$4:$K$267&amp;'Raw data'!$L$2&amp;'Raw data'!$L$4:$L$267,0))),"")</f>
        <v>0.81538461538461604</v>
      </c>
      <c r="H63" s="418"/>
    </row>
    <row r="64" spans="1:8" s="417" customFormat="1" x14ac:dyDescent="0.25">
      <c r="A64" s="446">
        <f t="array" ref="A64">IFERROR(INDEX(Map!$V$2:$V$67,MATCH('Body weight gain'!$B64&amp;'Body weight gain'!$C64,Map!$W$2:$W$67&amp;Map!$X$2:$X$67,0)),"")</f>
        <v>22</v>
      </c>
      <c r="B64" s="418" t="str">
        <f>B54</f>
        <v>T5</v>
      </c>
      <c r="C64" s="436" t="s">
        <v>102</v>
      </c>
      <c r="D64" s="435">
        <f t="array" ref="D64">IFERROR(IF($D$1="","",INDEX('Raw data'!$S$4:$S$267,MATCH('Body weight gain'!D$1&amp;$A$1&amp;$A64,'Raw data'!$K$4:$K$267&amp;'Raw data'!$L$2&amp;'Raw data'!$L$4:$L$267,0))),"")</f>
        <v>0.29277499999999995</v>
      </c>
      <c r="E64" s="435">
        <f t="array" ref="E64">IFERROR(IF($E$1="","",INDEX('Raw data'!$S$4:$S$267,MATCH('Body weight gain'!E$1&amp;$A$1&amp;$A64,'Raw data'!$K$4:$K$267&amp;'Raw data'!$L$2&amp;'Raw data'!$L$4:$L$267,0))),"")</f>
        <v>0.55525000000000002</v>
      </c>
      <c r="F64" s="435">
        <f t="array" ref="F64">IFERROR(IF($F$1="","",INDEX('Raw data'!$S$4:$S$267,MATCH('Body weight gain'!F$1&amp;$A$1&amp;$A64,'Raw data'!$K$4:$K$267&amp;'Raw data'!$L$2&amp;'Raw data'!$L$4:$L$267,0))),"")</f>
        <v>0.41650641025641</v>
      </c>
      <c r="G64" s="443">
        <f t="array" ref="G64">IFERROR(IF($G$1="","",INDEX('Raw data'!$S$4:$S$267,MATCH('Body weight gain'!G$1&amp;$A$1&amp;$A64,'Raw data'!$K$4:$K$267&amp;'Raw data'!$L$2&amp;'Raw data'!$L$4:$L$267,0))),"")</f>
        <v>0.83053306342780031</v>
      </c>
      <c r="H64" s="418"/>
    </row>
    <row r="65" spans="1:8" s="417" customFormat="1" x14ac:dyDescent="0.25">
      <c r="A65" s="432"/>
      <c r="B65" s="565" t="s">
        <v>82</v>
      </c>
      <c r="C65" s="566"/>
      <c r="D65" s="437" t="str">
        <f>IF($D$1="","",(ROUND(AVERAGE(D54:D64),3)&amp;" ± "&amp;(ROUND(STDEV(D54:D64),3))))</f>
        <v>0,308 ± 0,009</v>
      </c>
      <c r="E65" s="437" t="str">
        <f>IF($E$1="","",(ROUND(AVERAGE(E54:E64),3)&amp;" ± "&amp;(ROUND(STDEV(E54:E64),3))))</f>
        <v>0,611 ± 0,029</v>
      </c>
      <c r="F65" s="437" t="str">
        <f>IF($F$1="","",(ROUND(AVERAGE(F54:F64),3)&amp;" ± "&amp;(ROUND(STDEV(F54:F64),3))))</f>
        <v>0,481 ± 0,035</v>
      </c>
      <c r="G65" s="444" t="str">
        <f>IF($G$1="","",(ROUND(AVERAGE(G54:G64),3)&amp;" ± "&amp;(ROUND(STDEV(G54:G64),3))))</f>
        <v>0,817 ± 0,044</v>
      </c>
      <c r="H65" s="418"/>
    </row>
    <row r="66" spans="1:8" s="417" customFormat="1" ht="15.75" thickBot="1" x14ac:dyDescent="0.3">
      <c r="A66" s="433"/>
      <c r="B66" s="567" t="s">
        <v>83</v>
      </c>
      <c r="C66" s="568"/>
      <c r="D66" s="438">
        <f>IF($D$1="","",STDEV(D54:D64)/(AVERAGE(D54:D64)))</f>
        <v>2.8413906371530961E-2</v>
      </c>
      <c r="E66" s="438">
        <f>IF($E$1="","",STDEV(E54:E64)/(AVERAGE(E54:E64)))</f>
        <v>4.7611816661123234E-2</v>
      </c>
      <c r="F66" s="438">
        <f>IF($F$1="","",STDEV(F54:F64)/(AVERAGE(F54:F64)))</f>
        <v>7.23816265890041E-2</v>
      </c>
      <c r="G66" s="445">
        <f>IF($G$1="","",STDEV(G54:G64)/(AVERAGE(G54:G64)))</f>
        <v>5.3994192091982092E-2</v>
      </c>
      <c r="H66" s="418"/>
    </row>
    <row r="67" spans="1:8" x14ac:dyDescent="0.25">
      <c r="A67" s="431">
        <f t="array" ref="A67">IFERROR(INDEX(Map!$V$2:$V$67,MATCH('Body weight gain'!$B67&amp;'Body weight gain'!$C67,Map!$W$2:$W$67&amp;Map!$X$2:$X$67,0)),"")</f>
        <v>5</v>
      </c>
      <c r="B67" s="420" t="s">
        <v>16</v>
      </c>
      <c r="C67" s="439" t="s">
        <v>2</v>
      </c>
      <c r="D67" s="440">
        <f t="array" ref="D67">IFERROR(IF($D$1="","",INDEX('Raw data'!$S$4:$S$267,MATCH('Body weight gain'!D$1&amp;$A$1&amp;$A67,'Raw data'!$K$4:$K$267&amp;'Raw data'!$L$2&amp;'Raw data'!$L$4:$L$267,0))),"")</f>
        <v>0.29757500000000003</v>
      </c>
      <c r="E67" s="440">
        <f t="array" ref="E67">IFERROR(IF($E$1="","",INDEX('Raw data'!$S$4:$S$267,MATCH('Body weight gain'!E$1&amp;$A$1&amp;$A67,'Raw data'!$K$4:$K$267&amp;'Raw data'!$L$2&amp;'Raw data'!$L$4:$L$267,0))),"")</f>
        <v>0.62275000000000014</v>
      </c>
      <c r="F67" s="440">
        <f t="array" ref="F67">IFERROR(IF($F$1="","",INDEX('Raw data'!$S$4:$S$267,MATCH('Body weight gain'!F$1&amp;$A$1&amp;$A67,'Raw data'!$K$4:$K$267&amp;'Raw data'!$L$2&amp;'Raw data'!$L$4:$L$267,0))),"")</f>
        <v>0.50554487179487151</v>
      </c>
      <c r="G67" s="441">
        <f t="array" ref="G67">IFERROR(IF($G$1="","",INDEX('Raw data'!$S$4:$S$267,MATCH('Body weight gain'!G$1&amp;$A$1&amp;$A67,'Raw data'!$K$4:$K$267&amp;'Raw data'!$L$2&amp;'Raw data'!$L$4:$L$267,0))),"")</f>
        <v>0.89102564102564119</v>
      </c>
      <c r="H67" s="24"/>
    </row>
    <row r="68" spans="1:8" x14ac:dyDescent="0.25">
      <c r="A68" s="432">
        <f t="array" ref="A68">IFERROR(INDEX(Map!$V$2:$V$67,MATCH('Body weight gain'!$B68&amp;'Body weight gain'!$C68,Map!$W$2:$W$67&amp;Map!$X$2:$X$67,0)),"")</f>
        <v>10</v>
      </c>
      <c r="B68" s="418" t="str">
        <f>B67</f>
        <v>T6</v>
      </c>
      <c r="C68" s="436" t="s">
        <v>3</v>
      </c>
      <c r="D68" s="419">
        <f t="array" ref="D68">IFERROR(IF($D$1="","",INDEX('Raw data'!$S$4:$S$267,MATCH('Body weight gain'!D$1&amp;$A$1&amp;$A68,'Raw data'!$K$4:$K$267&amp;'Raw data'!$L$2&amp;'Raw data'!$L$4:$L$267,0))),"")</f>
        <v>0.34072894736842102</v>
      </c>
      <c r="E68" s="419">
        <f t="array" ref="E68">IFERROR(IF($E$1="","",INDEX('Raw data'!$S$4:$S$267,MATCH('Body weight gain'!E$1&amp;$A$1&amp;$A68,'Raw data'!$K$4:$K$267&amp;'Raw data'!$L$2&amp;'Raw data'!$L$4:$L$267,0))),"")</f>
        <v>0.67526315789473668</v>
      </c>
      <c r="F68" s="419">
        <f t="array" ref="F68">IFERROR(IF($F$1="","",INDEX('Raw data'!$S$4:$S$267,MATCH('Body weight gain'!F$1&amp;$A$1&amp;$A68,'Raw data'!$K$4:$K$267&amp;'Raw data'!$L$2&amp;'Raw data'!$L$4:$L$267,0))),"")</f>
        <v>0.60167140825035581</v>
      </c>
      <c r="G68" s="442">
        <f t="array" ref="G68">IFERROR(IF($G$1="","",INDEX('Raw data'!$S$4:$S$267,MATCH('Body weight gain'!G$1&amp;$A$1&amp;$A68,'Raw data'!$K$4:$K$267&amp;'Raw data'!$L$2&amp;'Raw data'!$L$4:$L$267,0))),"")</f>
        <v>0.86565315315315328</v>
      </c>
      <c r="H68" s="24"/>
    </row>
    <row r="69" spans="1:8" x14ac:dyDescent="0.25">
      <c r="A69" s="432">
        <f t="array" ref="A69">IFERROR(INDEX(Map!$V$2:$V$67,MATCH('Body weight gain'!$B69&amp;'Body weight gain'!$C69,Map!$W$2:$W$67&amp;Map!$X$2:$X$67,0)),"")</f>
        <v>17</v>
      </c>
      <c r="B69" s="418" t="str">
        <f>B67</f>
        <v>T6</v>
      </c>
      <c r="C69" s="436" t="s">
        <v>4</v>
      </c>
      <c r="D69" s="419">
        <f t="array" ref="D69">IFERROR(IF($D$1="","",INDEX('Raw data'!$S$4:$S$267,MATCH('Body weight gain'!D$1&amp;$A$1&amp;$A69,'Raw data'!$K$4:$K$267&amp;'Raw data'!$L$2&amp;'Raw data'!$L$4:$L$267,0))),"")</f>
        <v>0.30395</v>
      </c>
      <c r="E69" s="419">
        <f t="array" ref="E69">IFERROR(IF($E$1="","",INDEX('Raw data'!$S$4:$S$267,MATCH('Body weight gain'!E$1&amp;$A$1&amp;$A69,'Raw data'!$K$4:$K$267&amp;'Raw data'!$L$2&amp;'Raw data'!$L$4:$L$267,0))),"")</f>
        <v>0.56524999999999981</v>
      </c>
      <c r="F69" s="419">
        <f t="array" ref="F69">IFERROR(IF($F$1="","",INDEX('Raw data'!$S$4:$S$267,MATCH('Body weight gain'!F$1&amp;$A$1&amp;$A69,'Raw data'!$K$4:$K$267&amp;'Raw data'!$L$2&amp;'Raw data'!$L$4:$L$267,0))),"")</f>
        <v>0.48884615384615393</v>
      </c>
      <c r="G69" s="442">
        <f t="array" ref="G69">IFERROR(IF($G$1="","",INDEX('Raw data'!$S$4:$S$267,MATCH('Body weight gain'!G$1&amp;$A$1&amp;$A69,'Raw data'!$K$4:$K$267&amp;'Raw data'!$L$2&amp;'Raw data'!$L$4:$L$267,0))),"")</f>
        <v>0.84487179487179453</v>
      </c>
      <c r="H69" s="24"/>
    </row>
    <row r="70" spans="1:8" x14ac:dyDescent="0.25">
      <c r="A70" s="432">
        <f t="array" ref="A70">IFERROR(INDEX(Map!$V$2:$V$67,MATCH('Body weight gain'!$B70&amp;'Body weight gain'!$C70,Map!$W$2:$W$67&amp;Map!$X$2:$X$67,0)),"")</f>
        <v>29</v>
      </c>
      <c r="B70" s="418" t="str">
        <f>B67</f>
        <v>T6</v>
      </c>
      <c r="C70" s="436" t="s">
        <v>5</v>
      </c>
      <c r="D70" s="419">
        <f t="array" ref="D70">IFERROR(IF($D$1="","",INDEX('Raw data'!$S$4:$S$267,MATCH('Body weight gain'!D$1&amp;$A$1&amp;$A70,'Raw data'!$K$4:$K$267&amp;'Raw data'!$L$2&amp;'Raw data'!$L$4:$L$267,0))),"")</f>
        <v>0.30149999999999993</v>
      </c>
      <c r="E70" s="419">
        <f t="array" ref="E70">IFERROR(IF($E$1="","",INDEX('Raw data'!$S$4:$S$267,MATCH('Body weight gain'!E$1&amp;$A$1&amp;$A70,'Raw data'!$K$4:$K$267&amp;'Raw data'!$L$2&amp;'Raw data'!$L$4:$L$267,0))),"")</f>
        <v>0.61900000000000022</v>
      </c>
      <c r="F70" s="419">
        <f t="array" ref="F70">IFERROR(IF($F$1="","",INDEX('Raw data'!$S$4:$S$267,MATCH('Body weight gain'!F$1&amp;$A$1&amp;$A70,'Raw data'!$K$4:$K$267&amp;'Raw data'!$L$2&amp;'Raw data'!$L$4:$L$267,0))),"")</f>
        <v>0.47717105263157855</v>
      </c>
      <c r="G70" s="442">
        <f t="array" ref="G70">IFERROR(IF($G$1="","",INDEX('Raw data'!$S$4:$S$267,MATCH('Body weight gain'!G$1&amp;$A$1&amp;$A70,'Raw data'!$K$4:$K$267&amp;'Raw data'!$L$2&amp;'Raw data'!$L$4:$L$267,0))),"")</f>
        <v>0.76738975817923261</v>
      </c>
      <c r="H70" s="24"/>
    </row>
    <row r="71" spans="1:8" x14ac:dyDescent="0.25">
      <c r="A71" s="432">
        <f t="array" ref="A71">IFERROR(INDEX(Map!$V$2:$V$67,MATCH('Body weight gain'!$B71&amp;'Body weight gain'!$C71,Map!$W$2:$W$67&amp;Map!$X$2:$X$67,0)),"")</f>
        <v>32</v>
      </c>
      <c r="B71" s="418" t="str">
        <f>B67</f>
        <v>T6</v>
      </c>
      <c r="C71" s="436" t="s">
        <v>6</v>
      </c>
      <c r="D71" s="419">
        <f t="array" ref="D71">IFERROR(IF($D$1="","",INDEX('Raw data'!$S$4:$S$267,MATCH('Body weight gain'!D$1&amp;$A$1&amp;$A71,'Raw data'!$K$4:$K$267&amp;'Raw data'!$L$2&amp;'Raw data'!$L$4:$L$267,0))),"")</f>
        <v>0.28797500000000004</v>
      </c>
      <c r="E71" s="419">
        <f t="array" ref="E71">IFERROR(IF($E$1="","",INDEX('Raw data'!$S$4:$S$267,MATCH('Body weight gain'!E$1&amp;$A$1&amp;$A71,'Raw data'!$K$4:$K$267&amp;'Raw data'!$L$2&amp;'Raw data'!$L$4:$L$267,0))),"")</f>
        <v>0.59399999999999986</v>
      </c>
      <c r="F71" s="419">
        <f t="array" ref="F71">IFERROR(IF($F$1="","",INDEX('Raw data'!$S$4:$S$267,MATCH('Body weight gain'!F$1&amp;$A$1&amp;$A71,'Raw data'!$K$4:$K$267&amp;'Raw data'!$L$2&amp;'Raw data'!$L$4:$L$267,0))),"")</f>
        <v>0.47891025641025642</v>
      </c>
      <c r="G71" s="442">
        <f t="array" ref="G71">IFERROR(IF($G$1="","",INDEX('Raw data'!$S$4:$S$267,MATCH('Body weight gain'!G$1&amp;$A$1&amp;$A71,'Raw data'!$K$4:$K$267&amp;'Raw data'!$L$2&amp;'Raw data'!$L$4:$L$267,0))),"")</f>
        <v>0.81595816464237547</v>
      </c>
      <c r="H71" s="24"/>
    </row>
    <row r="72" spans="1:8" x14ac:dyDescent="0.25">
      <c r="A72" s="432">
        <f t="array" ref="A72">IFERROR(INDEX(Map!$V$2:$V$67,MATCH('Body weight gain'!$B72&amp;'Body weight gain'!$C72,Map!$W$2:$W$67&amp;Map!$X$2:$X$67,0)),"")</f>
        <v>38</v>
      </c>
      <c r="B72" s="418" t="str">
        <f>B67</f>
        <v>T6</v>
      </c>
      <c r="C72" s="436" t="s">
        <v>7</v>
      </c>
      <c r="D72" s="419">
        <f t="array" ref="D72">IFERROR(IF($D$1="","",INDEX('Raw data'!$S$4:$S$267,MATCH('Body weight gain'!D$1&amp;$A$1&amp;$A72,'Raw data'!$K$4:$K$267&amp;'Raw data'!$L$2&amp;'Raw data'!$L$4:$L$267,0))),"")</f>
        <v>0.28552500000000003</v>
      </c>
      <c r="E72" s="419">
        <f t="array" ref="E72">IFERROR(IF($E$1="","",INDEX('Raw data'!$S$4:$S$267,MATCH('Body weight gain'!E$1&amp;$A$1&amp;$A72,'Raw data'!$K$4:$K$267&amp;'Raw data'!$L$2&amp;'Raw data'!$L$4:$L$267,0))),"")</f>
        <v>0.64976923076923065</v>
      </c>
      <c r="F72" s="419">
        <f t="array" ref="F72">IFERROR(IF($F$1="","",INDEX('Raw data'!$S$4:$S$267,MATCH('Body weight gain'!F$1&amp;$A$1&amp;$A72,'Raw data'!$K$4:$K$267&amp;'Raw data'!$L$2&amp;'Raw data'!$L$4:$L$267,0))),"")</f>
        <v>0.47186234817813755</v>
      </c>
      <c r="G72" s="442">
        <f t="array" ref="G72">IFERROR(IF($G$1="","",INDEX('Raw data'!$S$4:$S$267,MATCH('Body weight gain'!G$1&amp;$A$1&amp;$A72,'Raw data'!$K$4:$K$267&amp;'Raw data'!$L$2&amp;'Raw data'!$L$4:$L$267,0))),"")</f>
        <v>0.89061166429587524</v>
      </c>
      <c r="H72" s="24"/>
    </row>
    <row r="73" spans="1:8" x14ac:dyDescent="0.25">
      <c r="A73" s="432">
        <f t="array" ref="A73">IFERROR(INDEX(Map!$V$2:$V$67,MATCH('Body weight gain'!$B73&amp;'Body weight gain'!$C73,Map!$W$2:$W$67&amp;Map!$X$2:$X$67,0)),"")</f>
        <v>47</v>
      </c>
      <c r="B73" s="418" t="str">
        <f>B67</f>
        <v>T6</v>
      </c>
      <c r="C73" s="436" t="s">
        <v>8</v>
      </c>
      <c r="D73" s="419">
        <f t="array" ref="D73">IFERROR(IF($D$1="","",INDEX('Raw data'!$S$4:$S$267,MATCH('Body weight gain'!D$1&amp;$A$1&amp;$A73,'Raw data'!$K$4:$K$267&amp;'Raw data'!$L$2&amp;'Raw data'!$L$4:$L$267,0))),"")</f>
        <v>0.29189999999999999</v>
      </c>
      <c r="E73" s="419">
        <f t="array" ref="E73">IFERROR(IF($E$1="","",INDEX('Raw data'!$S$4:$S$267,MATCH('Body weight gain'!E$1&amp;$A$1&amp;$A73,'Raw data'!$K$4:$K$267&amp;'Raw data'!$L$2&amp;'Raw data'!$L$4:$L$267,0))),"")</f>
        <v>0.60024999999999995</v>
      </c>
      <c r="F73" s="419">
        <f t="array" ref="F73">IFERROR(IF($F$1="","",INDEX('Raw data'!$S$4:$S$267,MATCH('Body weight gain'!F$1&amp;$A$1&amp;$A73,'Raw data'!$K$4:$K$267&amp;'Raw data'!$L$2&amp;'Raw data'!$L$4:$L$267,0))),"")</f>
        <v>0.49967948717948718</v>
      </c>
      <c r="G73" s="442">
        <f t="array" ref="G73">IFERROR(IF($G$1="","",INDEX('Raw data'!$S$4:$S$267,MATCH('Body weight gain'!G$1&amp;$A$1&amp;$A73,'Raw data'!$K$4:$K$267&amp;'Raw data'!$L$2&amp;'Raw data'!$L$4:$L$267,0))),"")</f>
        <v>0.79571524966261831</v>
      </c>
      <c r="H73" s="24"/>
    </row>
    <row r="74" spans="1:8" x14ac:dyDescent="0.25">
      <c r="A74" s="432">
        <f t="array" ref="A74">IFERROR(INDEX(Map!$V$2:$V$67,MATCH('Body weight gain'!$B74&amp;'Body weight gain'!$C74,Map!$W$2:$W$67&amp;Map!$X$2:$X$67,0)),"")</f>
        <v>55</v>
      </c>
      <c r="B74" s="418" t="str">
        <f>B67</f>
        <v>T6</v>
      </c>
      <c r="C74" s="436" t="s">
        <v>9</v>
      </c>
      <c r="D74" s="419">
        <f t="array" ref="D74">IFERROR(IF($D$1="","",INDEX('Raw data'!$S$4:$S$267,MATCH('Body weight gain'!D$1&amp;$A$1&amp;$A74,'Raw data'!$K$4:$K$267&amp;'Raw data'!$L$2&amp;'Raw data'!$L$4:$L$267,0))),"")</f>
        <v>0.308</v>
      </c>
      <c r="E74" s="419">
        <f t="array" ref="E74">IFERROR(IF($E$1="","",INDEX('Raw data'!$S$4:$S$267,MATCH('Body weight gain'!E$1&amp;$A$1&amp;$A74,'Raw data'!$K$4:$K$267&amp;'Raw data'!$L$2&amp;'Raw data'!$L$4:$L$267,0))),"")</f>
        <v>0.62214102564102558</v>
      </c>
      <c r="F74" s="419">
        <f t="array" ref="F74">IFERROR(IF($F$1="","",INDEX('Raw data'!$S$4:$S$267,MATCH('Body weight gain'!F$1&amp;$A$1&amp;$A74,'Raw data'!$K$4:$K$267&amp;'Raw data'!$L$2&amp;'Raw data'!$L$4:$L$267,0))),"")</f>
        <v>0.46778002699055332</v>
      </c>
      <c r="G74" s="442">
        <f t="array" ref="G74">IFERROR(IF($G$1="","",INDEX('Raw data'!$S$4:$S$267,MATCH('Body weight gain'!G$1&amp;$A$1&amp;$A74,'Raw data'!$K$4:$K$267&amp;'Raw data'!$L$2&amp;'Raw data'!$L$4:$L$267,0))),"")</f>
        <v>0.82414651493598878</v>
      </c>
      <c r="H74" s="24"/>
    </row>
    <row r="75" spans="1:8" x14ac:dyDescent="0.25">
      <c r="A75" s="432">
        <f t="array" ref="A75">IFERROR(INDEX(Map!$V$2:$V$67,MATCH('Body weight gain'!$B75&amp;'Body weight gain'!$C75,Map!$W$2:$W$67&amp;Map!$X$2:$X$67,0)),"")</f>
        <v>62</v>
      </c>
      <c r="B75" s="418" t="str">
        <f>B67</f>
        <v>T6</v>
      </c>
      <c r="C75" s="436" t="s">
        <v>22</v>
      </c>
      <c r="D75" s="419">
        <f t="array" ref="D75">IFERROR(IF($D$1="","",INDEX('Raw data'!$S$4:$S$267,MATCH('Body weight gain'!D$1&amp;$A$1&amp;$A75,'Raw data'!$K$4:$K$267&amp;'Raw data'!$L$2&amp;'Raw data'!$L$4:$L$267,0))),"")</f>
        <v>0.29297499999999999</v>
      </c>
      <c r="E75" s="419">
        <f t="array" ref="E75">IFERROR(IF($E$1="","",INDEX('Raw data'!$S$4:$S$267,MATCH('Body weight gain'!E$1&amp;$A$1&amp;$A75,'Raw data'!$K$4:$K$267&amp;'Raw data'!$L$2&amp;'Raw data'!$L$4:$L$267,0))),"")</f>
        <v>0.6641315789473683</v>
      </c>
      <c r="F75" s="419">
        <f t="array" ref="F75">IFERROR(IF($F$1="","",INDEX('Raw data'!$S$4:$S$267,MATCH('Body weight gain'!F$1&amp;$A$1&amp;$A75,'Raw data'!$K$4:$K$267&amp;'Raw data'!$L$2&amp;'Raw data'!$L$4:$L$267,0))),"")</f>
        <v>0.45007112375533431</v>
      </c>
      <c r="G75" s="442">
        <f t="array" ref="G75">IFERROR(IF($G$1="","",INDEX('Raw data'!$S$4:$S$267,MATCH('Body weight gain'!G$1&amp;$A$1&amp;$A75,'Raw data'!$K$4:$K$267&amp;'Raw data'!$L$2&amp;'Raw data'!$L$4:$L$267,0))),"")</f>
        <v>0.87027027027027026</v>
      </c>
      <c r="H75" s="24"/>
    </row>
    <row r="76" spans="1:8" s="417" customFormat="1" x14ac:dyDescent="0.25">
      <c r="A76" s="432">
        <f t="array" ref="A76">IFERROR(INDEX(Map!$V$2:$V$67,MATCH('Body weight gain'!$B76&amp;'Body weight gain'!$C76,Map!$W$2:$W$67&amp;Map!$X$2:$X$67,0)),"")</f>
        <v>1</v>
      </c>
      <c r="B76" s="418" t="str">
        <f>B67</f>
        <v>T6</v>
      </c>
      <c r="C76" s="436" t="s">
        <v>101</v>
      </c>
      <c r="D76" s="419">
        <f t="array" ref="D76">IFERROR(IF($D$1="","",INDEX('Raw data'!$S$4:$S$267,MATCH('Body weight gain'!D$1&amp;$A$1&amp;$A76,'Raw data'!$K$4:$K$267&amp;'Raw data'!$L$2&amp;'Raw data'!$L$4:$L$267,0))),"")</f>
        <v>0.30629999999999996</v>
      </c>
      <c r="E76" s="419">
        <f t="array" ref="E76">IFERROR(IF($E$1="","",INDEX('Raw data'!$S$4:$S$267,MATCH('Body weight gain'!E$1&amp;$A$1&amp;$A76,'Raw data'!$K$4:$K$267&amp;'Raw data'!$L$2&amp;'Raw data'!$L$4:$L$267,0))),"")</f>
        <v>0.58275000000000021</v>
      </c>
      <c r="F76" s="419">
        <f t="array" ref="F76">IFERROR(IF($F$1="","",INDEX('Raw data'!$S$4:$S$267,MATCH('Body weight gain'!F$1&amp;$A$1&amp;$A76,'Raw data'!$K$4:$K$267&amp;'Raw data'!$L$2&amp;'Raw data'!$L$4:$L$267,0))),"")</f>
        <v>0.50115384615384595</v>
      </c>
      <c r="G76" s="442">
        <f t="array" ref="G76">IFERROR(IF($G$1="","",INDEX('Raw data'!$S$4:$S$267,MATCH('Body weight gain'!G$1&amp;$A$1&amp;$A76,'Raw data'!$K$4:$K$267&amp;'Raw data'!$L$2&amp;'Raw data'!$L$4:$L$267,0))),"")</f>
        <v>0.86128205128205115</v>
      </c>
      <c r="H76" s="418"/>
    </row>
    <row r="77" spans="1:8" s="417" customFormat="1" x14ac:dyDescent="0.25">
      <c r="A77" s="446">
        <f t="array" ref="A77">IFERROR(INDEX(Map!$V$2:$V$67,MATCH('Body weight gain'!$B77&amp;'Body weight gain'!$C77,Map!$W$2:$W$67&amp;Map!$X$2:$X$67,0)),"")</f>
        <v>43</v>
      </c>
      <c r="B77" s="418" t="str">
        <f>B67</f>
        <v>T6</v>
      </c>
      <c r="C77" s="436" t="s">
        <v>102</v>
      </c>
      <c r="D77" s="435">
        <f t="array" ref="D77">IFERROR(IF($D$1="","",INDEX('Raw data'!$S$4:$S$267,MATCH('Body weight gain'!D$1&amp;$A$1&amp;$A77,'Raw data'!$K$4:$K$267&amp;'Raw data'!$L$2&amp;'Raw data'!$L$4:$L$267,0))),"")</f>
        <v>0.31436315789473684</v>
      </c>
      <c r="E77" s="435">
        <f t="array" ref="E77">IFERROR(IF($E$1="","",INDEX('Raw data'!$S$4:$S$267,MATCH('Body weight gain'!E$1&amp;$A$1&amp;$A77,'Raw data'!$K$4:$K$267&amp;'Raw data'!$L$2&amp;'Raw data'!$L$4:$L$267,0))),"")</f>
        <v>0.61473684210526314</v>
      </c>
      <c r="F77" s="435">
        <f t="array" ref="F77">IFERROR(IF($F$1="","",INDEX('Raw data'!$S$4:$S$267,MATCH('Body weight gain'!F$1&amp;$A$1&amp;$A77,'Raw data'!$K$4:$K$267&amp;'Raw data'!$L$2&amp;'Raw data'!$L$4:$L$267,0))),"")</f>
        <v>0.52635135135135125</v>
      </c>
      <c r="G77" s="443">
        <f t="array" ref="G77">IFERROR(IF($G$1="","",INDEX('Raw data'!$S$4:$S$267,MATCH('Body weight gain'!G$1&amp;$A$1&amp;$A77,'Raw data'!$K$4:$K$267&amp;'Raw data'!$L$2&amp;'Raw data'!$L$4:$L$267,0))),"")</f>
        <v>0.82432432432432456</v>
      </c>
      <c r="H77" s="418"/>
    </row>
    <row r="78" spans="1:8" s="417" customFormat="1" x14ac:dyDescent="0.25">
      <c r="A78" s="432"/>
      <c r="B78" s="565" t="s">
        <v>82</v>
      </c>
      <c r="C78" s="566"/>
      <c r="D78" s="437" t="str">
        <f>IF($D$1="","",(ROUND(AVERAGE(D67:D77),3)&amp;" ± "&amp;(ROUND(STDEV(D67:D77),3))))</f>
        <v>0,303 ± 0,015</v>
      </c>
      <c r="E78" s="437" t="str">
        <f>IF($E$1="","",(ROUND(AVERAGE(E67:E77),3)&amp;" ± "&amp;(ROUND(STDEV(E67:E77),3))))</f>
        <v>0,619 ± 0,034</v>
      </c>
      <c r="F78" s="437" t="str">
        <f>IF($F$1="","",(ROUND(AVERAGE(F67:F77),3)&amp;" ± "&amp;(ROUND(STDEV(F67:F77),3))))</f>
        <v>0,497 ± 0,04</v>
      </c>
      <c r="G78" s="444" t="str">
        <f>IF($G$1="","",(ROUND(AVERAGE(G67:G77),3)&amp;" ± "&amp;(ROUND(STDEV(G67:G77),3))))</f>
        <v>0,841 ± 0,039</v>
      </c>
      <c r="H78" s="418"/>
    </row>
    <row r="79" spans="1:8" s="417" customFormat="1" ht="15.75" thickBot="1" x14ac:dyDescent="0.3">
      <c r="A79" s="433"/>
      <c r="B79" s="567" t="s">
        <v>83</v>
      </c>
      <c r="C79" s="568"/>
      <c r="D79" s="438">
        <f>IF($D$1="","",STDEV(D67:D77)/(AVERAGE(D67:D77)))</f>
        <v>5.0900162811820568E-2</v>
      </c>
      <c r="E79" s="438">
        <f>IF($E$1="","",STDEV(E67:E77)/(AVERAGE(E67:E77)))</f>
        <v>5.4467717430146154E-2</v>
      </c>
      <c r="F79" s="438">
        <f>IF($F$1="","",STDEV(F67:F77)/(AVERAGE(F67:F77)))</f>
        <v>8.1426506095844176E-2</v>
      </c>
      <c r="G79" s="445">
        <f>IF($G$1="","",STDEV(G67:G77)/(AVERAGE(G67:G77)))</f>
        <v>4.6831949623323425E-2</v>
      </c>
      <c r="H79" s="418"/>
    </row>
    <row r="80" spans="1:8" hidden="1" x14ac:dyDescent="0.25">
      <c r="A80" s="431" t="str">
        <f t="array" ref="A80">IFERROR(INDEX(Map!$V$2:$V$67,MATCH('Body weight gain'!$B80&amp;'Body weight gain'!$C80,Map!$W$2:$W$67&amp;Map!$X$2:$X$67,0)),"")</f>
        <v/>
      </c>
      <c r="B80" s="41" t="s">
        <v>15</v>
      </c>
      <c r="C80" s="219" t="s">
        <v>2</v>
      </c>
      <c r="D80" s="440" t="str">
        <f t="array" ref="D80">IFERROR(IF($D$1="","",INDEX('Raw data'!$S$4:$S$267,MATCH('Body weight gain'!D$1&amp;$A$1&amp;$A80,'Raw data'!$K$4:$K$267&amp;'Raw data'!$L$2&amp;'Raw data'!$L$4:$L$267,0))),"")</f>
        <v/>
      </c>
      <c r="E80" s="440" t="str">
        <f t="array" ref="E80">IFERROR(IF($E$1="","",INDEX('Raw data'!$S$4:$S$267,MATCH('Body weight gain'!E$1&amp;$A$1&amp;$A80,'Raw data'!$K$4:$K$267&amp;'Raw data'!$L$2&amp;'Raw data'!$L$4:$L$267,0))),"")</f>
        <v/>
      </c>
      <c r="F80" s="440" t="str">
        <f t="array" ref="F80">IFERROR(IF($F$1="","",INDEX('Raw data'!$S$4:$S$267,MATCH('Body weight gain'!F$1&amp;$A$1&amp;$A80,'Raw data'!$K$4:$K$267&amp;'Raw data'!$L$2&amp;'Raw data'!$L$4:$L$267,0))),"")</f>
        <v/>
      </c>
      <c r="G80" s="441" t="str">
        <f t="array" ref="G80">IFERROR(IF($G$1="","",INDEX('Raw data'!$S$4:$S$267,MATCH('Body weight gain'!G$1&amp;$A$1&amp;$A80,'Raw data'!$K$4:$K$267&amp;'Raw data'!$L$2&amp;'Raw data'!$L$4:$L$267,0))),"")</f>
        <v/>
      </c>
      <c r="H80" s="24"/>
    </row>
    <row r="81" spans="1:8" hidden="1" x14ac:dyDescent="0.25">
      <c r="A81" s="432" t="str">
        <f t="array" ref="A81">IFERROR(INDEX(Map!$V$2:$V$67,MATCH('Body weight gain'!$B81&amp;'Body weight gain'!$C81,Map!$W$2:$W$67&amp;Map!$X$2:$X$67,0)),"")</f>
        <v/>
      </c>
      <c r="B81" s="24" t="s">
        <v>15</v>
      </c>
      <c r="C81" s="216" t="s">
        <v>3</v>
      </c>
      <c r="D81" s="419" t="str">
        <f t="array" ref="D81">IFERROR(IF($D$1="","",INDEX('Raw data'!$S$4:$S$267,MATCH('Body weight gain'!D$1&amp;$A$1&amp;$A81,'Raw data'!$K$4:$K$267&amp;'Raw data'!$L$2&amp;'Raw data'!$L$4:$L$267,0))),"")</f>
        <v/>
      </c>
      <c r="E81" s="419" t="str">
        <f t="array" ref="E81">IFERROR(IF($E$1="","",INDEX('Raw data'!$S$4:$S$267,MATCH('Body weight gain'!E$1&amp;$A$1&amp;$A81,'Raw data'!$K$4:$K$267&amp;'Raw data'!$L$2&amp;'Raw data'!$L$4:$L$267,0))),"")</f>
        <v/>
      </c>
      <c r="F81" s="419" t="str">
        <f t="array" ref="F81">IFERROR(IF($F$1="","",INDEX('Raw data'!$S$4:$S$267,MATCH('Body weight gain'!F$1&amp;$A$1&amp;$A81,'Raw data'!$K$4:$K$267&amp;'Raw data'!$L$2&amp;'Raw data'!$L$4:$L$267,0))),"")</f>
        <v/>
      </c>
      <c r="G81" s="442" t="str">
        <f t="array" ref="G81">IFERROR(IF($G$1="","",INDEX('Raw data'!$S$4:$S$267,MATCH('Body weight gain'!G$1&amp;$A$1&amp;$A81,'Raw data'!$K$4:$K$267&amp;'Raw data'!$L$2&amp;'Raw data'!$L$4:$L$267,0))),"")</f>
        <v/>
      </c>
      <c r="H81" s="24"/>
    </row>
    <row r="82" spans="1:8" hidden="1" x14ac:dyDescent="0.25">
      <c r="A82" s="432" t="str">
        <f t="array" ref="A82">IFERROR(INDEX(Map!$V$2:$V$67,MATCH('Body weight gain'!$B82&amp;'Body weight gain'!$C82,Map!$W$2:$W$67&amp;Map!$X$2:$X$67,0)),"")</f>
        <v/>
      </c>
      <c r="B82" s="24" t="s">
        <v>15</v>
      </c>
      <c r="C82" s="216" t="s">
        <v>4</v>
      </c>
      <c r="D82" s="419" t="str">
        <f t="array" ref="D82">IFERROR(IF($D$1="","",INDEX('Raw data'!$S$4:$S$267,MATCH('Body weight gain'!D$1&amp;$A$1&amp;$A82,'Raw data'!$K$4:$K$267&amp;'Raw data'!$L$2&amp;'Raw data'!$L$4:$L$267,0))),"")</f>
        <v/>
      </c>
      <c r="E82" s="419" t="str">
        <f t="array" ref="E82">IFERROR(IF($E$1="","",INDEX('Raw data'!$S$4:$S$267,MATCH('Body weight gain'!E$1&amp;$A$1&amp;$A82,'Raw data'!$K$4:$K$267&amp;'Raw data'!$L$2&amp;'Raw data'!$L$4:$L$267,0))),"")</f>
        <v/>
      </c>
      <c r="F82" s="419" t="str">
        <f t="array" ref="F82">IFERROR(IF($F$1="","",INDEX('Raw data'!$S$4:$S$267,MATCH('Body weight gain'!F$1&amp;$A$1&amp;$A82,'Raw data'!$K$4:$K$267&amp;'Raw data'!$L$2&amp;'Raw data'!$L$4:$L$267,0))),"")</f>
        <v/>
      </c>
      <c r="G82" s="442" t="str">
        <f t="array" ref="G82">IFERROR(IF($G$1="","",INDEX('Raw data'!$S$4:$S$267,MATCH('Body weight gain'!G$1&amp;$A$1&amp;$A82,'Raw data'!$K$4:$K$267&amp;'Raw data'!$L$2&amp;'Raw data'!$L$4:$L$267,0))),"")</f>
        <v/>
      </c>
      <c r="H82" s="24"/>
    </row>
    <row r="83" spans="1:8" hidden="1" x14ac:dyDescent="0.25">
      <c r="A83" s="432" t="str">
        <f t="array" ref="A83">IFERROR(INDEX(Map!$V$2:$V$67,MATCH('Body weight gain'!$B83&amp;'Body weight gain'!$C83,Map!$W$2:$W$67&amp;Map!$X$2:$X$67,0)),"")</f>
        <v/>
      </c>
      <c r="B83" s="24" t="s">
        <v>15</v>
      </c>
      <c r="C83" s="216" t="s">
        <v>5</v>
      </c>
      <c r="D83" s="419" t="str">
        <f t="array" ref="D83">IFERROR(IF($D$1="","",INDEX('Raw data'!$S$4:$S$267,MATCH('Body weight gain'!D$1&amp;$A$1&amp;$A83,'Raw data'!$K$4:$K$267&amp;'Raw data'!$L$2&amp;'Raw data'!$L$4:$L$267,0))),"")</f>
        <v/>
      </c>
      <c r="E83" s="419" t="str">
        <f t="array" ref="E83">IFERROR(IF($E$1="","",INDEX('Raw data'!$S$4:$S$267,MATCH('Body weight gain'!E$1&amp;$A$1&amp;$A83,'Raw data'!$K$4:$K$267&amp;'Raw data'!$L$2&amp;'Raw data'!$L$4:$L$267,0))),"")</f>
        <v/>
      </c>
      <c r="F83" s="419" t="str">
        <f t="array" ref="F83">IFERROR(IF($F$1="","",INDEX('Raw data'!$S$4:$S$267,MATCH('Body weight gain'!F$1&amp;$A$1&amp;$A83,'Raw data'!$K$4:$K$267&amp;'Raw data'!$L$2&amp;'Raw data'!$L$4:$L$267,0))),"")</f>
        <v/>
      </c>
      <c r="G83" s="442" t="str">
        <f t="array" ref="G83">IFERROR(IF($G$1="","",INDEX('Raw data'!$S$4:$S$267,MATCH('Body weight gain'!G$1&amp;$A$1&amp;$A83,'Raw data'!$K$4:$K$267&amp;'Raw data'!$L$2&amp;'Raw data'!$L$4:$L$267,0))),"")</f>
        <v/>
      </c>
      <c r="H83" s="24"/>
    </row>
    <row r="84" spans="1:8" hidden="1" x14ac:dyDescent="0.25">
      <c r="A84" s="432" t="str">
        <f t="array" ref="A84">IFERROR(INDEX(Map!$V$2:$V$67,MATCH('Body weight gain'!$B84&amp;'Body weight gain'!$C84,Map!$W$2:$W$67&amp;Map!$X$2:$X$67,0)),"")</f>
        <v/>
      </c>
      <c r="B84" s="24" t="s">
        <v>15</v>
      </c>
      <c r="C84" s="216" t="s">
        <v>6</v>
      </c>
      <c r="D84" s="419" t="str">
        <f t="array" ref="D84">IFERROR(IF($D$1="","",INDEX('Raw data'!$S$4:$S$267,MATCH('Body weight gain'!D$1&amp;$A$1&amp;$A84,'Raw data'!$K$4:$K$267&amp;'Raw data'!$L$2&amp;'Raw data'!$L$4:$L$267,0))),"")</f>
        <v/>
      </c>
      <c r="E84" s="419" t="str">
        <f t="array" ref="E84">IFERROR(IF($E$1="","",INDEX('Raw data'!$S$4:$S$267,MATCH('Body weight gain'!E$1&amp;$A$1&amp;$A84,'Raw data'!$K$4:$K$267&amp;'Raw data'!$L$2&amp;'Raw data'!$L$4:$L$267,0))),"")</f>
        <v/>
      </c>
      <c r="F84" s="419" t="str">
        <f t="array" ref="F84">IFERROR(IF($F$1="","",INDEX('Raw data'!$S$4:$S$267,MATCH('Body weight gain'!F$1&amp;$A$1&amp;$A84,'Raw data'!$K$4:$K$267&amp;'Raw data'!$L$2&amp;'Raw data'!$L$4:$L$267,0))),"")</f>
        <v/>
      </c>
      <c r="G84" s="442" t="str">
        <f t="array" ref="G84">IFERROR(IF($G$1="","",INDEX('Raw data'!$S$4:$S$267,MATCH('Body weight gain'!G$1&amp;$A$1&amp;$A84,'Raw data'!$K$4:$K$267&amp;'Raw data'!$L$2&amp;'Raw data'!$L$4:$L$267,0))),"")</f>
        <v/>
      </c>
      <c r="H84" s="24"/>
    </row>
    <row r="85" spans="1:8" hidden="1" x14ac:dyDescent="0.25">
      <c r="A85" s="432" t="str">
        <f t="array" ref="A85">IFERROR(INDEX(Map!$V$2:$V$67,MATCH('Body weight gain'!$B85&amp;'Body weight gain'!$C85,Map!$W$2:$W$67&amp;Map!$X$2:$X$67,0)),"")</f>
        <v/>
      </c>
      <c r="B85" s="24" t="s">
        <v>15</v>
      </c>
      <c r="C85" s="216" t="s">
        <v>7</v>
      </c>
      <c r="D85" s="419" t="str">
        <f t="array" ref="D85">IFERROR(IF($D$1="","",INDEX('Raw data'!$S$4:$S$267,MATCH('Body weight gain'!D$1&amp;$A$1&amp;$A85,'Raw data'!$K$4:$K$267&amp;'Raw data'!$L$2&amp;'Raw data'!$L$4:$L$267,0))),"")</f>
        <v/>
      </c>
      <c r="E85" s="419" t="str">
        <f t="array" ref="E85">IFERROR(IF($E$1="","",INDEX('Raw data'!$S$4:$S$267,MATCH('Body weight gain'!E$1&amp;$A$1&amp;$A85,'Raw data'!$K$4:$K$267&amp;'Raw data'!$L$2&amp;'Raw data'!$L$4:$L$267,0))),"")</f>
        <v/>
      </c>
      <c r="F85" s="419" t="str">
        <f t="array" ref="F85">IFERROR(IF($F$1="","",INDEX('Raw data'!$S$4:$S$267,MATCH('Body weight gain'!F$1&amp;$A$1&amp;$A85,'Raw data'!$K$4:$K$267&amp;'Raw data'!$L$2&amp;'Raw data'!$L$4:$L$267,0))),"")</f>
        <v/>
      </c>
      <c r="G85" s="442" t="str">
        <f t="array" ref="G85">IFERROR(IF($G$1="","",INDEX('Raw data'!$S$4:$S$267,MATCH('Body weight gain'!G$1&amp;$A$1&amp;$A85,'Raw data'!$K$4:$K$267&amp;'Raw data'!$L$2&amp;'Raw data'!$L$4:$L$267,0))),"")</f>
        <v/>
      </c>
      <c r="H85" s="24"/>
    </row>
    <row r="86" spans="1:8" hidden="1" x14ac:dyDescent="0.25">
      <c r="A86" s="432" t="str">
        <f t="array" ref="A86">IFERROR(INDEX(Map!$V$2:$V$67,MATCH('Body weight gain'!$B86&amp;'Body weight gain'!$C86,Map!$W$2:$W$67&amp;Map!$X$2:$X$67,0)),"")</f>
        <v/>
      </c>
      <c r="B86" s="24" t="s">
        <v>15</v>
      </c>
      <c r="C86" s="216" t="s">
        <v>8</v>
      </c>
      <c r="D86" s="419" t="str">
        <f t="array" ref="D86">IFERROR(IF($D$1="","",INDEX('Raw data'!$S$4:$S$267,MATCH('Body weight gain'!D$1&amp;$A$1&amp;$A86,'Raw data'!$K$4:$K$267&amp;'Raw data'!$L$2&amp;'Raw data'!$L$4:$L$267,0))),"")</f>
        <v/>
      </c>
      <c r="E86" s="419" t="str">
        <f t="array" ref="E86">IFERROR(IF($E$1="","",INDEX('Raw data'!$S$4:$S$267,MATCH('Body weight gain'!E$1&amp;$A$1&amp;$A86,'Raw data'!$K$4:$K$267&amp;'Raw data'!$L$2&amp;'Raw data'!$L$4:$L$267,0))),"")</f>
        <v/>
      </c>
      <c r="F86" s="419" t="str">
        <f t="array" ref="F86">IFERROR(IF($F$1="","",INDEX('Raw data'!$S$4:$S$267,MATCH('Body weight gain'!F$1&amp;$A$1&amp;$A86,'Raw data'!$K$4:$K$267&amp;'Raw data'!$L$2&amp;'Raw data'!$L$4:$L$267,0))),"")</f>
        <v/>
      </c>
      <c r="G86" s="442" t="str">
        <f t="array" ref="G86">IFERROR(IF($G$1="","",INDEX('Raw data'!$S$4:$S$267,MATCH('Body weight gain'!G$1&amp;$A$1&amp;$A86,'Raw data'!$K$4:$K$267&amp;'Raw data'!$L$2&amp;'Raw data'!$L$4:$L$267,0))),"")</f>
        <v/>
      </c>
      <c r="H86" s="24"/>
    </row>
    <row r="87" spans="1:8" hidden="1" x14ac:dyDescent="0.25">
      <c r="A87" s="432" t="str">
        <f t="array" ref="A87">IFERROR(INDEX(Map!$V$2:$V$67,MATCH('Body weight gain'!$B87&amp;'Body weight gain'!$C87,Map!$W$2:$W$67&amp;Map!$X$2:$X$67,0)),"")</f>
        <v/>
      </c>
      <c r="B87" s="24" t="s">
        <v>15</v>
      </c>
      <c r="C87" s="216" t="s">
        <v>9</v>
      </c>
      <c r="D87" s="419" t="str">
        <f t="array" ref="D87">IFERROR(IF($D$1="","",INDEX('Raw data'!$S$4:$S$267,MATCH('Body weight gain'!D$1&amp;$A$1&amp;$A87,'Raw data'!$K$4:$K$267&amp;'Raw data'!$L$2&amp;'Raw data'!$L$4:$L$267,0))),"")</f>
        <v/>
      </c>
      <c r="E87" s="419" t="str">
        <f t="array" ref="E87">IFERROR(IF($E$1="","",INDEX('Raw data'!$S$4:$S$267,MATCH('Body weight gain'!E$1&amp;$A$1&amp;$A87,'Raw data'!$K$4:$K$267&amp;'Raw data'!$L$2&amp;'Raw data'!$L$4:$L$267,0))),"")</f>
        <v/>
      </c>
      <c r="F87" s="419" t="str">
        <f t="array" ref="F87">IFERROR(IF($F$1="","",INDEX('Raw data'!$S$4:$S$267,MATCH('Body weight gain'!F$1&amp;$A$1&amp;$A87,'Raw data'!$K$4:$K$267&amp;'Raw data'!$L$2&amp;'Raw data'!$L$4:$L$267,0))),"")</f>
        <v/>
      </c>
      <c r="G87" s="442" t="str">
        <f t="array" ref="G87">IFERROR(IF($G$1="","",INDEX('Raw data'!$S$4:$S$267,MATCH('Body weight gain'!G$1&amp;$A$1&amp;$A87,'Raw data'!$K$4:$K$267&amp;'Raw data'!$L$2&amp;'Raw data'!$L$4:$L$267,0))),"")</f>
        <v/>
      </c>
      <c r="H87" s="24"/>
    </row>
    <row r="88" spans="1:8" s="417" customFormat="1" hidden="1" x14ac:dyDescent="0.25">
      <c r="A88" s="432" t="str">
        <f t="array" ref="A88">IFERROR(INDEX(Map!$V$2:$V$67,MATCH('Body weight gain'!$B88&amp;'Body weight gain'!$C88,Map!$W$2:$W$67&amp;Map!$X$2:$X$67,0)),"")</f>
        <v/>
      </c>
      <c r="B88" s="418" t="s">
        <v>15</v>
      </c>
      <c r="C88" s="436" t="s">
        <v>22</v>
      </c>
      <c r="D88" s="419" t="str">
        <f t="array" ref="D88">IFERROR(IF($D$1="","",INDEX('Raw data'!$S$4:$S$267,MATCH('Body weight gain'!D$1&amp;$A$1&amp;$A88,'Raw data'!$K$4:$K$267&amp;'Raw data'!$L$2&amp;'Raw data'!$L$4:$L$267,0))),"")</f>
        <v/>
      </c>
      <c r="E88" s="419" t="str">
        <f t="array" ref="E88">IFERROR(IF($E$1="","",INDEX('Raw data'!$S$4:$S$267,MATCH('Body weight gain'!E$1&amp;$A$1&amp;$A88,'Raw data'!$K$4:$K$267&amp;'Raw data'!$L$2&amp;'Raw data'!$L$4:$L$267,0))),"")</f>
        <v/>
      </c>
      <c r="F88" s="419" t="str">
        <f t="array" ref="F88">IFERROR(IF($F$1="","",INDEX('Raw data'!$S$4:$S$267,MATCH('Body weight gain'!F$1&amp;$A$1&amp;$A88,'Raw data'!$K$4:$K$267&amp;'Raw data'!$L$2&amp;'Raw data'!$L$4:$L$267,0))),"")</f>
        <v/>
      </c>
      <c r="G88" s="442" t="str">
        <f t="array" ref="G88">IFERROR(IF($G$1="","",INDEX('Raw data'!$S$4:$S$267,MATCH('Body weight gain'!G$1&amp;$A$1&amp;$A88,'Raw data'!$K$4:$K$267&amp;'Raw data'!$L$2&amp;'Raw data'!$L$4:$L$267,0))),"")</f>
        <v/>
      </c>
      <c r="H88" s="418"/>
    </row>
    <row r="89" spans="1:8" s="417" customFormat="1" hidden="1" x14ac:dyDescent="0.25">
      <c r="A89" s="432" t="str">
        <f t="array" ref="A89">IFERROR(INDEX(Map!$V$2:$V$67,MATCH('Body weight gain'!$B89&amp;'Body weight gain'!$C89,Map!$W$2:$W$67&amp;Map!$X$2:$X$67,0)),"")</f>
        <v/>
      </c>
      <c r="B89" s="418" t="str">
        <f>B80</f>
        <v>T7</v>
      </c>
      <c r="C89" s="436" t="s">
        <v>101</v>
      </c>
      <c r="D89" s="419" t="str">
        <f>IFERROR(IF($D$1="","",INDEX('Raw data'!$S$4:$S$267,MATCH('Body weight gain'!D$1&amp;$A$1&amp;$A89,'Raw data'!$K$4:$K$267&amp;'Raw data'!$L$2&amp;'Raw data'!$L$4:$L$267,0))),"")</f>
        <v/>
      </c>
      <c r="E89" s="419" t="str">
        <f t="array" ref="E89">IFERROR(IF($E$1="","",INDEX('Raw data'!$S$4:$S$267,MATCH('Body weight gain'!E$1&amp;$A$1&amp;$A89,'Raw data'!$K$4:$K$267&amp;'Raw data'!$L$2&amp;'Raw data'!$L$4:$L$267,0))),"")</f>
        <v/>
      </c>
      <c r="F89" s="419" t="str">
        <f t="array" ref="F89">IFERROR(IF($F$1="","",INDEX('Raw data'!$S$4:$S$267,MATCH('Body weight gain'!F$1&amp;$A$1&amp;$A89,'Raw data'!$K$4:$K$267&amp;'Raw data'!$L$2&amp;'Raw data'!$L$4:$L$267,0))),"")</f>
        <v/>
      </c>
      <c r="G89" s="442" t="str">
        <f t="array" ref="G89">IFERROR(IF($G$1="","",INDEX('Raw data'!$S$4:$S$267,MATCH('Body weight gain'!G$1&amp;$A$1&amp;$A89,'Raw data'!$K$4:$K$267&amp;'Raw data'!$L$2&amp;'Raw data'!$L$4:$L$267,0))),"")</f>
        <v/>
      </c>
      <c r="H89" s="418"/>
    </row>
    <row r="90" spans="1:8" s="417" customFormat="1" hidden="1" x14ac:dyDescent="0.25">
      <c r="A90" s="446" t="str">
        <f t="array" ref="A90">IFERROR(INDEX(Map!$V$2:$V$67,MATCH('Body weight gain'!$B90&amp;'Body weight gain'!$C90,Map!$W$2:$W$67&amp;Map!$X$2:$X$67,0)),"")</f>
        <v/>
      </c>
      <c r="B90" s="418" t="str">
        <f>B80</f>
        <v>T7</v>
      </c>
      <c r="C90" s="436" t="s">
        <v>102</v>
      </c>
      <c r="D90" s="435" t="str">
        <f>IFERROR(IF($D$1="","",INDEX('Raw data'!$S$4:$S$267,MATCH('Body weight gain'!D$1&amp;$A$1&amp;$A90,'Raw data'!$K$4:$K$267&amp;'Raw data'!$L$2&amp;'Raw data'!$L$4:$L$267,0))),"")</f>
        <v/>
      </c>
      <c r="E90" s="435" t="str">
        <f t="array" ref="E90">IFERROR(IF($E$1="","",INDEX('Raw data'!$S$4:$S$267,MATCH('Body weight gain'!E$1&amp;$A$1&amp;$A90,'Raw data'!$K$4:$K$267&amp;'Raw data'!$L$2&amp;'Raw data'!$L$4:$L$267,0))),"")</f>
        <v/>
      </c>
      <c r="F90" s="435" t="str">
        <f t="array" ref="F90">IFERROR(IF($F$1="","",INDEX('Raw data'!$S$4:$S$267,MATCH('Body weight gain'!F$1&amp;$A$1&amp;$A90,'Raw data'!$K$4:$K$267&amp;'Raw data'!$L$2&amp;'Raw data'!$L$4:$L$267,0))),"")</f>
        <v/>
      </c>
      <c r="G90" s="443" t="str">
        <f t="array" ref="G90">IFERROR(IF($G$1="","",INDEX('Raw data'!$S$4:$S$267,MATCH('Body weight gain'!G$1&amp;$A$1&amp;$A90,'Raw data'!$K$4:$K$267&amp;'Raw data'!$L$2&amp;'Raw data'!$L$4:$L$267,0))),"")</f>
        <v/>
      </c>
      <c r="H90" s="418"/>
    </row>
    <row r="91" spans="1:8" hidden="1" x14ac:dyDescent="0.25">
      <c r="A91" s="131"/>
      <c r="B91" s="565" t="s">
        <v>82</v>
      </c>
      <c r="C91" s="566"/>
      <c r="D91" s="217" t="e">
        <f t="shared" ref="D91" si="0">IF($D$1="","",(ROUND(AVERAGE(D80:D88),3)&amp;" ± "&amp;(ROUND(STDEV(D80:D88),3))))</f>
        <v>#DIV/0!</v>
      </c>
      <c r="E91" s="217" t="e">
        <f t="shared" ref="E91" si="1">IF($E$1="","",(ROUND(AVERAGE(E80:E88),3)&amp;" ± "&amp;(ROUND(STDEV(E80:E88),3))))</f>
        <v>#DIV/0!</v>
      </c>
      <c r="F91" s="217" t="e">
        <f t="shared" ref="F91" si="2">IF($F$1="","",(ROUND(AVERAGE(F80:F88),3)&amp;" ± "&amp;(ROUND(STDEV(F80:F88),3))))</f>
        <v>#DIV/0!</v>
      </c>
      <c r="G91" s="352" t="e">
        <f t="shared" ref="G91" si="3">IF($G$1="","",(ROUND(AVERAGE(G80:G88),3)&amp;" ± "&amp;(ROUND(STDEV(G80:G88),3))))</f>
        <v>#DIV/0!</v>
      </c>
      <c r="H91" s="24"/>
    </row>
    <row r="92" spans="1:8" ht="15.75" hidden="1" thickBot="1" x14ac:dyDescent="0.3">
      <c r="A92" s="132"/>
      <c r="B92" s="567" t="s">
        <v>83</v>
      </c>
      <c r="C92" s="568"/>
      <c r="D92" s="218" t="e">
        <f t="shared" ref="D92" si="4">IF($D$1="","",STDEV(D80:D88)/(AVERAGE(D80:D88)))</f>
        <v>#DIV/0!</v>
      </c>
      <c r="E92" s="218" t="e">
        <f t="shared" ref="E92" si="5">IF($E$1="","",STDEV(E80:E88)/(AVERAGE(E80:E88)))</f>
        <v>#DIV/0!</v>
      </c>
      <c r="F92" s="218" t="e">
        <f t="shared" ref="F92" si="6">IF($F$1="","",STDEV(F80:F88)/(AVERAGE(F80:F88)))</f>
        <v>#DIV/0!</v>
      </c>
      <c r="G92" s="353" t="e">
        <f t="shared" ref="G92" si="7">IF($G$1="","",STDEV(G80:G88)/(AVERAGE(G80:G88)))</f>
        <v>#DIV/0!</v>
      </c>
      <c r="H92" s="24"/>
    </row>
    <row r="93" spans="1:8" x14ac:dyDescent="0.25">
      <c r="A93" s="24"/>
    </row>
  </sheetData>
  <mergeCells count="14">
    <mergeCell ref="B91:C91"/>
    <mergeCell ref="B92:C92"/>
    <mergeCell ref="B52:C52"/>
    <mergeCell ref="B53:C53"/>
    <mergeCell ref="B65:C65"/>
    <mergeCell ref="B66:C66"/>
    <mergeCell ref="B78:C78"/>
    <mergeCell ref="B79:C79"/>
    <mergeCell ref="B40:C40"/>
    <mergeCell ref="B13:C13"/>
    <mergeCell ref="B14:C14"/>
    <mergeCell ref="B26:C26"/>
    <mergeCell ref="B27:C27"/>
    <mergeCell ref="B39:C39"/>
  </mergeCells>
  <pageMargins left="0.511811024" right="0.511811024" top="0.78740157499999996" bottom="0.78740157499999996" header="0.31496062000000002" footer="0.31496062000000002"/>
  <pageSetup paperSize="9" orientation="portrait" horizontalDpi="4294967293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H93"/>
  <sheetViews>
    <sheetView workbookViewId="0">
      <pane xSplit="3" ySplit="1" topLeftCell="D14" activePane="bottomRight" state="frozen"/>
      <selection pane="topRight" activeCell="C1" sqref="C1"/>
      <selection pane="bottomLeft" activeCell="A2" sqref="A2"/>
      <selection pane="bottomRight" activeCell="G76" sqref="G76"/>
    </sheetView>
  </sheetViews>
  <sheetFormatPr defaultRowHeight="15" x14ac:dyDescent="0.25"/>
  <cols>
    <col min="1" max="1" width="4.7109375" style="291" bestFit="1" customWidth="1"/>
    <col min="2" max="2" width="11.7109375" style="291" bestFit="1" customWidth="1"/>
    <col min="3" max="3" width="10.140625" style="291" bestFit="1" customWidth="1"/>
    <col min="4" max="7" width="15.42578125" style="291" customWidth="1"/>
    <col min="8" max="16384" width="9.140625" style="291"/>
  </cols>
  <sheetData>
    <row r="1" spans="1:8" ht="15.75" thickBot="1" x14ac:dyDescent="0.3">
      <c r="A1" s="306" t="s">
        <v>0</v>
      </c>
      <c r="B1" s="307" t="s">
        <v>30</v>
      </c>
      <c r="C1" s="316" t="s">
        <v>31</v>
      </c>
      <c r="D1" s="307" t="str">
        <f>IF('14 days'!B1="","","14 days")</f>
        <v>14 days</v>
      </c>
      <c r="E1" s="307" t="str">
        <f>IF('23 days'!B1="","","23 days")</f>
        <v>23 days</v>
      </c>
      <c r="F1" s="307" t="str">
        <f>IF('32 days'!B1="","","32 days")</f>
        <v>32 days</v>
      </c>
      <c r="G1" s="308" t="str">
        <f>IF('39 days'!B1="","","39 days")</f>
        <v>39 days</v>
      </c>
      <c r="H1" s="24"/>
    </row>
    <row r="2" spans="1:8" x14ac:dyDescent="0.25">
      <c r="A2" s="130">
        <f t="array" ref="A2">IFERROR(INDEX(Map!$V$2:$V$67,MATCH('Feed intake'!$B2&amp;'Feed intake'!$C2,Map!$W$2:$W$67&amp;Map!$X$2:$X$67,0)),"")</f>
        <v>8</v>
      </c>
      <c r="B2" s="41" t="s">
        <v>10</v>
      </c>
      <c r="C2" s="219" t="s">
        <v>2</v>
      </c>
      <c r="D2" s="220">
        <f t="array" ref="D2">IFERROR(IF($D$1="","",INDEX('Raw data'!$V$4:$V$267,MATCH('Feed intake'!D$1&amp;$A$1&amp;$A2,'Raw data'!$K$4:$K$267&amp;'Raw data'!$L$2&amp;'Raw data'!$L$4:$L$267,0))),"")</f>
        <v>0.4012820512820513</v>
      </c>
      <c r="E2" s="220">
        <f t="array" ref="E2">IFERROR(IF($E$1="","",INDEX('Raw data'!$V$4:$V$267,MATCH('Feed intake'!E$1&amp;$A$1&amp;$A2,'Raw data'!$K$4:$K$267&amp;'Raw data'!$L$2&amp;'Raw data'!$L$4:$L$267,0))),"")</f>
        <v>0.83935897435897433</v>
      </c>
      <c r="F2" s="220">
        <f t="array" ref="F2">IFERROR(IF($F$1="","",INDEX('Raw data'!$V$4:$V$267,MATCH('Feed intake'!F$1&amp;$A$1&amp;$A2,'Raw data'!$K$4:$K$267&amp;'Raw data'!$L$2&amp;'Raw data'!$L$4:$L$267,0))),"")</f>
        <v>1.3556578947368421</v>
      </c>
      <c r="G2" s="350">
        <f t="array" ref="G2">IFERROR(IF($G$1="","",INDEX('Raw data'!$V$4:$V$267,MATCH('Feed intake'!G$1&amp;$A$1&amp;$A2,'Raw data'!$K$4:$K$267&amp;'Raw data'!$L$2&amp;'Raw data'!$L$4:$L$267,0))),"")</f>
        <v>1.4597222222222221</v>
      </c>
      <c r="H2" s="24"/>
    </row>
    <row r="3" spans="1:8" x14ac:dyDescent="0.25">
      <c r="A3" s="131">
        <f t="array" ref="A3">IFERROR(INDEX(Map!$V$2:$V$67,MATCH('Feed intake'!$B3&amp;'Feed intake'!$C3,Map!$W$2:$W$67&amp;Map!$X$2:$X$67,0)),"")</f>
        <v>12</v>
      </c>
      <c r="B3" s="24" t="str">
        <f>B2</f>
        <v>T1</v>
      </c>
      <c r="C3" s="216" t="s">
        <v>3</v>
      </c>
      <c r="D3" s="38">
        <f t="array" ref="D3">IFERROR(IF($D$1="","",INDEX('Raw data'!$V$4:$V$267,MATCH('Feed intake'!D$1&amp;$A$1&amp;$A3,'Raw data'!$K$4:$K$267&amp;'Raw data'!$L$2&amp;'Raw data'!$L$4:$L$267,0))),"")</f>
        <v>0.41923076923076924</v>
      </c>
      <c r="E3" s="38">
        <f t="array" ref="E3">IFERROR(IF($E$1="","",INDEX('Raw data'!$V$4:$V$267,MATCH('Feed intake'!E$1&amp;$A$1&amp;$A3,'Raw data'!$K$4:$K$267&amp;'Raw data'!$L$2&amp;'Raw data'!$L$4:$L$267,0))),"")</f>
        <v>0.83166666666666678</v>
      </c>
      <c r="F3" s="38">
        <f t="array" ref="F3">IFERROR(IF($F$1="","",INDEX('Raw data'!$V$4:$V$267,MATCH('Feed intake'!F$1&amp;$A$1&amp;$A3,'Raw data'!$K$4:$K$267&amp;'Raw data'!$L$2&amp;'Raw data'!$L$4:$L$267,0))),"")</f>
        <v>1.3701315789473683</v>
      </c>
      <c r="G3" s="351">
        <f t="array" ref="G3">IFERROR(IF($G$1="","",INDEX('Raw data'!$V$4:$V$267,MATCH('Feed intake'!G$1&amp;$A$1&amp;$A3,'Raw data'!$K$4:$K$267&amp;'Raw data'!$L$2&amp;'Raw data'!$L$4:$L$267,0))),"")</f>
        <v>1.3776315789473683</v>
      </c>
      <c r="H3" s="24"/>
    </row>
    <row r="4" spans="1:8" x14ac:dyDescent="0.25">
      <c r="A4" s="131">
        <f t="array" ref="A4">IFERROR(INDEX(Map!$V$2:$V$67,MATCH('Feed intake'!$B4&amp;'Feed intake'!$C4,Map!$W$2:$W$67&amp;Map!$X$2:$X$67,0)),"")</f>
        <v>20</v>
      </c>
      <c r="B4" s="24" t="str">
        <f>B2</f>
        <v>T1</v>
      </c>
      <c r="C4" s="216" t="s">
        <v>4</v>
      </c>
      <c r="D4" s="38">
        <f t="array" ref="D4">IFERROR(IF($D$1="","",INDEX('Raw data'!$V$4:$V$267,MATCH('Feed intake'!D$1&amp;$A$1&amp;$A4,'Raw data'!$K$4:$K$267&amp;'Raw data'!$L$2&amp;'Raw data'!$L$4:$L$267,0))),"")</f>
        <v>0.40500000000000008</v>
      </c>
      <c r="E4" s="38">
        <f t="array" ref="E4">IFERROR(IF($E$1="","",INDEX('Raw data'!$V$4:$V$267,MATCH('Feed intake'!E$1&amp;$A$1&amp;$A4,'Raw data'!$K$4:$K$267&amp;'Raw data'!$L$2&amp;'Raw data'!$L$4:$L$267,0))),"")</f>
        <v>0.82462499999999994</v>
      </c>
      <c r="F4" s="38">
        <f t="array" ref="F4">IFERROR(IF($F$1="","",INDEX('Raw data'!$V$4:$V$267,MATCH('Feed intake'!F$1&amp;$A$1&amp;$A4,'Raw data'!$K$4:$K$267&amp;'Raw data'!$L$2&amp;'Raw data'!$L$4:$L$267,0))),"")</f>
        <v>1.4106410256410256</v>
      </c>
      <c r="G4" s="351">
        <f t="array" ref="G4">IFERROR(IF($G$1="","",INDEX('Raw data'!$V$4:$V$267,MATCH('Feed intake'!G$1&amp;$A$1&amp;$A4,'Raw data'!$K$4:$K$267&amp;'Raw data'!$L$2&amp;'Raw data'!$L$4:$L$267,0))),"")</f>
        <v>1.4460526315789475</v>
      </c>
      <c r="H4" s="24"/>
    </row>
    <row r="5" spans="1:8" x14ac:dyDescent="0.25">
      <c r="A5" s="131">
        <f t="array" ref="A5">IFERROR(INDEX(Map!$V$2:$V$67,MATCH('Feed intake'!$B5&amp;'Feed intake'!$C5,Map!$W$2:$W$67&amp;Map!$X$2:$X$67,0)),"")</f>
        <v>27</v>
      </c>
      <c r="B5" s="24" t="str">
        <f>B2</f>
        <v>T1</v>
      </c>
      <c r="C5" s="216" t="s">
        <v>5</v>
      </c>
      <c r="D5" s="38">
        <f t="array" ref="D5">IFERROR(IF($D$1="","",INDEX('Raw data'!$V$4:$V$267,MATCH('Feed intake'!D$1&amp;$A$1&amp;$A5,'Raw data'!$K$4:$K$267&amp;'Raw data'!$L$2&amp;'Raw data'!$L$4:$L$267,0))),"")</f>
        <v>0.39875000000000005</v>
      </c>
      <c r="E5" s="38">
        <f t="array" ref="E5">IFERROR(IF($E$1="","",INDEX('Raw data'!$V$4:$V$267,MATCH('Feed intake'!E$1&amp;$A$1&amp;$A5,'Raw data'!$K$4:$K$267&amp;'Raw data'!$L$2&amp;'Raw data'!$L$4:$L$267,0))),"")</f>
        <v>0.83837499999999987</v>
      </c>
      <c r="F5" s="38">
        <f t="array" ref="F5">IFERROR(IF($F$1="","",INDEX('Raw data'!$V$4:$V$267,MATCH('Feed intake'!F$1&amp;$A$1&amp;$A5,'Raw data'!$K$4:$K$267&amp;'Raw data'!$L$2&amp;'Raw data'!$L$4:$L$267,0))),"")</f>
        <v>1.4093589743589745</v>
      </c>
      <c r="G5" s="351">
        <f t="array" ref="G5">IFERROR(IF($G$1="","",INDEX('Raw data'!$V$4:$V$267,MATCH('Feed intake'!G$1&amp;$A$1&amp;$A5,'Raw data'!$K$4:$K$267&amp;'Raw data'!$L$2&amp;'Raw data'!$L$4:$L$267,0))),"")</f>
        <v>1.4282051282051282</v>
      </c>
      <c r="H5" s="24"/>
    </row>
    <row r="6" spans="1:8" x14ac:dyDescent="0.25">
      <c r="A6" s="131">
        <f t="array" ref="A6">IFERROR(INDEX(Map!$V$2:$V$67,MATCH('Feed intake'!$B6&amp;'Feed intake'!$C6,Map!$W$2:$W$67&amp;Map!$X$2:$X$67,0)),"")</f>
        <v>31</v>
      </c>
      <c r="B6" s="24" t="str">
        <f>B2</f>
        <v>T1</v>
      </c>
      <c r="C6" s="216" t="s">
        <v>6</v>
      </c>
      <c r="D6" s="38">
        <f t="array" ref="D6">IFERROR(IF($D$1="","",INDEX('Raw data'!$V$4:$V$267,MATCH('Feed intake'!D$1&amp;$A$1&amp;$A6,'Raw data'!$K$4:$K$267&amp;'Raw data'!$L$2&amp;'Raw data'!$L$4:$L$267,0))),"")</f>
        <v>0.37564102564102569</v>
      </c>
      <c r="E6" s="38">
        <f t="array" ref="E6">IFERROR(IF($E$1="","",INDEX('Raw data'!$V$4:$V$267,MATCH('Feed intake'!E$1&amp;$A$1&amp;$A6,'Raw data'!$K$4:$K$267&amp;'Raw data'!$L$2&amp;'Raw data'!$L$4:$L$267,0))),"")</f>
        <v>0.77141025641025662</v>
      </c>
      <c r="F6" s="38">
        <f t="array" ref="F6">IFERROR(IF($F$1="","",INDEX('Raw data'!$V$4:$V$267,MATCH('Feed intake'!F$1&amp;$A$1&amp;$A6,'Raw data'!$K$4:$K$267&amp;'Raw data'!$L$2&amp;'Raw data'!$L$4:$L$267,0))),"")</f>
        <v>1.3030263157894735</v>
      </c>
      <c r="G6" s="351">
        <f t="array" ref="G6">IFERROR(IF($G$1="","",INDEX('Raw data'!$V$4:$V$267,MATCH('Feed intake'!G$1&amp;$A$1&amp;$A6,'Raw data'!$K$4:$K$267&amp;'Raw data'!$L$2&amp;'Raw data'!$L$4:$L$267,0))),"")</f>
        <v>1.3394736842105264</v>
      </c>
      <c r="H6" s="24"/>
    </row>
    <row r="7" spans="1:8" x14ac:dyDescent="0.25">
      <c r="A7" s="131">
        <f t="array" ref="A7">IFERROR(INDEX(Map!$V$2:$V$67,MATCH('Feed intake'!$B7&amp;'Feed intake'!$C7,Map!$W$2:$W$67&amp;Map!$X$2:$X$67,0)),"")</f>
        <v>41</v>
      </c>
      <c r="B7" s="24" t="str">
        <f>B2</f>
        <v>T1</v>
      </c>
      <c r="C7" s="216" t="s">
        <v>7</v>
      </c>
      <c r="D7" s="38">
        <f t="array" ref="D7">IFERROR(IF($D$1="","",INDEX('Raw data'!$V$4:$V$267,MATCH('Feed intake'!D$1&amp;$A$1&amp;$A7,'Raw data'!$K$4:$K$267&amp;'Raw data'!$L$2&amp;'Raw data'!$L$4:$L$267,0))),"")</f>
        <v>0.41125</v>
      </c>
      <c r="E7" s="38">
        <f t="array" ref="E7">IFERROR(IF($E$1="","",INDEX('Raw data'!$V$4:$V$267,MATCH('Feed intake'!E$1&amp;$A$1&amp;$A7,'Raw data'!$K$4:$K$267&amp;'Raw data'!$L$2&amp;'Raw data'!$L$4:$L$267,0))),"")</f>
        <v>0.84462499999999996</v>
      </c>
      <c r="F7" s="38">
        <f t="array" ref="F7">IFERROR(IF($F$1="","",INDEX('Raw data'!$V$4:$V$267,MATCH('Feed intake'!F$1&amp;$A$1&amp;$A7,'Raw data'!$K$4:$K$267&amp;'Raw data'!$L$2&amp;'Raw data'!$L$4:$L$267,0))),"")</f>
        <v>1.4157692307692309</v>
      </c>
      <c r="G7" s="351">
        <f t="array" ref="G7">IFERROR(IF($G$1="","",INDEX('Raw data'!$V$4:$V$267,MATCH('Feed intake'!G$1&amp;$A$1&amp;$A7,'Raw data'!$K$4:$K$267&amp;'Raw data'!$L$2&amp;'Raw data'!$L$4:$L$267,0))),"")</f>
        <v>1.3717948717948718</v>
      </c>
      <c r="H7" s="24"/>
    </row>
    <row r="8" spans="1:8" x14ac:dyDescent="0.25">
      <c r="A8" s="131">
        <f t="array" ref="A8">IFERROR(INDEX(Map!$V$2:$V$67,MATCH('Feed intake'!$B8&amp;'Feed intake'!$C8,Map!$W$2:$W$67&amp;Map!$X$2:$X$67,0)),"")</f>
        <v>50</v>
      </c>
      <c r="B8" s="24" t="str">
        <f>B2</f>
        <v>T1</v>
      </c>
      <c r="C8" s="216" t="s">
        <v>8</v>
      </c>
      <c r="D8" s="38">
        <f t="array" ref="D8">IFERROR(IF($D$1="","",INDEX('Raw data'!$V$4:$V$267,MATCH('Feed intake'!D$1&amp;$A$1&amp;$A8,'Raw data'!$K$4:$K$267&amp;'Raw data'!$L$2&amp;'Raw data'!$L$4:$L$267,0))),"")</f>
        <v>0.43157894736842101</v>
      </c>
      <c r="E8" s="38">
        <f t="array" ref="E8">IFERROR(IF($E$1="","",INDEX('Raw data'!$V$4:$V$267,MATCH('Feed intake'!E$1&amp;$A$1&amp;$A8,'Raw data'!$K$4:$K$267&amp;'Raw data'!$L$2&amp;'Raw data'!$L$4:$L$267,0))),"")</f>
        <v>0.8377631578947371</v>
      </c>
      <c r="F8" s="38">
        <f t="array" ref="F8">IFERROR(IF($F$1="","",INDEX('Raw data'!$V$4:$V$267,MATCH('Feed intake'!F$1&amp;$A$1&amp;$A8,'Raw data'!$K$4:$K$267&amp;'Raw data'!$L$2&amp;'Raw data'!$L$4:$L$267,0))),"")</f>
        <v>1.46527027027027</v>
      </c>
      <c r="G8" s="351">
        <f t="array" ref="G8">IFERROR(IF($G$1="","",INDEX('Raw data'!$V$4:$V$267,MATCH('Feed intake'!G$1&amp;$A$1&amp;$A8,'Raw data'!$K$4:$K$267&amp;'Raw data'!$L$2&amp;'Raw data'!$L$4:$L$267,0))),"")</f>
        <v>1.4944444444444445</v>
      </c>
      <c r="H8" s="24"/>
    </row>
    <row r="9" spans="1:8" x14ac:dyDescent="0.25">
      <c r="A9" s="131">
        <f t="array" ref="A9">IFERROR(INDEX(Map!$V$2:$V$67,MATCH('Feed intake'!$B9&amp;'Feed intake'!$C9,Map!$W$2:$W$67&amp;Map!$X$2:$X$67,0)),"")</f>
        <v>58</v>
      </c>
      <c r="B9" s="24" t="str">
        <f>B2</f>
        <v>T1</v>
      </c>
      <c r="C9" s="216" t="s">
        <v>9</v>
      </c>
      <c r="D9" s="38">
        <f t="array" ref="D9">IFERROR(IF($D$1="","",INDEX('Raw data'!$V$4:$V$267,MATCH('Feed intake'!D$1&amp;$A$1&amp;$A9,'Raw data'!$K$4:$K$267&amp;'Raw data'!$L$2&amp;'Raw data'!$L$4:$L$267,0))),"")</f>
        <v>0.42435897435897429</v>
      </c>
      <c r="E9" s="38">
        <f t="array" ref="E9">IFERROR(IF($E$1="","",INDEX('Raw data'!$V$4:$V$267,MATCH('Feed intake'!E$1&amp;$A$1&amp;$A9,'Raw data'!$K$4:$K$267&amp;'Raw data'!$L$2&amp;'Raw data'!$L$4:$L$267,0))),"")</f>
        <v>0.83166666666666678</v>
      </c>
      <c r="F9" s="38">
        <f t="array" ref="F9">IFERROR(IF($F$1="","",INDEX('Raw data'!$V$4:$V$267,MATCH('Feed intake'!F$1&amp;$A$1&amp;$A9,'Raw data'!$K$4:$K$267&amp;'Raw data'!$L$2&amp;'Raw data'!$L$4:$L$267,0))),"")</f>
        <v>1.3911842105263157</v>
      </c>
      <c r="G9" s="351">
        <f t="array" ref="G9">IFERROR(IF($G$1="","",INDEX('Raw data'!$V$4:$V$267,MATCH('Feed intake'!G$1&amp;$A$1&amp;$A9,'Raw data'!$K$4:$K$267&amp;'Raw data'!$L$2&amp;'Raw data'!$L$4:$L$267,0))),"")</f>
        <v>1.388157894736842</v>
      </c>
      <c r="H9" s="24"/>
    </row>
    <row r="10" spans="1:8" x14ac:dyDescent="0.25">
      <c r="A10" s="432">
        <f t="array" ref="A10">IFERROR(INDEX(Map!$V$2:$V$67,MATCH('Feed intake'!$B10&amp;'Feed intake'!$C10,Map!$W$2:$W$67&amp;Map!$X$2:$X$67,0)),"")</f>
        <v>63</v>
      </c>
      <c r="B10" s="418" t="str">
        <f>B2</f>
        <v>T1</v>
      </c>
      <c r="C10" s="436" t="s">
        <v>22</v>
      </c>
      <c r="D10" s="419">
        <f t="array" ref="D10">IFERROR(IF($D$1="","",INDEX('Raw data'!$V$4:$V$267,MATCH('Feed intake'!D$1&amp;$A$1&amp;$A10,'Raw data'!$K$4:$K$267&amp;'Raw data'!$L$2&amp;'Raw data'!$L$4:$L$267,0))),"")</f>
        <v>0.42564102564102568</v>
      </c>
      <c r="E10" s="419">
        <f t="array" ref="E10">IFERROR(IF($E$1="","",INDEX('Raw data'!$V$4:$V$267,MATCH('Feed intake'!E$1&amp;$A$1&amp;$A10,'Raw data'!$K$4:$K$267&amp;'Raw data'!$L$2&amp;'Raw data'!$L$4:$L$267,0))),"")</f>
        <v>0.86115384615384616</v>
      </c>
      <c r="F10" s="419">
        <f t="array" ref="F10">IFERROR(IF($F$1="","",INDEX('Raw data'!$V$4:$V$267,MATCH('Feed intake'!F$1&amp;$A$1&amp;$A10,'Raw data'!$K$4:$K$267&amp;'Raw data'!$L$2&amp;'Raw data'!$L$4:$L$267,0))),"")</f>
        <v>1.4490789473684209</v>
      </c>
      <c r="G10" s="442">
        <f t="array" ref="G10">IFERROR(IF($G$1="","",INDEX('Raw data'!$V$4:$V$267,MATCH('Feed intake'!G$1&amp;$A$1&amp;$A10,'Raw data'!$K$4:$K$267&amp;'Raw data'!$L$2&amp;'Raw data'!$L$4:$L$267,0))),"")</f>
        <v>1.4162162162162162</v>
      </c>
      <c r="H10" s="24"/>
    </row>
    <row r="11" spans="1:8" s="417" customFormat="1" x14ac:dyDescent="0.25">
      <c r="A11" s="432">
        <f t="array" ref="A11">IFERROR(INDEX(Map!$V$2:$V$67,MATCH('Feed intake'!$B11&amp;'Feed intake'!$C11,Map!$W$2:$W$67&amp;Map!$X$2:$X$67,0)),"")</f>
        <v>46</v>
      </c>
      <c r="B11" s="418" t="str">
        <f>B2</f>
        <v>T1</v>
      </c>
      <c r="C11" s="436" t="s">
        <v>101</v>
      </c>
      <c r="D11" s="419">
        <f t="array" ref="D11">IFERROR(IF($D$1="","",INDEX('Raw data'!$V$4:$V$267,MATCH('Feed intake'!D$1&amp;$A$1&amp;$A11,'Raw data'!$K$4:$K$267&amp;'Raw data'!$L$2&amp;'Raw data'!$L$4:$L$267,0))),"")</f>
        <v>0.4333333333333334</v>
      </c>
      <c r="E11" s="419">
        <f t="array" ref="E11">IFERROR(IF($E$1="","",INDEX('Raw data'!$V$4:$V$267,MATCH('Feed intake'!E$1&amp;$A$1&amp;$A11,'Raw data'!$K$4:$K$267&amp;'Raw data'!$L$2&amp;'Raw data'!$L$4:$L$267,0))),"")</f>
        <v>0.87910256410256404</v>
      </c>
      <c r="F11" s="419">
        <f t="array" ref="F11">IFERROR(IF($F$1="","",INDEX('Raw data'!$V$4:$V$267,MATCH('Feed intake'!F$1&amp;$A$1&amp;$A11,'Raw data'!$K$4:$K$267&amp;'Raw data'!$L$2&amp;'Raw data'!$L$4:$L$267,0))),"")</f>
        <v>1.454342105263158</v>
      </c>
      <c r="G11" s="442">
        <f t="array" ref="G11">IFERROR(IF($G$1="","",INDEX('Raw data'!$V$4:$V$267,MATCH('Feed intake'!G$1&amp;$A$1&amp;$A11,'Raw data'!$K$4:$K$267&amp;'Raw data'!$L$2&amp;'Raw data'!$L$4:$L$267,0))),"")</f>
        <v>1.5305555555555557</v>
      </c>
      <c r="H11" s="418"/>
    </row>
    <row r="12" spans="1:8" s="417" customFormat="1" x14ac:dyDescent="0.25">
      <c r="A12" s="446">
        <f t="array" ref="A12">IFERROR(INDEX(Map!$V$2:$V$67,MATCH('Feed intake'!$B12&amp;'Feed intake'!$C12,Map!$W$2:$W$67&amp;Map!$X$2:$X$67,0)),"")</f>
        <v>66</v>
      </c>
      <c r="B12" s="418" t="str">
        <f>B2</f>
        <v>T1</v>
      </c>
      <c r="C12" s="436" t="s">
        <v>102</v>
      </c>
      <c r="D12" s="435">
        <f t="array" ref="D12">IFERROR(IF($D$1="","",INDEX('Raw data'!$V$4:$V$267,MATCH('Feed intake'!D$1&amp;$A$1&amp;$A12,'Raw data'!$K$4:$K$267&amp;'Raw data'!$L$2&amp;'Raw data'!$L$4:$L$267,0))),"")</f>
        <v>0.42435897435897435</v>
      </c>
      <c r="E12" s="435">
        <f t="array" ref="E12">IFERROR(IF($E$1="","",INDEX('Raw data'!$V$4:$V$267,MATCH('Feed intake'!E$1&amp;$A$1&amp;$A12,'Raw data'!$K$4:$K$267&amp;'Raw data'!$L$2&amp;'Raw data'!$L$4:$L$267,0))),"")</f>
        <v>0.84565789473684227</v>
      </c>
      <c r="F12" s="435">
        <f t="array" ref="F12">IFERROR(IF($F$1="","",INDEX('Raw data'!$V$4:$V$267,MATCH('Feed intake'!F$1&amp;$A$1&amp;$A12,'Raw data'!$K$4:$K$267&amp;'Raw data'!$L$2&amp;'Raw data'!$L$4:$L$267,0))),"")</f>
        <v>1.4832857142857143</v>
      </c>
      <c r="G12" s="443">
        <f t="array" ref="G12">IFERROR(IF($G$1="","",INDEX('Raw data'!$V$4:$V$267,MATCH('Feed intake'!G$1&amp;$A$1&amp;$A12,'Raw data'!$K$4:$K$267&amp;'Raw data'!$L$2&amp;'Raw data'!$L$4:$L$267,0))),"")</f>
        <v>1.4857142857142858</v>
      </c>
      <c r="H12" s="418"/>
    </row>
    <row r="13" spans="1:8" x14ac:dyDescent="0.25">
      <c r="A13" s="131"/>
      <c r="B13" s="565" t="s">
        <v>82</v>
      </c>
      <c r="C13" s="566"/>
      <c r="D13" s="217" t="str">
        <f>IF($D$1="","",(ROUND(AVERAGE(D2:D12),3)&amp;" ± "&amp;(ROUND(STDEV(D2:D12),3))))</f>
        <v>0,414 ± 0,017</v>
      </c>
      <c r="E13" s="217" t="str">
        <f>IF($E$1="","",(ROUND(AVERAGE(E2:E12),3)&amp;" ± "&amp;(ROUND(STDEV(E2:E12),3))))</f>
        <v>0,837 ± 0,026</v>
      </c>
      <c r="F13" s="217" t="str">
        <f>IF($F$1="","",(ROUND(AVERAGE(F2:F12),3)&amp;" ± "&amp;(ROUND(STDEV(F2:F12),3))))</f>
        <v>1,41 ± 0,053</v>
      </c>
      <c r="G13" s="352" t="str">
        <f>IF($G$1="","",(ROUND(AVERAGE(G2:G12),3)&amp;" ± "&amp;(ROUND(STDEV(G2:G12),3))))</f>
        <v>1,431 ± 0,059</v>
      </c>
      <c r="H13" s="24"/>
    </row>
    <row r="14" spans="1:8" ht="15.75" thickBot="1" x14ac:dyDescent="0.3">
      <c r="A14" s="132"/>
      <c r="B14" s="567" t="s">
        <v>83</v>
      </c>
      <c r="C14" s="568"/>
      <c r="D14" s="218">
        <f>IF($D$1="","",STDEV(D2:D12)/(AVERAGE(D2:D12)))</f>
        <v>4.196330906573871E-2</v>
      </c>
      <c r="E14" s="218">
        <f>IF($E$1="","",STDEV(E2:E12)/(AVERAGE(E2:E12)))</f>
        <v>3.1635691514300041E-2</v>
      </c>
      <c r="F14" s="218">
        <f>IF($F$1="","",STDEV(F2:F12)/(AVERAGE(F2:F12)))</f>
        <v>3.7729437778337677E-2</v>
      </c>
      <c r="G14" s="353">
        <f>IF($G$1="","",STDEV(G2:G12)/(AVERAGE(G2:G12)))</f>
        <v>4.1216042302547391E-2</v>
      </c>
      <c r="H14" s="24"/>
    </row>
    <row r="15" spans="1:8" x14ac:dyDescent="0.25">
      <c r="A15" s="431">
        <f t="array" ref="A15">IFERROR(INDEX(Map!$V$2:$V$67,MATCH('Feed intake'!$B15&amp;'Feed intake'!$C15,Map!$W$2:$W$67&amp;Map!$X$2:$X$67,0)),"")</f>
        <v>7</v>
      </c>
      <c r="B15" s="41" t="s">
        <v>13</v>
      </c>
      <c r="C15" s="219" t="s">
        <v>2</v>
      </c>
      <c r="D15" s="440">
        <f t="array" ref="D15">IFERROR(IF($D$1="","",INDEX('Raw data'!$V$4:$V$267,MATCH('Feed intake'!D$1&amp;$A$1&amp;$A15,'Raw data'!$K$4:$K$267&amp;'Raw data'!$L$2&amp;'Raw data'!$L$4:$L$267,0))),"")</f>
        <v>0.41025641025641019</v>
      </c>
      <c r="E15" s="440">
        <f t="array" ref="E15">IFERROR(IF($E$1="","",INDEX('Raw data'!$V$4:$V$267,MATCH('Feed intake'!E$1&amp;$A$1&amp;$A15,'Raw data'!$K$4:$K$267&amp;'Raw data'!$L$2&amp;'Raw data'!$L$4:$L$267,0))),"")</f>
        <v>0.84833333333333338</v>
      </c>
      <c r="F15" s="440">
        <f t="array" ref="F15">IFERROR(IF($F$1="","",INDEX('Raw data'!$V$4:$V$267,MATCH('Feed intake'!F$1&amp;$A$1&amp;$A15,'Raw data'!$K$4:$K$267&amp;'Raw data'!$L$2&amp;'Raw data'!$L$4:$L$267,0))),"")</f>
        <v>1.4398684210526316</v>
      </c>
      <c r="G15" s="441">
        <f t="array" ref="G15">IFERROR(IF($G$1="","",INDEX('Raw data'!$V$4:$V$267,MATCH('Feed intake'!G$1&amp;$A$1&amp;$A15,'Raw data'!$K$4:$K$267&amp;'Raw data'!$L$2&amp;'Raw data'!$L$4:$L$267,0))),"")</f>
        <v>1.3736842105263158</v>
      </c>
      <c r="H15" s="24"/>
    </row>
    <row r="16" spans="1:8" x14ac:dyDescent="0.25">
      <c r="A16" s="432">
        <f t="array" ref="A16">IFERROR(INDEX(Map!$V$2:$V$67,MATCH('Feed intake'!$B16&amp;'Feed intake'!$C16,Map!$W$2:$W$67&amp;Map!$X$2:$X$67,0)),"")</f>
        <v>11</v>
      </c>
      <c r="B16" s="24" t="str">
        <f>B15</f>
        <v>T2</v>
      </c>
      <c r="C16" s="216" t="s">
        <v>3</v>
      </c>
      <c r="D16" s="419">
        <f t="array" ref="D16">IFERROR(IF($D$1="","",INDEX('Raw data'!$V$4:$V$267,MATCH('Feed intake'!D$1&amp;$A$1&amp;$A16,'Raw data'!$K$4:$K$267&amp;'Raw data'!$L$2&amp;'Raw data'!$L$4:$L$267,0))),"")</f>
        <v>0.36794871794871797</v>
      </c>
      <c r="E16" s="419">
        <f t="array" ref="E16">IFERROR(IF($E$1="","",INDEX('Raw data'!$V$4:$V$267,MATCH('Feed intake'!E$1&amp;$A$1&amp;$A16,'Raw data'!$K$4:$K$267&amp;'Raw data'!$L$2&amp;'Raw data'!$L$4:$L$267,0))),"")</f>
        <v>0.73935897435897457</v>
      </c>
      <c r="F16" s="419">
        <f t="array" ref="F16">IFERROR(IF($F$1="","",INDEX('Raw data'!$V$4:$V$267,MATCH('Feed intake'!F$1&amp;$A$1&amp;$A16,'Raw data'!$K$4:$K$267&amp;'Raw data'!$L$2&amp;'Raw data'!$L$4:$L$267,0))),"")</f>
        <v>1.3082894736842103</v>
      </c>
      <c r="G16" s="442">
        <f t="array" ref="G16">IFERROR(IF($G$1="","",INDEX('Raw data'!$V$4:$V$267,MATCH('Feed intake'!G$1&amp;$A$1&amp;$A16,'Raw data'!$K$4:$K$267&amp;'Raw data'!$L$2&amp;'Raw data'!$L$4:$L$267,0))),"")</f>
        <v>1.3552631578947369</v>
      </c>
      <c r="H16" s="24"/>
    </row>
    <row r="17" spans="1:8" x14ac:dyDescent="0.25">
      <c r="A17" s="432">
        <f t="array" ref="A17">IFERROR(INDEX(Map!$V$2:$V$67,MATCH('Feed intake'!$B17&amp;'Feed intake'!$C17,Map!$W$2:$W$67&amp;Map!$X$2:$X$67,0)),"")</f>
        <v>16</v>
      </c>
      <c r="B17" s="24" t="str">
        <f>B15</f>
        <v>T2</v>
      </c>
      <c r="C17" s="216" t="s">
        <v>4</v>
      </c>
      <c r="D17" s="419">
        <f t="array" ref="D17">IFERROR(IF($D$1="","",INDEX('Raw data'!$V$4:$V$267,MATCH('Feed intake'!D$1&amp;$A$1&amp;$A17,'Raw data'!$K$4:$K$267&amp;'Raw data'!$L$2&amp;'Raw data'!$L$4:$L$267,0))),"")</f>
        <v>0.42948717948717946</v>
      </c>
      <c r="E17" s="419">
        <f t="array" ref="E17">IFERROR(IF($E$1="","",INDEX('Raw data'!$V$4:$V$267,MATCH('Feed intake'!E$1&amp;$A$1&amp;$A17,'Raw data'!$K$4:$K$267&amp;'Raw data'!$L$2&amp;'Raw data'!$L$4:$L$267,0))),"")</f>
        <v>0.84576923076923072</v>
      </c>
      <c r="F17" s="419">
        <f t="array" ref="F17">IFERROR(IF($F$1="","",INDEX('Raw data'!$V$4:$V$267,MATCH('Feed intake'!F$1&amp;$A$1&amp;$A17,'Raw data'!$K$4:$K$267&amp;'Raw data'!$L$2&amp;'Raw data'!$L$4:$L$267,0))),"")</f>
        <v>1.4398684210526316</v>
      </c>
      <c r="G17" s="442">
        <f t="array" ref="G17">IFERROR(IF($G$1="","",INDEX('Raw data'!$V$4:$V$267,MATCH('Feed intake'!G$1&amp;$A$1&amp;$A17,'Raw data'!$K$4:$K$267&amp;'Raw data'!$L$2&amp;'Raw data'!$L$4:$L$267,0))),"")</f>
        <v>1.4460526315789475</v>
      </c>
      <c r="H17" s="24"/>
    </row>
    <row r="18" spans="1:8" x14ac:dyDescent="0.25">
      <c r="A18" s="432">
        <f t="array" ref="A18">IFERROR(INDEX(Map!$V$2:$V$67,MATCH('Feed intake'!$B18&amp;'Feed intake'!$C18,Map!$W$2:$W$67&amp;Map!$X$2:$X$67,0)),"")</f>
        <v>25</v>
      </c>
      <c r="B18" s="24" t="str">
        <f>B15</f>
        <v>T2</v>
      </c>
      <c r="C18" s="216" t="s">
        <v>5</v>
      </c>
      <c r="D18" s="419">
        <f t="array" ref="D18">IFERROR(IF($D$1="","",INDEX('Raw data'!$V$4:$V$267,MATCH('Feed intake'!D$1&amp;$A$1&amp;$A18,'Raw data'!$K$4:$K$267&amp;'Raw data'!$L$2&amp;'Raw data'!$L$4:$L$267,0))),"")</f>
        <v>0.39749999999999996</v>
      </c>
      <c r="E18" s="419">
        <f t="array" ref="E18">IFERROR(IF($E$1="","",INDEX('Raw data'!$V$4:$V$267,MATCH('Feed intake'!E$1&amp;$A$1&amp;$A18,'Raw data'!$K$4:$K$267&amp;'Raw data'!$L$2&amp;'Raw data'!$L$4:$L$267,0))),"")</f>
        <v>0.80462500000000003</v>
      </c>
      <c r="F18" s="419">
        <f t="array" ref="F18">IFERROR(IF($F$1="","",INDEX('Raw data'!$V$4:$V$267,MATCH('Feed intake'!F$1&amp;$A$1&amp;$A18,'Raw data'!$K$4:$K$267&amp;'Raw data'!$L$2&amp;'Raw data'!$L$4:$L$267,0))),"")</f>
        <v>1.3657692307692308</v>
      </c>
      <c r="G18" s="442">
        <f t="array" ref="G18">IFERROR(IF($G$1="","",INDEX('Raw data'!$V$4:$V$267,MATCH('Feed intake'!G$1&amp;$A$1&amp;$A18,'Raw data'!$K$4:$K$267&amp;'Raw data'!$L$2&amp;'Raw data'!$L$4:$L$267,0))),"")</f>
        <v>1.4089743589743591</v>
      </c>
      <c r="H18" s="24"/>
    </row>
    <row r="19" spans="1:8" x14ac:dyDescent="0.25">
      <c r="A19" s="432">
        <f t="array" ref="A19">IFERROR(INDEX(Map!$V$2:$V$67,MATCH('Feed intake'!$B19&amp;'Feed intake'!$C19,Map!$W$2:$W$67&amp;Map!$X$2:$X$67,0)),"")</f>
        <v>34</v>
      </c>
      <c r="B19" s="24" t="str">
        <f>B15</f>
        <v>T2</v>
      </c>
      <c r="C19" s="216" t="s">
        <v>6</v>
      </c>
      <c r="D19" s="419">
        <f t="array" ref="D19">IFERROR(IF($D$1="","",INDEX('Raw data'!$V$4:$V$267,MATCH('Feed intake'!D$1&amp;$A$1&amp;$A19,'Raw data'!$K$4:$K$267&amp;'Raw data'!$L$2&amp;'Raw data'!$L$4:$L$267,0))),"")</f>
        <v>0.4</v>
      </c>
      <c r="E19" s="419">
        <f t="array" ref="E19">IFERROR(IF($E$1="","",INDEX('Raw data'!$V$4:$V$267,MATCH('Feed intake'!E$1&amp;$A$1&amp;$A19,'Raw data'!$K$4:$K$267&amp;'Raw data'!$L$2&amp;'Raw data'!$L$4:$L$267,0))),"")</f>
        <v>0.81087500000000001</v>
      </c>
      <c r="F19" s="419">
        <f t="array" ref="F19">IFERROR(IF($F$1="","",INDEX('Raw data'!$V$4:$V$267,MATCH('Feed intake'!F$1&amp;$A$1&amp;$A19,'Raw data'!$K$4:$K$267&amp;'Raw data'!$L$2&amp;'Raw data'!$L$4:$L$267,0))),"")</f>
        <v>1.3683333333333332</v>
      </c>
      <c r="G19" s="442">
        <f t="array" ref="G19">IFERROR(IF($G$1="","",INDEX('Raw data'!$V$4:$V$267,MATCH('Feed intake'!G$1&amp;$A$1&amp;$A19,'Raw data'!$K$4:$K$267&amp;'Raw data'!$L$2&amp;'Raw data'!$L$4:$L$267,0))),"")</f>
        <v>1.4445945945945946</v>
      </c>
      <c r="H19" s="24"/>
    </row>
    <row r="20" spans="1:8" x14ac:dyDescent="0.25">
      <c r="A20" s="432">
        <f t="array" ref="A20">IFERROR(INDEX(Map!$V$2:$V$67,MATCH('Feed intake'!$B20&amp;'Feed intake'!$C20,Map!$W$2:$W$67&amp;Map!$X$2:$X$67,0)),"")</f>
        <v>37</v>
      </c>
      <c r="B20" s="24" t="str">
        <f>B15</f>
        <v>T2</v>
      </c>
      <c r="C20" s="216" t="s">
        <v>7</v>
      </c>
      <c r="D20" s="419">
        <f t="array" ref="D20">IFERROR(IF($D$1="","",INDEX('Raw data'!$V$4:$V$267,MATCH('Feed intake'!D$1&amp;$A$1&amp;$A20,'Raw data'!$K$4:$K$267&amp;'Raw data'!$L$2&amp;'Raw data'!$L$4:$L$267,0))),"")</f>
        <v>0.40125</v>
      </c>
      <c r="E20" s="419">
        <f t="array" ref="E20">IFERROR(IF($E$1="","",INDEX('Raw data'!$V$4:$V$267,MATCH('Feed intake'!E$1&amp;$A$1&amp;$A20,'Raw data'!$K$4:$K$267&amp;'Raw data'!$L$2&amp;'Raw data'!$L$4:$L$267,0))),"")</f>
        <v>0.77012820512820501</v>
      </c>
      <c r="F20" s="419">
        <f t="array" ref="F20">IFERROR(IF($F$1="","",INDEX('Raw data'!$V$4:$V$267,MATCH('Feed intake'!F$1&amp;$A$1&amp;$A20,'Raw data'!$K$4:$K$267&amp;'Raw data'!$L$2&amp;'Raw data'!$L$4:$L$267,0))),"")</f>
        <v>1.5058108108108108</v>
      </c>
      <c r="G20" s="442">
        <f t="array" ref="G20">IFERROR(IF($G$1="","",INDEX('Raw data'!$V$4:$V$267,MATCH('Feed intake'!G$1&amp;$A$1&amp;$A20,'Raw data'!$K$4:$K$267&amp;'Raw data'!$L$2&amp;'Raw data'!$L$4:$L$267,0))),"")</f>
        <v>1.4347222222222222</v>
      </c>
      <c r="H20" s="24"/>
    </row>
    <row r="21" spans="1:8" x14ac:dyDescent="0.25">
      <c r="A21" s="432">
        <f t="array" ref="A21">IFERROR(INDEX(Map!$V$2:$V$67,MATCH('Feed intake'!$B21&amp;'Feed intake'!$C21,Map!$W$2:$W$67&amp;Map!$X$2:$X$67,0)),"")</f>
        <v>52</v>
      </c>
      <c r="B21" s="24" t="str">
        <f>B15</f>
        <v>T2</v>
      </c>
      <c r="C21" s="216" t="s">
        <v>8</v>
      </c>
      <c r="D21" s="419">
        <f t="array" ref="D21">IFERROR(IF($D$1="","",INDEX('Raw data'!$V$4:$V$267,MATCH('Feed intake'!D$1&amp;$A$1&amp;$A21,'Raw data'!$K$4:$K$267&amp;'Raw data'!$L$2&amp;'Raw data'!$L$4:$L$267,0))),"")</f>
        <v>0.43461538461538457</v>
      </c>
      <c r="E21" s="419">
        <f t="array" ref="E21">IFERROR(IF($E$1="","",INDEX('Raw data'!$V$4:$V$267,MATCH('Feed intake'!E$1&amp;$A$1&amp;$A21,'Raw data'!$K$4:$K$267&amp;'Raw data'!$L$2&amp;'Raw data'!$L$4:$L$267,0))),"")</f>
        <v>0.84961538461538455</v>
      </c>
      <c r="F21" s="419">
        <f t="array" ref="F21">IFERROR(IF($F$1="","",INDEX('Raw data'!$V$4:$V$267,MATCH('Feed intake'!F$1&amp;$A$1&amp;$A21,'Raw data'!$K$4:$K$267&amp;'Raw data'!$L$2&amp;'Raw data'!$L$4:$L$267,0))),"")</f>
        <v>1.4293421052631581</v>
      </c>
      <c r="G21" s="442">
        <f t="array" ref="G21">IFERROR(IF($G$1="","",INDEX('Raw data'!$V$4:$V$267,MATCH('Feed intake'!G$1&amp;$A$1&amp;$A21,'Raw data'!$K$4:$K$267&amp;'Raw data'!$L$2&amp;'Raw data'!$L$4:$L$267,0))),"")</f>
        <v>1.4052631578947368</v>
      </c>
      <c r="H21" s="24"/>
    </row>
    <row r="22" spans="1:8" x14ac:dyDescent="0.25">
      <c r="A22" s="432">
        <f t="array" ref="A22">IFERROR(INDEX(Map!$V$2:$V$67,MATCH('Feed intake'!$B22&amp;'Feed intake'!$C22,Map!$W$2:$W$67&amp;Map!$X$2:$X$67,0)),"")</f>
        <v>57</v>
      </c>
      <c r="B22" s="24" t="str">
        <f>B15</f>
        <v>T2</v>
      </c>
      <c r="C22" s="216" t="s">
        <v>9</v>
      </c>
      <c r="D22" s="419">
        <f t="array" ref="D22">IFERROR(IF($D$1="","",INDEX('Raw data'!$V$4:$V$267,MATCH('Feed intake'!D$1&amp;$A$1&amp;$A22,'Raw data'!$K$4:$K$267&amp;'Raw data'!$L$2&amp;'Raw data'!$L$4:$L$267,0))),"")</f>
        <v>0.44054054054054054</v>
      </c>
      <c r="E22" s="419">
        <f t="array" ref="E22">IFERROR(IF($E$1="","",INDEX('Raw data'!$V$4:$V$267,MATCH('Feed intake'!E$1&amp;$A$1&amp;$A22,'Raw data'!$K$4:$K$267&amp;'Raw data'!$L$2&amp;'Raw data'!$L$4:$L$267,0))),"")</f>
        <v>0.84013513513513538</v>
      </c>
      <c r="F22" s="419">
        <f t="array" ref="F22">IFERROR(IF($F$1="","",INDEX('Raw data'!$V$4:$V$267,MATCH('Feed intake'!F$1&amp;$A$1&amp;$A22,'Raw data'!$K$4:$K$267&amp;'Raw data'!$L$2&amp;'Raw data'!$L$4:$L$267,0))),"")</f>
        <v>1.3823611111111109</v>
      </c>
      <c r="G22" s="442">
        <f t="array" ref="G22">IFERROR(IF($G$1="","",INDEX('Raw data'!$V$4:$V$267,MATCH('Feed intake'!G$1&amp;$A$1&amp;$A22,'Raw data'!$K$4:$K$267&amp;'Raw data'!$L$2&amp;'Raw data'!$L$4:$L$267,0))),"")</f>
        <v>1.4</v>
      </c>
      <c r="H22" s="24"/>
    </row>
    <row r="23" spans="1:8" s="417" customFormat="1" x14ac:dyDescent="0.25">
      <c r="A23" s="432">
        <f t="array" ref="A23">IFERROR(INDEX(Map!$V$2:$V$67,MATCH('Feed intake'!$B23&amp;'Feed intake'!$C23,Map!$W$2:$W$67&amp;Map!$X$2:$X$67,0)),"")</f>
        <v>61</v>
      </c>
      <c r="B23" s="418" t="str">
        <f>B15</f>
        <v>T2</v>
      </c>
      <c r="C23" s="436" t="s">
        <v>22</v>
      </c>
      <c r="D23" s="419">
        <f t="array" ref="D23">IFERROR(IF($D$1="","",INDEX('Raw data'!$V$4:$V$267,MATCH('Feed intake'!D$1&amp;$A$1&amp;$A23,'Raw data'!$K$4:$K$267&amp;'Raw data'!$L$2&amp;'Raw data'!$L$4:$L$267,0))),"")</f>
        <v>0.4324324324324324</v>
      </c>
      <c r="E23" s="419">
        <f t="array" ref="E23">IFERROR(IF($E$1="","",INDEX('Raw data'!$V$4:$V$267,MATCH('Feed intake'!E$1&amp;$A$1&amp;$A23,'Raw data'!$K$4:$K$267&amp;'Raw data'!$L$2&amp;'Raw data'!$L$4:$L$267,0))),"")</f>
        <v>0.87797297297297294</v>
      </c>
      <c r="F23" s="419">
        <f t="array" ref="F23">IFERROR(IF($F$1="","",INDEX('Raw data'!$V$4:$V$267,MATCH('Feed intake'!F$1&amp;$A$1&amp;$A23,'Raw data'!$K$4:$K$267&amp;'Raw data'!$L$2&amp;'Raw data'!$L$4:$L$267,0))),"")</f>
        <v>1.4184722222222221</v>
      </c>
      <c r="G23" s="442">
        <f t="array" ref="G23">IFERROR(IF($G$1="","",INDEX('Raw data'!$V$4:$V$267,MATCH('Feed intake'!G$1&amp;$A$1&amp;$A23,'Raw data'!$K$4:$K$267&amp;'Raw data'!$L$2&amp;'Raw data'!$L$4:$L$267,0))),"")</f>
        <v>1.4152777777777779</v>
      </c>
      <c r="H23" s="418"/>
    </row>
    <row r="24" spans="1:8" s="417" customFormat="1" x14ac:dyDescent="0.25">
      <c r="A24" s="432">
        <f t="array" ref="A24">IFERROR(INDEX(Map!$V$2:$V$67,MATCH('Feed intake'!$B24&amp;'Feed intake'!$C24,Map!$W$2:$W$67&amp;Map!$X$2:$X$67,0)),"")</f>
        <v>2</v>
      </c>
      <c r="B24" s="418" t="str">
        <f>B15</f>
        <v>T2</v>
      </c>
      <c r="C24" s="436" t="s">
        <v>101</v>
      </c>
      <c r="D24" s="419">
        <f t="array" ref="D24">IFERROR(IF($D$1="","",INDEX('Raw data'!$V$4:$V$267,MATCH('Feed intake'!D$1&amp;$A$1&amp;$A24,'Raw data'!$K$4:$K$267&amp;'Raw data'!$L$2&amp;'Raw data'!$L$4:$L$267,0))),"")</f>
        <v>0.4325</v>
      </c>
      <c r="E24" s="419">
        <f t="array" ref="E24">IFERROR(IF($E$1="","",INDEX('Raw data'!$V$4:$V$267,MATCH('Feed intake'!E$1&amp;$A$1&amp;$A24,'Raw data'!$K$4:$K$267&amp;'Raw data'!$L$2&amp;'Raw data'!$L$4:$L$267,0))),"")</f>
        <v>0.81962499999999994</v>
      </c>
      <c r="F24" s="419">
        <f t="array" ref="F24">IFERROR(IF($F$1="","",INDEX('Raw data'!$V$4:$V$267,MATCH('Feed intake'!F$1&amp;$A$1&amp;$A24,'Raw data'!$K$4:$K$267&amp;'Raw data'!$L$2&amp;'Raw data'!$L$4:$L$267,0))),"")</f>
        <v>1.3721794871794872</v>
      </c>
      <c r="G24" s="442">
        <f t="array" ref="G24">IFERROR(IF($G$1="","",INDEX('Raw data'!$V$4:$V$267,MATCH('Feed intake'!G$1&amp;$A$1&amp;$A24,'Raw data'!$K$4:$K$267&amp;'Raw data'!$L$2&amp;'Raw data'!$L$4:$L$267,0))),"")</f>
        <v>1.4394736842105265</v>
      </c>
      <c r="H24" s="418"/>
    </row>
    <row r="25" spans="1:8" s="417" customFormat="1" x14ac:dyDescent="0.25">
      <c r="A25" s="446">
        <f t="array" ref="A25">IFERROR(INDEX(Map!$V$2:$V$67,MATCH('Feed intake'!$B25&amp;'Feed intake'!$C25,Map!$W$2:$W$67&amp;Map!$X$2:$X$67,0)),"")</f>
        <v>21</v>
      </c>
      <c r="B25" s="418" t="str">
        <f>B16</f>
        <v>T2</v>
      </c>
      <c r="C25" s="436" t="s">
        <v>102</v>
      </c>
      <c r="D25" s="435">
        <f t="array" ref="D25">IFERROR(IF($D$1="","",INDEX('Raw data'!$V$4:$V$267,MATCH('Feed intake'!D$1&amp;$A$1&amp;$A25,'Raw data'!$K$4:$K$267&amp;'Raw data'!$L$2&amp;'Raw data'!$L$4:$L$267,0))),"")</f>
        <v>0.41081081081081078</v>
      </c>
      <c r="E25" s="435">
        <f t="array" ref="E25">IFERROR(IF($E$1="","",INDEX('Raw data'!$V$4:$V$267,MATCH('Feed intake'!E$1&amp;$A$1&amp;$A25,'Raw data'!$K$4:$K$267&amp;'Raw data'!$L$2&amp;'Raw data'!$L$4:$L$267,0))),"")</f>
        <v>0.74283783783783741</v>
      </c>
      <c r="F25" s="435">
        <f t="array" ref="F25">IFERROR(IF($F$1="","",INDEX('Raw data'!$V$4:$V$267,MATCH('Feed intake'!F$1&amp;$A$1&amp;$A25,'Raw data'!$K$4:$K$267&amp;'Raw data'!$L$2&amp;'Raw data'!$L$4:$L$267,0))),"")</f>
        <v>1.4004285714285716</v>
      </c>
      <c r="G25" s="443">
        <f t="array" ref="G25">IFERROR(IF($G$1="","",INDEX('Raw data'!$V$4:$V$267,MATCH('Feed intake'!G$1&amp;$A$1&amp;$A25,'Raw data'!$K$4:$K$267&amp;'Raw data'!$L$2&amp;'Raw data'!$L$4:$L$267,0))),"")</f>
        <v>1.3544117647058822</v>
      </c>
      <c r="H25" s="418"/>
    </row>
    <row r="26" spans="1:8" s="417" customFormat="1" x14ac:dyDescent="0.25">
      <c r="A26" s="432"/>
      <c r="B26" s="565" t="s">
        <v>82</v>
      </c>
      <c r="C26" s="566"/>
      <c r="D26" s="437" t="str">
        <f>IF($D$1="","",(ROUND(AVERAGE(D15:D25),3)&amp;" ± "&amp;(ROUND(STDEV(D15:D25),3))))</f>
        <v>0,414 ± 0,022</v>
      </c>
      <c r="E26" s="437" t="str">
        <f>IF($E$1="","",(ROUND(AVERAGE(E15:E25),3)&amp;" ± "&amp;(ROUND(STDEV(E15:E25),3))))</f>
        <v>0,814 ± 0,046</v>
      </c>
      <c r="F26" s="437" t="str">
        <f>IF($F$1="","",(ROUND(AVERAGE(F15:F25),3)&amp;" ± "&amp;(ROUND(STDEV(F15:F25),3))))</f>
        <v>1,403 ± 0,052</v>
      </c>
      <c r="G26" s="444" t="str">
        <f>IF($G$1="","",(ROUND(AVERAGE(G15:G25),3)&amp;" ± "&amp;(ROUND(STDEV(G15:G25),3))))</f>
        <v>1,407 ± 0,034</v>
      </c>
      <c r="H26" s="418"/>
    </row>
    <row r="27" spans="1:8" s="417" customFormat="1" ht="15.75" thickBot="1" x14ac:dyDescent="0.3">
      <c r="A27" s="433"/>
      <c r="B27" s="567" t="s">
        <v>83</v>
      </c>
      <c r="C27" s="568"/>
      <c r="D27" s="438">
        <f>IF($D$1="","",STDEV(D15:D25)/(AVERAGE(D15:D25)))</f>
        <v>5.3024032454727338E-2</v>
      </c>
      <c r="E27" s="438">
        <f>IF($E$1="","",STDEV(E15:E25)/(AVERAGE(E15:E25)))</f>
        <v>5.621857506579106E-2</v>
      </c>
      <c r="F27" s="438">
        <f>IF($F$1="","",STDEV(F15:F25)/(AVERAGE(F15:F25)))</f>
        <v>3.7152380059567877E-2</v>
      </c>
      <c r="G27" s="445">
        <f>IF($G$1="","",STDEV(G15:G25)/(AVERAGE(G15:G25)))</f>
        <v>2.4036005509674788E-2</v>
      </c>
      <c r="H27" s="418"/>
    </row>
    <row r="28" spans="1:8" x14ac:dyDescent="0.25">
      <c r="A28" s="431">
        <f t="array" ref="A28">IFERROR(INDEX(Map!$V$2:$V$67,MATCH('Feed intake'!$B28&amp;'Feed intake'!$C28,Map!$W$2:$W$67&amp;Map!$X$2:$X$67,0)),"")</f>
        <v>4</v>
      </c>
      <c r="B28" s="41" t="s">
        <v>12</v>
      </c>
      <c r="C28" s="219" t="s">
        <v>2</v>
      </c>
      <c r="D28" s="440">
        <f t="array" ref="D28">IFERROR(IF($D$1="","",INDEX('Raw data'!$V$4:$V$267,MATCH('Feed intake'!D$1&amp;$A$1&amp;$A28,'Raw data'!$K$4:$K$267&amp;'Raw data'!$L$2&amp;'Raw data'!$L$4:$L$267,0))),"")</f>
        <v>0.42333333333333339</v>
      </c>
      <c r="E28" s="440">
        <f t="array" ref="E28">IFERROR(IF($E$1="","",INDEX('Raw data'!$V$4:$V$267,MATCH('Feed intake'!E$1&amp;$A$1&amp;$A28,'Raw data'!$K$4:$K$267&amp;'Raw data'!$L$2&amp;'Raw data'!$L$4:$L$267,0))),"")</f>
        <v>0.86628205128205116</v>
      </c>
      <c r="F28" s="440">
        <f t="array" ref="F28">IFERROR(IF($F$1="","",INDEX('Raw data'!$V$4:$V$267,MATCH('Feed intake'!F$1&amp;$A$1&amp;$A28,'Raw data'!$K$4:$K$267&amp;'Raw data'!$L$2&amp;'Raw data'!$L$4:$L$267,0))),"")</f>
        <v>1.4362820512820513</v>
      </c>
      <c r="G28" s="441">
        <f t="array" ref="G28">IFERROR(IF($G$1="","",INDEX('Raw data'!$V$4:$V$267,MATCH('Feed intake'!G$1&amp;$A$1&amp;$A28,'Raw data'!$K$4:$K$267&amp;'Raw data'!$L$2&amp;'Raw data'!$L$4:$L$267,0))),"")</f>
        <v>1.4837837837837837</v>
      </c>
      <c r="H28" s="24"/>
    </row>
    <row r="29" spans="1:8" x14ac:dyDescent="0.25">
      <c r="A29" s="432">
        <f t="array" ref="A29">IFERROR(INDEX(Map!$V$2:$V$67,MATCH('Feed intake'!$B29&amp;'Feed intake'!$C29,Map!$W$2:$W$67&amp;Map!$X$2:$X$67,0)),"")</f>
        <v>13</v>
      </c>
      <c r="B29" s="24" t="str">
        <f>B28</f>
        <v>T3</v>
      </c>
      <c r="C29" s="216" t="s">
        <v>3</v>
      </c>
      <c r="D29" s="419">
        <f t="array" ref="D29">IFERROR(IF($D$1="","",INDEX('Raw data'!$V$4:$V$267,MATCH('Feed intake'!D$1&amp;$A$1&amp;$A29,'Raw data'!$K$4:$K$267&amp;'Raw data'!$L$2&amp;'Raw data'!$L$4:$L$267,0))),"")</f>
        <v>0.40769230769230774</v>
      </c>
      <c r="E29" s="419">
        <f t="array" ref="E29">IFERROR(IF($E$1="","",INDEX('Raw data'!$V$4:$V$267,MATCH('Feed intake'!E$1&amp;$A$1&amp;$A29,'Raw data'!$K$4:$K$267&amp;'Raw data'!$L$2&amp;'Raw data'!$L$4:$L$267,0))),"")</f>
        <v>0.83907894736842081</v>
      </c>
      <c r="F29" s="419">
        <f t="array" ref="F29">IFERROR(IF($F$1="","",INDEX('Raw data'!$V$4:$V$267,MATCH('Feed intake'!F$1&amp;$A$1&amp;$A29,'Raw data'!$K$4:$K$267&amp;'Raw data'!$L$2&amp;'Raw data'!$L$4:$L$267,0))),"")</f>
        <v>1.403026315789474</v>
      </c>
      <c r="G29" s="442">
        <f t="array" ref="G29">IFERROR(IF($G$1="","",INDEX('Raw data'!$V$4:$V$267,MATCH('Feed intake'!G$1&amp;$A$1&amp;$A29,'Raw data'!$K$4:$K$267&amp;'Raw data'!$L$2&amp;'Raw data'!$L$4:$L$267,0))),"")</f>
        <v>1.3907894736842106</v>
      </c>
      <c r="H29" s="24"/>
    </row>
    <row r="30" spans="1:8" x14ac:dyDescent="0.25">
      <c r="A30" s="432">
        <f t="array" ref="A30">IFERROR(INDEX(Map!$V$2:$V$67,MATCH('Feed intake'!$B30&amp;'Feed intake'!$C30,Map!$W$2:$W$67&amp;Map!$X$2:$X$67,0)),"")</f>
        <v>19</v>
      </c>
      <c r="B30" s="24" t="str">
        <f>B28</f>
        <v>T3</v>
      </c>
      <c r="C30" s="216" t="s">
        <v>4</v>
      </c>
      <c r="D30" s="419">
        <f t="array" ref="D30">IFERROR(IF($D$1="","",INDEX('Raw data'!$V$4:$V$267,MATCH('Feed intake'!D$1&amp;$A$1&amp;$A30,'Raw data'!$K$4:$K$267&amp;'Raw data'!$L$2&amp;'Raw data'!$L$4:$L$267,0))),"")</f>
        <v>0.40277777777777779</v>
      </c>
      <c r="E30" s="419">
        <f t="array" ref="E30">IFERROR(IF($E$1="","",INDEX('Raw data'!$V$4:$V$267,MATCH('Feed intake'!E$1&amp;$A$1&amp;$A30,'Raw data'!$K$4:$K$267&amp;'Raw data'!$L$2&amp;'Raw data'!$L$4:$L$267,0))),"")</f>
        <v>0.82014705882352912</v>
      </c>
      <c r="F30" s="419">
        <f t="array" ref="F30">IFERROR(IF($F$1="","",INDEX('Raw data'!$V$4:$V$267,MATCH('Feed intake'!F$1&amp;$A$1&amp;$A30,'Raw data'!$K$4:$K$267&amp;'Raw data'!$L$2&amp;'Raw data'!$L$4:$L$267,0))),"")</f>
        <v>1.356323529411765</v>
      </c>
      <c r="G30" s="442">
        <f t="array" ref="G30">IFERROR(IF($G$1="","",INDEX('Raw data'!$V$4:$V$267,MATCH('Feed intake'!G$1&amp;$A$1&amp;$A30,'Raw data'!$K$4:$K$267&amp;'Raw data'!$L$2&amp;'Raw data'!$L$4:$L$267,0))),"")</f>
        <v>1.4058823529411764</v>
      </c>
      <c r="H30" s="24"/>
    </row>
    <row r="31" spans="1:8" x14ac:dyDescent="0.25">
      <c r="A31" s="432">
        <f t="array" ref="A31">IFERROR(INDEX(Map!$V$2:$V$67,MATCH('Feed intake'!$B31&amp;'Feed intake'!$C31,Map!$W$2:$W$67&amp;Map!$X$2:$X$67,0)),"")</f>
        <v>26</v>
      </c>
      <c r="B31" s="24" t="str">
        <f>B28</f>
        <v>T3</v>
      </c>
      <c r="C31" s="216" t="s">
        <v>5</v>
      </c>
      <c r="D31" s="419">
        <f t="array" ref="D31">IFERROR(IF($D$1="","",INDEX('Raw data'!$V$4:$V$267,MATCH('Feed intake'!D$1&amp;$A$1&amp;$A31,'Raw data'!$K$4:$K$267&amp;'Raw data'!$L$2&amp;'Raw data'!$L$4:$L$267,0))),"")</f>
        <v>0.41153846153846158</v>
      </c>
      <c r="E31" s="419">
        <f t="array" ref="E31">IFERROR(IF($E$1="","",INDEX('Raw data'!$V$4:$V$267,MATCH('Feed intake'!E$1&amp;$A$1&amp;$A31,'Raw data'!$K$4:$K$267&amp;'Raw data'!$L$2&amp;'Raw data'!$L$4:$L$267,0))),"")</f>
        <v>0.77910256410256384</v>
      </c>
      <c r="F31" s="419">
        <f t="array" ref="F31">IFERROR(IF($F$1="","",INDEX('Raw data'!$V$4:$V$267,MATCH('Feed intake'!F$1&amp;$A$1&amp;$A31,'Raw data'!$K$4:$K$267&amp;'Raw data'!$L$2&amp;'Raw data'!$L$4:$L$267,0))),"")</f>
        <v>1.3311538461538464</v>
      </c>
      <c r="G31" s="442">
        <f t="array" ref="G31">IFERROR(IF($G$1="","",INDEX('Raw data'!$V$4:$V$267,MATCH('Feed intake'!G$1&amp;$A$1&amp;$A31,'Raw data'!$K$4:$K$267&amp;'Raw data'!$L$2&amp;'Raw data'!$L$4:$L$267,0))),"")</f>
        <v>1.3730769230769231</v>
      </c>
      <c r="H31" s="24"/>
    </row>
    <row r="32" spans="1:8" x14ac:dyDescent="0.25">
      <c r="A32" s="432">
        <f t="array" ref="A32">IFERROR(INDEX(Map!$V$2:$V$67,MATCH('Feed intake'!$B32&amp;'Feed intake'!$C32,Map!$W$2:$W$67&amp;Map!$X$2:$X$67,0)),"")</f>
        <v>33</v>
      </c>
      <c r="B32" s="24" t="str">
        <f>B28</f>
        <v>T3</v>
      </c>
      <c r="C32" s="216" t="s">
        <v>6</v>
      </c>
      <c r="D32" s="419">
        <f t="array" ref="D32">IFERROR(IF($D$1="","",INDEX('Raw data'!$V$4:$V$267,MATCH('Feed intake'!D$1&amp;$A$1&amp;$A32,'Raw data'!$K$4:$K$267&amp;'Raw data'!$L$2&amp;'Raw data'!$L$4:$L$267,0))),"")</f>
        <v>0.38875000000000004</v>
      </c>
      <c r="E32" s="419">
        <f t="array" ref="E32">IFERROR(IF($E$1="","",INDEX('Raw data'!$V$4:$V$267,MATCH('Feed intake'!E$1&amp;$A$1&amp;$A32,'Raw data'!$K$4:$K$267&amp;'Raw data'!$L$2&amp;'Raw data'!$L$4:$L$267,0))),"")</f>
        <v>0.80337499999999995</v>
      </c>
      <c r="F32" s="419">
        <f t="array" ref="F32">IFERROR(IF($F$1="","",INDEX('Raw data'!$V$4:$V$267,MATCH('Feed intake'!F$1&amp;$A$1&amp;$A32,'Raw data'!$K$4:$K$267&amp;'Raw data'!$L$2&amp;'Raw data'!$L$4:$L$267,0))),"")</f>
        <v>1.395375</v>
      </c>
      <c r="G32" s="442">
        <f t="array" ref="G32">IFERROR(IF($G$1="","",INDEX('Raw data'!$V$4:$V$267,MATCH('Feed intake'!G$1&amp;$A$1&amp;$A32,'Raw data'!$K$4:$K$267&amp;'Raw data'!$L$2&amp;'Raw data'!$L$4:$L$267,0))),"")</f>
        <v>1.4175</v>
      </c>
      <c r="H32" s="24"/>
    </row>
    <row r="33" spans="1:8" x14ac:dyDescent="0.25">
      <c r="A33" s="432">
        <f t="array" ref="A33">IFERROR(INDEX(Map!$V$2:$V$67,MATCH('Feed intake'!$B33&amp;'Feed intake'!$C33,Map!$W$2:$W$67&amp;Map!$X$2:$X$67,0)),"")</f>
        <v>40</v>
      </c>
      <c r="B33" s="24" t="str">
        <f>B28</f>
        <v>T3</v>
      </c>
      <c r="C33" s="216" t="s">
        <v>7</v>
      </c>
      <c r="D33" s="419">
        <f t="array" ref="D33">IFERROR(IF($D$1="","",INDEX('Raw data'!$V$4:$V$267,MATCH('Feed intake'!D$1&amp;$A$1&amp;$A33,'Raw data'!$K$4:$K$267&amp;'Raw data'!$L$2&amp;'Raw data'!$L$4:$L$267,0))),"")</f>
        <v>0.39</v>
      </c>
      <c r="E33" s="419">
        <f t="array" ref="E33">IFERROR(IF($E$1="","",INDEX('Raw data'!$V$4:$V$267,MATCH('Feed intake'!E$1&amp;$A$1&amp;$A33,'Raw data'!$K$4:$K$267&amp;'Raw data'!$L$2&amp;'Raw data'!$L$4:$L$267,0))),"")</f>
        <v>0.82212499999999999</v>
      </c>
      <c r="F33" s="419">
        <f t="array" ref="F33">IFERROR(IF($F$1="","",INDEX('Raw data'!$V$4:$V$267,MATCH('Feed intake'!F$1&amp;$A$1&amp;$A33,'Raw data'!$K$4:$K$267&amp;'Raw data'!$L$2&amp;'Raw data'!$L$4:$L$267,0))),"")</f>
        <v>1.364125</v>
      </c>
      <c r="G33" s="442">
        <f t="array" ref="G33">IFERROR(IF($G$1="","",INDEX('Raw data'!$V$4:$V$267,MATCH('Feed intake'!G$1&amp;$A$1&amp;$A33,'Raw data'!$K$4:$K$267&amp;'Raw data'!$L$2&amp;'Raw data'!$L$4:$L$267,0))),"")</f>
        <v>1.4112500000000001</v>
      </c>
      <c r="H33" s="24"/>
    </row>
    <row r="34" spans="1:8" x14ac:dyDescent="0.25">
      <c r="A34" s="432">
        <f t="array" ref="A34">IFERROR(INDEX(Map!$V$2:$V$67,MATCH('Feed intake'!$B34&amp;'Feed intake'!$C34,Map!$W$2:$W$67&amp;Map!$X$2:$X$67,0)),"")</f>
        <v>51</v>
      </c>
      <c r="B34" s="24" t="str">
        <f>B28</f>
        <v>T3</v>
      </c>
      <c r="C34" s="216" t="s">
        <v>8</v>
      </c>
      <c r="D34" s="419">
        <f t="array" ref="D34">IFERROR(IF($D$1="","",INDEX('Raw data'!$V$4:$V$267,MATCH('Feed intake'!D$1&amp;$A$1&amp;$A34,'Raw data'!$K$4:$K$267&amp;'Raw data'!$L$2&amp;'Raw data'!$L$4:$L$267,0))),"")</f>
        <v>0.40625</v>
      </c>
      <c r="E34" s="419">
        <f t="array" ref="E34">IFERROR(IF($E$1="","",INDEX('Raw data'!$V$4:$V$267,MATCH('Feed intake'!E$1&amp;$A$1&amp;$A34,'Raw data'!$K$4:$K$267&amp;'Raw data'!$L$2&amp;'Raw data'!$L$4:$L$267,0))),"")</f>
        <v>0.80837500000000007</v>
      </c>
      <c r="F34" s="419">
        <f t="array" ref="F34">IFERROR(IF($F$1="","",INDEX('Raw data'!$V$4:$V$267,MATCH('Feed intake'!F$1&amp;$A$1&amp;$A34,'Raw data'!$K$4:$K$267&amp;'Raw data'!$L$2&amp;'Raw data'!$L$4:$L$267,0))),"")</f>
        <v>1.386625</v>
      </c>
      <c r="G34" s="442">
        <f t="array" ref="G34">IFERROR(IF($G$1="","",INDEX('Raw data'!$V$4:$V$267,MATCH('Feed intake'!G$1&amp;$A$1&amp;$A34,'Raw data'!$K$4:$K$267&amp;'Raw data'!$L$2&amp;'Raw data'!$L$4:$L$267,0))),"")</f>
        <v>1.382051282051282</v>
      </c>
      <c r="H34" s="24"/>
    </row>
    <row r="35" spans="1:8" x14ac:dyDescent="0.25">
      <c r="A35" s="432">
        <f t="array" ref="A35">IFERROR(INDEX(Map!$V$2:$V$67,MATCH('Feed intake'!$B35&amp;'Feed intake'!$C35,Map!$W$2:$W$67&amp;Map!$X$2:$X$67,0)),"")</f>
        <v>56</v>
      </c>
      <c r="B35" s="24" t="str">
        <f>B28</f>
        <v>T3</v>
      </c>
      <c r="C35" s="216" t="s">
        <v>9</v>
      </c>
      <c r="D35" s="419">
        <f t="array" ref="D35">IFERROR(IF($D$1="","",INDEX('Raw data'!$V$4:$V$267,MATCH('Feed intake'!D$1&amp;$A$1&amp;$A35,'Raw data'!$K$4:$K$267&amp;'Raw data'!$L$2&amp;'Raw data'!$L$4:$L$267,0))),"")</f>
        <v>0.3897435897435898</v>
      </c>
      <c r="E35" s="419">
        <f t="array" ref="E35">IFERROR(IF($E$1="","",INDEX('Raw data'!$V$4:$V$267,MATCH('Feed intake'!E$1&amp;$A$1&amp;$A35,'Raw data'!$K$4:$K$267&amp;'Raw data'!$L$2&amp;'Raw data'!$L$4:$L$267,0))),"")</f>
        <v>0.8364473684210525</v>
      </c>
      <c r="F35" s="419">
        <f t="array" ref="F35">IFERROR(IF($F$1="","",INDEX('Raw data'!$V$4:$V$267,MATCH('Feed intake'!F$1&amp;$A$1&amp;$A35,'Raw data'!$K$4:$K$267&amp;'Raw data'!$L$2&amp;'Raw data'!$L$4:$L$267,0))),"")</f>
        <v>1.4332894736842106</v>
      </c>
      <c r="G35" s="442">
        <f t="array" ref="G35">IFERROR(IF($G$1="","",INDEX('Raw data'!$V$4:$V$267,MATCH('Feed intake'!G$1&amp;$A$1&amp;$A35,'Raw data'!$K$4:$K$267&amp;'Raw data'!$L$2&amp;'Raw data'!$L$4:$L$267,0))),"")</f>
        <v>1.4337837837837837</v>
      </c>
      <c r="H35" s="24"/>
    </row>
    <row r="36" spans="1:8" s="417" customFormat="1" x14ac:dyDescent="0.25">
      <c r="A36" s="432">
        <f t="array" ref="A36">IFERROR(INDEX(Map!$V$2:$V$67,MATCH('Feed intake'!$B36&amp;'Feed intake'!$C36,Map!$W$2:$W$67&amp;Map!$X$2:$X$67,0)),"")</f>
        <v>59</v>
      </c>
      <c r="B36" s="418" t="str">
        <f>B28</f>
        <v>T3</v>
      </c>
      <c r="C36" s="436" t="s">
        <v>22</v>
      </c>
      <c r="D36" s="419">
        <f t="array" ref="D36">IFERROR(IF($D$1="","",INDEX('Raw data'!$V$4:$V$267,MATCH('Feed intake'!D$1&amp;$A$1&amp;$A36,'Raw data'!$K$4:$K$267&amp;'Raw data'!$L$2&amp;'Raw data'!$L$4:$L$267,0))),"")</f>
        <v>0.41</v>
      </c>
      <c r="E36" s="419">
        <f t="array" ref="E36">IFERROR(IF($E$1="","",INDEX('Raw data'!$V$4:$V$267,MATCH('Feed intake'!E$1&amp;$A$1&amp;$A36,'Raw data'!$K$4:$K$267&amp;'Raw data'!$L$2&amp;'Raw data'!$L$4:$L$267,0))),"")</f>
        <v>0.81837499999999996</v>
      </c>
      <c r="F36" s="419">
        <f t="array" ref="F36">IFERROR(IF($F$1="","",INDEX('Raw data'!$V$4:$V$267,MATCH('Feed intake'!F$1&amp;$A$1&amp;$A36,'Raw data'!$K$4:$K$267&amp;'Raw data'!$L$2&amp;'Raw data'!$L$4:$L$267,0))),"")</f>
        <v>1.3628750000000001</v>
      </c>
      <c r="G36" s="442">
        <f t="array" ref="G36">IFERROR(IF($G$1="","",INDEX('Raw data'!$V$4:$V$267,MATCH('Feed intake'!G$1&amp;$A$1&amp;$A36,'Raw data'!$K$4:$K$267&amp;'Raw data'!$L$2&amp;'Raw data'!$L$4:$L$267,0))),"")</f>
        <v>1.375</v>
      </c>
      <c r="H36" s="418"/>
    </row>
    <row r="37" spans="1:8" s="417" customFormat="1" x14ac:dyDescent="0.25">
      <c r="A37" s="432">
        <f t="array" ref="A37">IFERROR(INDEX(Map!$V$2:$V$67,MATCH('Feed intake'!$B37&amp;'Feed intake'!$C37,Map!$W$2:$W$67&amp;Map!$X$2:$X$67,0)),"")</f>
        <v>45</v>
      </c>
      <c r="B37" s="418" t="str">
        <f>B28</f>
        <v>T3</v>
      </c>
      <c r="C37" s="436" t="s">
        <v>101</v>
      </c>
      <c r="D37" s="419">
        <f t="array" ref="D37">IFERROR(IF($D$1="","",INDEX('Raw data'!$V$4:$V$267,MATCH('Feed intake'!D$1&amp;$A$1&amp;$A37,'Raw data'!$K$4:$K$267&amp;'Raw data'!$L$2&amp;'Raw data'!$L$4:$L$267,0))),"")</f>
        <v>0.38500000000000006</v>
      </c>
      <c r="E37" s="419">
        <f t="array" ref="E37">IFERROR(IF($E$1="","",INDEX('Raw data'!$V$4:$V$267,MATCH('Feed intake'!E$1&amp;$A$1&amp;$A37,'Raw data'!$K$4:$K$267&amp;'Raw data'!$L$2&amp;'Raw data'!$L$4:$L$267,0))),"")</f>
        <v>0.83337499999999998</v>
      </c>
      <c r="F37" s="419">
        <f t="array" ref="F37">IFERROR(IF($F$1="","",INDEX('Raw data'!$V$4:$V$267,MATCH('Feed intake'!F$1&amp;$A$1&amp;$A37,'Raw data'!$K$4:$K$267&amp;'Raw data'!$L$2&amp;'Raw data'!$L$4:$L$267,0))),"")</f>
        <v>1.4619230769230769</v>
      </c>
      <c r="G37" s="442">
        <f t="array" ref="G37">IFERROR(IF($G$1="","",INDEX('Raw data'!$V$4:$V$267,MATCH('Feed intake'!G$1&amp;$A$1&amp;$A37,'Raw data'!$K$4:$K$267&amp;'Raw data'!$L$2&amp;'Raw data'!$L$4:$L$267,0))),"")</f>
        <v>1.4384615384615385</v>
      </c>
      <c r="H37" s="418"/>
    </row>
    <row r="38" spans="1:8" s="417" customFormat="1" x14ac:dyDescent="0.25">
      <c r="A38" s="446">
        <f t="array" ref="A38">IFERROR(INDEX(Map!$V$2:$V$67,MATCH('Feed intake'!$B38&amp;'Feed intake'!$C38,Map!$W$2:$W$67&amp;Map!$X$2:$X$67,0)),"")</f>
        <v>65</v>
      </c>
      <c r="B38" s="418" t="str">
        <f>B29</f>
        <v>T3</v>
      </c>
      <c r="C38" s="436" t="s">
        <v>102</v>
      </c>
      <c r="D38" s="435">
        <f t="array" ref="D38">IFERROR(IF($D$1="","",INDEX('Raw data'!$V$4:$V$267,MATCH('Feed intake'!D$1&amp;$A$1&amp;$A38,'Raw data'!$K$4:$K$267&amp;'Raw data'!$L$2&amp;'Raw data'!$L$4:$L$267,0))),"")</f>
        <v>0.42894736842105258</v>
      </c>
      <c r="E38" s="435">
        <f t="array" ref="E38">IFERROR(IF($E$1="","",INDEX('Raw data'!$V$4:$V$267,MATCH('Feed intake'!E$1&amp;$A$1&amp;$A38,'Raw data'!$K$4:$K$267&amp;'Raw data'!$L$2&amp;'Raw data'!$L$4:$L$267,0))),"")</f>
        <v>0.87723684210526298</v>
      </c>
      <c r="F38" s="435">
        <f t="array" ref="F38">IFERROR(IF($F$1="","",INDEX('Raw data'!$V$4:$V$267,MATCH('Feed intake'!F$1&amp;$A$1&amp;$A38,'Raw data'!$K$4:$K$267&amp;'Raw data'!$L$2&amp;'Raw data'!$L$4:$L$267,0))),"")</f>
        <v>1.4233783783783784</v>
      </c>
      <c r="G38" s="443">
        <f t="array" ref="G38">IFERROR(IF($G$1="","",INDEX('Raw data'!$V$4:$V$267,MATCH('Feed intake'!G$1&amp;$A$1&amp;$A38,'Raw data'!$K$4:$K$267&amp;'Raw data'!$L$2&amp;'Raw data'!$L$4:$L$267,0))),"")</f>
        <v>1.4689189189189189</v>
      </c>
      <c r="H38" s="418"/>
    </row>
    <row r="39" spans="1:8" s="417" customFormat="1" x14ac:dyDescent="0.25">
      <c r="A39" s="432"/>
      <c r="B39" s="565" t="s">
        <v>82</v>
      </c>
      <c r="C39" s="566"/>
      <c r="D39" s="437" t="str">
        <f>IF($D$1="","",(ROUND(AVERAGE(D28:D38),3)&amp;" ± "&amp;(ROUND(STDEV(D28:D38),3))))</f>
        <v>0,404 ± 0,014</v>
      </c>
      <c r="E39" s="437" t="str">
        <f>IF($E$1="","",(ROUND(AVERAGE(E28:E38),3)&amp;" ± "&amp;(ROUND(STDEV(E28:E38),3))))</f>
        <v>0,828 ± 0,028</v>
      </c>
      <c r="F39" s="437" t="str">
        <f>IF($F$1="","",(ROUND(AVERAGE(F28:F38),3)&amp;" ± "&amp;(ROUND(STDEV(F28:F38),3))))</f>
        <v>1,396 ± 0,04</v>
      </c>
      <c r="G39" s="444" t="str">
        <f>IF($G$1="","",(ROUND(AVERAGE(G28:G38),3)&amp;" ± "&amp;(ROUND(STDEV(G28:G38),3))))</f>
        <v>1,416 ± 0,037</v>
      </c>
      <c r="H39" s="418"/>
    </row>
    <row r="40" spans="1:8" s="417" customFormat="1" ht="15.75" thickBot="1" x14ac:dyDescent="0.3">
      <c r="A40" s="433"/>
      <c r="B40" s="567" t="s">
        <v>83</v>
      </c>
      <c r="C40" s="568"/>
      <c r="D40" s="438">
        <f>IF($D$1="","",STDEV(D28:D38)/(AVERAGE(D28:D38)))</f>
        <v>3.5886338073842151E-2</v>
      </c>
      <c r="E40" s="438">
        <f>IF($E$1="","",STDEV(E28:E38)/(AVERAGE(E28:E38)))</f>
        <v>3.3490195841125114E-2</v>
      </c>
      <c r="F40" s="438">
        <f>IF($F$1="","",STDEV(F28:F38)/(AVERAGE(F28:F38)))</f>
        <v>2.8780098053421729E-2</v>
      </c>
      <c r="G40" s="445">
        <f>IF($G$1="","",STDEV(G28:G38)/(AVERAGE(G28:G38)))</f>
        <v>2.6086744462995953E-2</v>
      </c>
      <c r="H40" s="418"/>
    </row>
    <row r="41" spans="1:8" x14ac:dyDescent="0.25">
      <c r="A41" s="431">
        <f t="array" ref="A41">IFERROR(INDEX(Map!$V$2:$V$67,MATCH('Feed intake'!$B41&amp;'Feed intake'!$C41,Map!$W$2:$W$67&amp;Map!$X$2:$X$67,0)),"")</f>
        <v>6</v>
      </c>
      <c r="B41" s="41" t="s">
        <v>11</v>
      </c>
      <c r="C41" s="219" t="s">
        <v>2</v>
      </c>
      <c r="D41" s="440">
        <f t="array" ref="D41">IFERROR(IF($D$1="","",INDEX('Raw data'!$V$4:$V$267,MATCH('Feed intake'!D$1&amp;$A$1&amp;$A41,'Raw data'!$K$4:$K$267&amp;'Raw data'!$L$2&amp;'Raw data'!$L$4:$L$267,0))),"")</f>
        <v>0.38947368421052636</v>
      </c>
      <c r="E41" s="440">
        <f t="array" ref="E41">IFERROR(IF($E$1="","",INDEX('Raw data'!$V$4:$V$267,MATCH('Feed intake'!E$1&amp;$A$1&amp;$A41,'Raw data'!$K$4:$K$267&amp;'Raw data'!$L$2&amp;'Raw data'!$L$4:$L$267,0))),"")</f>
        <v>0.84171052631578946</v>
      </c>
      <c r="F41" s="440">
        <f t="array" ref="F41">IFERROR(IF($F$1="","",INDEX('Raw data'!$V$4:$V$267,MATCH('Feed intake'!F$1&amp;$A$1&amp;$A41,'Raw data'!$K$4:$K$267&amp;'Raw data'!$L$2&amp;'Raw data'!$L$4:$L$267,0))),"")</f>
        <v>1.3712500000000001</v>
      </c>
      <c r="G41" s="441">
        <f t="array" ref="G41">IFERROR(IF($G$1="","",INDEX('Raw data'!$V$4:$V$267,MATCH('Feed intake'!G$1&amp;$A$1&amp;$A41,'Raw data'!$K$4:$K$267&amp;'Raw data'!$L$2&amp;'Raw data'!$L$4:$L$267,0))),"")</f>
        <v>1.3666666666666667</v>
      </c>
      <c r="H41" s="24"/>
    </row>
    <row r="42" spans="1:8" x14ac:dyDescent="0.25">
      <c r="A42" s="432">
        <f t="array" ref="A42">IFERROR(INDEX(Map!$V$2:$V$67,MATCH('Feed intake'!$B42&amp;'Feed intake'!$C42,Map!$W$2:$W$67&amp;Map!$X$2:$X$67,0)),"")</f>
        <v>9</v>
      </c>
      <c r="B42" s="24" t="str">
        <f>B41</f>
        <v>T4</v>
      </c>
      <c r="C42" s="216" t="s">
        <v>3</v>
      </c>
      <c r="D42" s="419">
        <f t="array" ref="D42">IFERROR(IF($D$1="","",INDEX('Raw data'!$V$4:$V$267,MATCH('Feed intake'!D$1&amp;$A$1&amp;$A42,'Raw data'!$K$4:$K$267&amp;'Raw data'!$L$2&amp;'Raw data'!$L$4:$L$267,0))),"")</f>
        <v>0.37124999999999997</v>
      </c>
      <c r="E42" s="419">
        <f t="array" ref="E42">IFERROR(IF($E$1="","",INDEX('Raw data'!$V$4:$V$267,MATCH('Feed intake'!E$1&amp;$A$1&amp;$A42,'Raw data'!$K$4:$K$267&amp;'Raw data'!$L$2&amp;'Raw data'!$L$4:$L$267,0))),"")</f>
        <v>0.79587500000000022</v>
      </c>
      <c r="F42" s="419">
        <f t="array" ref="F42">IFERROR(IF($F$1="","",INDEX('Raw data'!$V$4:$V$267,MATCH('Feed intake'!F$1&amp;$A$1&amp;$A42,'Raw data'!$K$4:$K$267&amp;'Raw data'!$L$2&amp;'Raw data'!$L$4:$L$267,0))),"")</f>
        <v>1.3375641025641023</v>
      </c>
      <c r="G42" s="442">
        <f t="array" ref="G42">IFERROR(IF($G$1="","",INDEX('Raw data'!$V$4:$V$267,MATCH('Feed intake'!G$1&amp;$A$1&amp;$A42,'Raw data'!$K$4:$K$267&amp;'Raw data'!$L$2&amp;'Raw data'!$L$4:$L$267,0))),"")</f>
        <v>1.2974999999999999</v>
      </c>
      <c r="H42" s="24"/>
    </row>
    <row r="43" spans="1:8" x14ac:dyDescent="0.25">
      <c r="A43" s="432">
        <f t="array" ref="A43">IFERROR(INDEX(Map!$V$2:$V$67,MATCH('Feed intake'!$B43&amp;'Feed intake'!$C43,Map!$W$2:$W$67&amp;Map!$X$2:$X$67,0)),"")</f>
        <v>15</v>
      </c>
      <c r="B43" s="24" t="str">
        <f>B41</f>
        <v>T4</v>
      </c>
      <c r="C43" s="216" t="s">
        <v>4</v>
      </c>
      <c r="D43" s="419">
        <f t="array" ref="D43">IFERROR(IF($D$1="","",INDEX('Raw data'!$V$4:$V$267,MATCH('Feed intake'!D$1&amp;$A$1&amp;$A43,'Raw data'!$K$4:$K$267&amp;'Raw data'!$L$2&amp;'Raw data'!$L$4:$L$267,0))),"")</f>
        <v>0.42692307692307691</v>
      </c>
      <c r="E43" s="419">
        <f t="array" ref="E43">IFERROR(IF($E$1="","",INDEX('Raw data'!$V$4:$V$267,MATCH('Feed intake'!E$1&amp;$A$1&amp;$A43,'Raw data'!$K$4:$K$267&amp;'Raw data'!$L$2&amp;'Raw data'!$L$4:$L$267,0))),"")</f>
        <v>0.84302631578947362</v>
      </c>
      <c r="F43" s="419">
        <f t="array" ref="F43">IFERROR(IF($F$1="","",INDEX('Raw data'!$V$4:$V$267,MATCH('Feed intake'!F$1&amp;$A$1&amp;$A43,'Raw data'!$K$4:$K$267&amp;'Raw data'!$L$2&amp;'Raw data'!$L$4:$L$267,0))),"")</f>
        <v>1.4125675675675675</v>
      </c>
      <c r="G43" s="442">
        <f t="array" ref="G43">IFERROR(IF($G$1="","",INDEX('Raw data'!$V$4:$V$267,MATCH('Feed intake'!G$1&amp;$A$1&amp;$A43,'Raw data'!$K$4:$K$267&amp;'Raw data'!$L$2&amp;'Raw data'!$L$4:$L$267,0))),"")</f>
        <v>1.3756756756756756</v>
      </c>
      <c r="H43" s="24"/>
    </row>
    <row r="44" spans="1:8" x14ac:dyDescent="0.25">
      <c r="A44" s="432">
        <f t="array" ref="A44">IFERROR(INDEX(Map!$V$2:$V$67,MATCH('Feed intake'!$B44&amp;'Feed intake'!$C44,Map!$W$2:$W$67&amp;Map!$X$2:$X$67,0)),"")</f>
        <v>30</v>
      </c>
      <c r="B44" s="24" t="str">
        <f>B41</f>
        <v>T4</v>
      </c>
      <c r="C44" s="216" t="s">
        <v>5</v>
      </c>
      <c r="D44" s="419">
        <f t="array" ref="D44">IFERROR(IF($D$1="","",INDEX('Raw data'!$V$4:$V$267,MATCH('Feed intake'!D$1&amp;$A$1&amp;$A44,'Raw data'!$K$4:$K$267&amp;'Raw data'!$L$2&amp;'Raw data'!$L$4:$L$267,0))),"")</f>
        <v>0.42051282051282057</v>
      </c>
      <c r="E44" s="419">
        <f t="array" ref="E44">IFERROR(IF($E$1="","",INDEX('Raw data'!$V$4:$V$267,MATCH('Feed intake'!E$1&amp;$A$1&amp;$A44,'Raw data'!$K$4:$K$267&amp;'Raw data'!$L$2&amp;'Raw data'!$L$4:$L$267,0))),"")</f>
        <v>0.84697368421052632</v>
      </c>
      <c r="F44" s="419">
        <f t="array" ref="F44">IFERROR(IF($F$1="","",INDEX('Raw data'!$V$4:$V$267,MATCH('Feed intake'!F$1&amp;$A$1&amp;$A44,'Raw data'!$K$4:$K$267&amp;'Raw data'!$L$2&amp;'Raw data'!$L$4:$L$267,0))),"")</f>
        <v>1.4233783783783782</v>
      </c>
      <c r="G44" s="442">
        <f t="array" ref="G44">IFERROR(IF($G$1="","",INDEX('Raw data'!$V$4:$V$267,MATCH('Feed intake'!G$1&amp;$A$1&amp;$A44,'Raw data'!$K$4:$K$267&amp;'Raw data'!$L$2&amp;'Raw data'!$L$4:$L$267,0))),"")</f>
        <v>1.4324324324324325</v>
      </c>
      <c r="H44" s="24"/>
    </row>
    <row r="45" spans="1:8" x14ac:dyDescent="0.25">
      <c r="A45" s="432">
        <f t="array" ref="A45">IFERROR(INDEX(Map!$V$2:$V$67,MATCH('Feed intake'!$B45&amp;'Feed intake'!$C45,Map!$W$2:$W$67&amp;Map!$X$2:$X$67,0)),"")</f>
        <v>36</v>
      </c>
      <c r="B45" s="24" t="str">
        <f>B41</f>
        <v>T4</v>
      </c>
      <c r="C45" s="216" t="s">
        <v>6</v>
      </c>
      <c r="D45" s="419">
        <f t="array" ref="D45">IFERROR(IF($D$1="","",INDEX('Raw data'!$V$4:$V$267,MATCH('Feed intake'!D$1&amp;$A$1&amp;$A45,'Raw data'!$K$4:$K$267&amp;'Raw data'!$L$2&amp;'Raw data'!$L$4:$L$267,0))),"")</f>
        <v>0.427027027027027</v>
      </c>
      <c r="E45" s="419">
        <f t="array" ref="E45">IFERROR(IF($E$1="","",INDEX('Raw data'!$V$4:$V$267,MATCH('Feed intake'!E$1&amp;$A$1&amp;$A45,'Raw data'!$K$4:$K$267&amp;'Raw data'!$L$2&amp;'Raw data'!$L$4:$L$267,0))),"")</f>
        <v>0.82932432432432435</v>
      </c>
      <c r="F45" s="419">
        <f t="array" ref="F45">IFERROR(IF($F$1="","",INDEX('Raw data'!$V$4:$V$267,MATCH('Feed intake'!F$1&amp;$A$1&amp;$A45,'Raw data'!$K$4:$K$267&amp;'Raw data'!$L$2&amp;'Raw data'!$L$4:$L$267,0))),"")</f>
        <v>1.3769117647058824</v>
      </c>
      <c r="G45" s="442">
        <f t="array" ref="G45">IFERROR(IF($G$1="","",INDEX('Raw data'!$V$4:$V$267,MATCH('Feed intake'!G$1&amp;$A$1&amp;$A45,'Raw data'!$K$4:$K$267&amp;'Raw data'!$L$2&amp;'Raw data'!$L$4:$L$267,0))),"")</f>
        <v>1.4453125</v>
      </c>
      <c r="H45" s="24"/>
    </row>
    <row r="46" spans="1:8" x14ac:dyDescent="0.25">
      <c r="A46" s="432">
        <f t="array" ref="A46">IFERROR(INDEX(Map!$V$2:$V$67,MATCH('Feed intake'!$B46&amp;'Feed intake'!$C46,Map!$W$2:$W$67&amp;Map!$X$2:$X$67,0)),"")</f>
        <v>39</v>
      </c>
      <c r="B46" s="24" t="str">
        <f>B41</f>
        <v>T4</v>
      </c>
      <c r="C46" s="216" t="s">
        <v>7</v>
      </c>
      <c r="D46" s="419">
        <f t="array" ref="D46">IFERROR(IF($D$1="","",INDEX('Raw data'!$V$4:$V$267,MATCH('Feed intake'!D$1&amp;$A$1&amp;$A46,'Raw data'!$K$4:$K$267&amp;'Raw data'!$L$2&amp;'Raw data'!$L$4:$L$267,0))),"")</f>
        <v>0.41315789473684211</v>
      </c>
      <c r="E46" s="419">
        <f t="array" ref="E46">IFERROR(IF($E$1="","",INDEX('Raw data'!$V$4:$V$267,MATCH('Feed intake'!E$1&amp;$A$1&amp;$A46,'Raw data'!$K$4:$K$267&amp;'Raw data'!$L$2&amp;'Raw data'!$L$4:$L$267,0))),"")</f>
        <v>0.85223684210526307</v>
      </c>
      <c r="F46" s="419">
        <f t="array" ref="F46">IFERROR(IF($F$1="","",INDEX('Raw data'!$V$4:$V$267,MATCH('Feed intake'!F$1&amp;$A$1&amp;$A46,'Raw data'!$K$4:$K$267&amp;'Raw data'!$L$2&amp;'Raw data'!$L$4:$L$267,0))),"")</f>
        <v>1.4868918918918919</v>
      </c>
      <c r="G46" s="442">
        <f t="array" ref="G46">IFERROR(IF($G$1="","",INDEX('Raw data'!$V$4:$V$267,MATCH('Feed intake'!G$1&amp;$A$1&amp;$A46,'Raw data'!$K$4:$K$267&amp;'Raw data'!$L$2&amp;'Raw data'!$L$4:$L$267,0))),"")</f>
        <v>1.4054054054054055</v>
      </c>
      <c r="H46" s="24"/>
    </row>
    <row r="47" spans="1:8" x14ac:dyDescent="0.25">
      <c r="A47" s="432">
        <f t="array" ref="A47">IFERROR(INDEX(Map!$V$2:$V$67,MATCH('Feed intake'!$B47&amp;'Feed intake'!$C47,Map!$W$2:$W$67&amp;Map!$X$2:$X$67,0)),"")</f>
        <v>48</v>
      </c>
      <c r="B47" s="24" t="str">
        <f>B41</f>
        <v>T4</v>
      </c>
      <c r="C47" s="216" t="s">
        <v>8</v>
      </c>
      <c r="D47" s="419">
        <f t="array" ref="D47">IFERROR(IF($D$1="","",INDEX('Raw data'!$V$4:$V$267,MATCH('Feed intake'!D$1&amp;$A$1&amp;$A47,'Raw data'!$K$4:$K$267&amp;'Raw data'!$L$2&amp;'Raw data'!$L$4:$L$267,0))),"")</f>
        <v>0.41842105263157903</v>
      </c>
      <c r="E47" s="419">
        <f t="array" ref="E47">IFERROR(IF($E$1="","",INDEX('Raw data'!$V$4:$V$267,MATCH('Feed intake'!E$1&amp;$A$1&amp;$A47,'Raw data'!$K$4:$K$267&amp;'Raw data'!$L$2&amp;'Raw data'!$L$4:$L$267,0))),"")</f>
        <v>0.84039473684210531</v>
      </c>
      <c r="F47" s="419">
        <f t="array" ref="F47">IFERROR(IF($F$1="","",INDEX('Raw data'!$V$4:$V$267,MATCH('Feed intake'!F$1&amp;$A$1&amp;$A47,'Raw data'!$K$4:$K$267&amp;'Raw data'!$L$2&amp;'Raw data'!$L$4:$L$267,0))),"")</f>
        <v>1.3925000000000001</v>
      </c>
      <c r="G47" s="442">
        <f t="array" ref="G47">IFERROR(IF($G$1="","",INDEX('Raw data'!$V$4:$V$267,MATCH('Feed intake'!G$1&amp;$A$1&amp;$A47,'Raw data'!$K$4:$K$267&amp;'Raw data'!$L$2&amp;'Raw data'!$L$4:$L$267,0))),"")</f>
        <v>1.3905405405405407</v>
      </c>
      <c r="H47" s="24"/>
    </row>
    <row r="48" spans="1:8" x14ac:dyDescent="0.25">
      <c r="A48" s="432">
        <f t="array" ref="A48">IFERROR(INDEX(Map!$V$2:$V$67,MATCH('Feed intake'!$B48&amp;'Feed intake'!$C48,Map!$W$2:$W$67&amp;Map!$X$2:$X$67,0)),"")</f>
        <v>54</v>
      </c>
      <c r="B48" s="24" t="str">
        <f>B41</f>
        <v>T4</v>
      </c>
      <c r="C48" s="216" t="s">
        <v>9</v>
      </c>
      <c r="D48" s="419">
        <f t="array" ref="D48">IFERROR(IF($D$1="","",INDEX('Raw data'!$V$4:$V$267,MATCH('Feed intake'!D$1&amp;$A$1&amp;$A48,'Raw data'!$K$4:$K$267&amp;'Raw data'!$L$2&amp;'Raw data'!$L$4:$L$267,0))),"")</f>
        <v>0.41842105263157903</v>
      </c>
      <c r="E48" s="419">
        <f t="array" ref="E48">IFERROR(IF($E$1="","",INDEX('Raw data'!$V$4:$V$267,MATCH('Feed intake'!E$1&amp;$A$1&amp;$A48,'Raw data'!$K$4:$K$267&amp;'Raw data'!$L$2&amp;'Raw data'!$L$4:$L$267,0))),"")</f>
        <v>0.84283783783783794</v>
      </c>
      <c r="F48" s="419">
        <f t="array" ref="F48">IFERROR(IF($F$1="","",INDEX('Raw data'!$V$4:$V$267,MATCH('Feed intake'!F$1&amp;$A$1&amp;$A48,'Raw data'!$K$4:$K$267&amp;'Raw data'!$L$2&amp;'Raw data'!$L$4:$L$267,0))),"")</f>
        <v>1.4226388888888888</v>
      </c>
      <c r="G48" s="442">
        <f t="array" ref="G48">IFERROR(IF($G$1="","",INDEX('Raw data'!$V$4:$V$267,MATCH('Feed intake'!G$1&amp;$A$1&amp;$A48,'Raw data'!$K$4:$K$267&amp;'Raw data'!$L$2&amp;'Raw data'!$L$4:$L$267,0))),"")</f>
        <v>1.4249999999999998</v>
      </c>
      <c r="H48" s="24"/>
    </row>
    <row r="49" spans="1:8" s="417" customFormat="1" x14ac:dyDescent="0.25">
      <c r="A49" s="432">
        <f t="array" ref="A49">IFERROR(INDEX(Map!$V$2:$V$67,MATCH('Feed intake'!$B49&amp;'Feed intake'!$C49,Map!$W$2:$W$67&amp;Map!$X$2:$X$67,0)),"")</f>
        <v>64</v>
      </c>
      <c r="B49" s="418" t="str">
        <f>B41</f>
        <v>T4</v>
      </c>
      <c r="C49" s="436" t="s">
        <v>22</v>
      </c>
      <c r="D49" s="419">
        <f t="array" ref="D49">IFERROR(IF($D$1="","",INDEX('Raw data'!$V$4:$V$267,MATCH('Feed intake'!D$1&amp;$A$1&amp;$A49,'Raw data'!$K$4:$K$267&amp;'Raw data'!$L$2&amp;'Raw data'!$L$4:$L$267,0))),"")</f>
        <v>0.41184210526315784</v>
      </c>
      <c r="E49" s="419">
        <f t="array" ref="E49">IFERROR(IF($E$1="","",INDEX('Raw data'!$V$4:$V$267,MATCH('Feed intake'!E$1&amp;$A$1&amp;$A49,'Raw data'!$K$4:$K$267&amp;'Raw data'!$L$2&amp;'Raw data'!$L$4:$L$267,0))),"")</f>
        <v>0.86716216216216213</v>
      </c>
      <c r="F49" s="419">
        <f t="array" ref="F49">IFERROR(IF($F$1="","",INDEX('Raw data'!$V$4:$V$267,MATCH('Feed intake'!F$1&amp;$A$1&amp;$A49,'Raw data'!$K$4:$K$267&amp;'Raw data'!$L$2&amp;'Raw data'!$L$4:$L$267,0))),"")</f>
        <v>1.3948611111111111</v>
      </c>
      <c r="G49" s="442">
        <f t="array" ref="G49">IFERROR(IF($G$1="","",INDEX('Raw data'!$V$4:$V$267,MATCH('Feed intake'!G$1&amp;$A$1&amp;$A49,'Raw data'!$K$4:$K$267&amp;'Raw data'!$L$2&amp;'Raw data'!$L$4:$L$267,0))),"")</f>
        <v>1.46</v>
      </c>
      <c r="H49" s="418"/>
    </row>
    <row r="50" spans="1:8" s="417" customFormat="1" x14ac:dyDescent="0.25">
      <c r="A50" s="432">
        <f t="array" ref="A50">IFERROR(INDEX(Map!$V$2:$V$67,MATCH('Feed intake'!$B50&amp;'Feed intake'!$C50,Map!$W$2:$W$67&amp;Map!$X$2:$X$67,0)),"")</f>
        <v>24</v>
      </c>
      <c r="B50" s="418" t="str">
        <f>B41</f>
        <v>T4</v>
      </c>
      <c r="C50" s="436" t="s">
        <v>101</v>
      </c>
      <c r="D50" s="419">
        <f t="array" ref="D50">IFERROR(IF($D$1="","",INDEX('Raw data'!$V$4:$V$267,MATCH('Feed intake'!D$1&amp;$A$1&amp;$A50,'Raw data'!$K$4:$K$267&amp;'Raw data'!$L$2&amp;'Raw data'!$L$4:$L$267,0))),"")</f>
        <v>0.41374999999999995</v>
      </c>
      <c r="E50" s="419">
        <f t="array" ref="E50">IFERROR(IF($E$1="","",INDEX('Raw data'!$V$4:$V$267,MATCH('Feed intake'!E$1&amp;$A$1&amp;$A50,'Raw data'!$K$4:$K$267&amp;'Raw data'!$L$2&amp;'Raw data'!$L$4:$L$267,0))),"")</f>
        <v>0.84212500000000001</v>
      </c>
      <c r="F50" s="419">
        <f t="array" ref="F50">IFERROR(IF($F$1="","",INDEX('Raw data'!$V$4:$V$267,MATCH('Feed intake'!F$1&amp;$A$1&amp;$A50,'Raw data'!$K$4:$K$267&amp;'Raw data'!$L$2&amp;'Raw data'!$L$4:$L$267,0))),"")</f>
        <v>1.3978205128205128</v>
      </c>
      <c r="G50" s="442">
        <f t="array" ref="G50">IFERROR(IF($G$1="","",INDEX('Raw data'!$V$4:$V$267,MATCH('Feed intake'!G$1&amp;$A$1&amp;$A50,'Raw data'!$K$4:$K$267&amp;'Raw data'!$L$2&amp;'Raw data'!$L$4:$L$267,0))),"")</f>
        <v>1.4076923076923076</v>
      </c>
      <c r="H50" s="418"/>
    </row>
    <row r="51" spans="1:8" s="417" customFormat="1" x14ac:dyDescent="0.25">
      <c r="A51" s="446">
        <f t="array" ref="A51">IFERROR(INDEX(Map!$V$2:$V$67,MATCH('Feed intake'!$B51&amp;'Feed intake'!$C51,Map!$W$2:$W$67&amp;Map!$X$2:$X$67,0)),"")</f>
        <v>44</v>
      </c>
      <c r="B51" s="418" t="str">
        <f>B42</f>
        <v>T4</v>
      </c>
      <c r="C51" s="436" t="s">
        <v>102</v>
      </c>
      <c r="D51" s="435">
        <f t="array" ref="D51">IFERROR(IF($D$1="","",INDEX('Raw data'!$V$4:$V$267,MATCH('Feed intake'!D$1&amp;$A$1&amp;$A51,'Raw data'!$K$4:$K$267&amp;'Raw data'!$L$2&amp;'Raw data'!$L$4:$L$267,0))),"")</f>
        <v>0.43333333333333329</v>
      </c>
      <c r="E51" s="435">
        <f t="array" ref="E51">IFERROR(IF($E$1="","",INDEX('Raw data'!$V$4:$V$267,MATCH('Feed intake'!E$1&amp;$A$1&amp;$A51,'Raw data'!$K$4:$K$267&amp;'Raw data'!$L$2&amp;'Raw data'!$L$4:$L$267,0))),"")</f>
        <v>0.87012820512820521</v>
      </c>
      <c r="F51" s="435">
        <f t="array" ref="F51">IFERROR(IF($F$1="","",INDEX('Raw data'!$V$4:$V$267,MATCH('Feed intake'!F$1&amp;$A$1&amp;$A51,'Raw data'!$K$4:$K$267&amp;'Raw data'!$L$2&amp;'Raw data'!$L$4:$L$267,0))),"")</f>
        <v>1.4596052631578948</v>
      </c>
      <c r="G51" s="443">
        <f t="array" ref="G51">IFERROR(IF($G$1="","",INDEX('Raw data'!$V$4:$V$267,MATCH('Feed intake'!G$1&amp;$A$1&amp;$A51,'Raw data'!$K$4:$K$267&amp;'Raw data'!$L$2&amp;'Raw data'!$L$4:$L$267,0))),"")</f>
        <v>1.4644736842105264</v>
      </c>
      <c r="H51" s="418"/>
    </row>
    <row r="52" spans="1:8" s="417" customFormat="1" x14ac:dyDescent="0.25">
      <c r="A52" s="432"/>
      <c r="B52" s="565" t="s">
        <v>82</v>
      </c>
      <c r="C52" s="566"/>
      <c r="D52" s="437" t="str">
        <f>IF($D$1="","",(ROUND(AVERAGE(D41:D51),3)&amp;" ± "&amp;(ROUND(STDEV(D41:D51),3))))</f>
        <v>0,413 ± 0,018</v>
      </c>
      <c r="E52" s="437" t="str">
        <f>IF($E$1="","",(ROUND(AVERAGE(E41:E51),3)&amp;" ± "&amp;(ROUND(STDEV(E41:E51),3))))</f>
        <v>0,843 ± 0,02</v>
      </c>
      <c r="F52" s="437" t="str">
        <f>IF($F$1="","",(ROUND(AVERAGE(F41:F51),3)&amp;" ± "&amp;(ROUND(STDEV(F41:F51),3))))</f>
        <v>1,407 ± 0,041</v>
      </c>
      <c r="G52" s="444" t="str">
        <f>IF($G$1="","",(ROUND(AVERAGE(G41:G51),3)&amp;" ± "&amp;(ROUND(STDEV(G41:G51),3))))</f>
        <v>1,406 ± 0,048</v>
      </c>
      <c r="H52" s="418"/>
    </row>
    <row r="53" spans="1:8" s="417" customFormat="1" ht="15.75" thickBot="1" x14ac:dyDescent="0.3">
      <c r="A53" s="433"/>
      <c r="B53" s="567" t="s">
        <v>83</v>
      </c>
      <c r="C53" s="568"/>
      <c r="D53" s="438">
        <f>IF($D$1="","",STDEV(D41:D51)/(AVERAGE(D41:D51)))</f>
        <v>4.3422241195650094E-2</v>
      </c>
      <c r="E53" s="438">
        <f>IF($E$1="","",STDEV(E41:E51)/(AVERAGE(E41:E51)))</f>
        <v>2.3241692677051173E-2</v>
      </c>
      <c r="F53" s="438">
        <f>IF($F$1="","",STDEV(F41:F51)/(AVERAGE(F41:F51)))</f>
        <v>2.9426857601983734E-2</v>
      </c>
      <c r="G53" s="445">
        <f>IF($G$1="","",STDEV(G41:G51)/(AVERAGE(G41:G51)))</f>
        <v>3.4408922591364063E-2</v>
      </c>
      <c r="H53" s="418"/>
    </row>
    <row r="54" spans="1:8" x14ac:dyDescent="0.25">
      <c r="A54" s="431">
        <f t="array" ref="A54">IFERROR(INDEX(Map!$V$2:$V$67,MATCH('Feed intake'!$B54&amp;'Feed intake'!$C54,Map!$W$2:$W$67&amp;Map!$X$2:$X$67,0)),"")</f>
        <v>3</v>
      </c>
      <c r="B54" s="41" t="s">
        <v>14</v>
      </c>
      <c r="C54" s="219" t="s">
        <v>2</v>
      </c>
      <c r="D54" s="440">
        <f t="array" ref="D54">IFERROR(IF($D$1="","",INDEX('Raw data'!$V$4:$V$267,MATCH('Feed intake'!D$1&amp;$A$1&amp;$A54,'Raw data'!$K$4:$K$267&amp;'Raw data'!$L$2&amp;'Raw data'!$L$4:$L$267,0))),"")</f>
        <v>0.41081081081081078</v>
      </c>
      <c r="E54" s="440">
        <f t="array" ref="E54">IFERROR(IF($E$1="","",INDEX('Raw data'!$V$4:$V$267,MATCH('Feed intake'!E$1&amp;$A$1&amp;$A54,'Raw data'!$K$4:$K$267&amp;'Raw data'!$L$2&amp;'Raw data'!$L$4:$L$267,0))),"")</f>
        <v>0.85930555555555566</v>
      </c>
      <c r="F54" s="440">
        <f t="array" ref="F54">IFERROR(IF($F$1="","",INDEX('Raw data'!$V$4:$V$267,MATCH('Feed intake'!F$1&amp;$A$1&amp;$A54,'Raw data'!$K$4:$K$267&amp;'Raw data'!$L$2&amp;'Raw data'!$L$4:$L$267,0))),"")</f>
        <v>1.4143055555555555</v>
      </c>
      <c r="G54" s="441">
        <f t="array" ref="G54">IFERROR(IF($G$1="","",INDEX('Raw data'!$V$4:$V$267,MATCH('Feed intake'!G$1&amp;$A$1&amp;$A54,'Raw data'!$K$4:$K$267&amp;'Raw data'!$L$2&amp;'Raw data'!$L$4:$L$267,0))),"")</f>
        <v>1.4471428571428571</v>
      </c>
      <c r="H54" s="24"/>
    </row>
    <row r="55" spans="1:8" x14ac:dyDescent="0.25">
      <c r="A55" s="432">
        <f t="array" ref="A55">IFERROR(INDEX(Map!$V$2:$V$67,MATCH('Feed intake'!$B55&amp;'Feed intake'!$C55,Map!$W$2:$W$67&amp;Map!$X$2:$X$67,0)),"")</f>
        <v>14</v>
      </c>
      <c r="B55" s="24" t="str">
        <f>B54</f>
        <v>T5</v>
      </c>
      <c r="C55" s="216" t="s">
        <v>3</v>
      </c>
      <c r="D55" s="419">
        <f t="array" ref="D55">IFERROR(IF($D$1="","",INDEX('Raw data'!$V$4:$V$267,MATCH('Feed intake'!D$1&amp;$A$1&amp;$A55,'Raw data'!$K$4:$K$267&amp;'Raw data'!$L$2&amp;'Raw data'!$L$4:$L$267,0))),"")</f>
        <v>0.41153846153846158</v>
      </c>
      <c r="E55" s="419">
        <f t="array" ref="E55">IFERROR(IF($E$1="","",INDEX('Raw data'!$V$4:$V$267,MATCH('Feed intake'!E$1&amp;$A$1&amp;$A55,'Raw data'!$K$4:$K$267&amp;'Raw data'!$L$2&amp;'Raw data'!$L$4:$L$267,0))),"")</f>
        <v>0.83423076923076911</v>
      </c>
      <c r="F55" s="419">
        <f t="array" ref="F55">IFERROR(IF($F$1="","",INDEX('Raw data'!$V$4:$V$267,MATCH('Feed intake'!F$1&amp;$A$1&amp;$A55,'Raw data'!$K$4:$K$267&amp;'Raw data'!$L$2&amp;'Raw data'!$L$4:$L$267,0))),"")</f>
        <v>1.4395945945945947</v>
      </c>
      <c r="G55" s="442">
        <f t="array" ref="G55">IFERROR(IF($G$1="","",INDEX('Raw data'!$V$4:$V$267,MATCH('Feed intake'!G$1&amp;$A$1&amp;$A55,'Raw data'!$K$4:$K$267&amp;'Raw data'!$L$2&amp;'Raw data'!$L$4:$L$267,0))),"")</f>
        <v>1.3675675675675676</v>
      </c>
      <c r="H55" s="24"/>
    </row>
    <row r="56" spans="1:8" x14ac:dyDescent="0.25">
      <c r="A56" s="432">
        <f t="array" ref="A56">IFERROR(INDEX(Map!$V$2:$V$67,MATCH('Feed intake'!$B56&amp;'Feed intake'!$C56,Map!$W$2:$W$67&amp;Map!$X$2:$X$67,0)),"")</f>
        <v>18</v>
      </c>
      <c r="B56" s="24" t="str">
        <f>B54</f>
        <v>T5</v>
      </c>
      <c r="C56" s="216" t="s">
        <v>4</v>
      </c>
      <c r="D56" s="419">
        <f t="array" ref="D56">IFERROR(IF($D$1="","",INDEX('Raw data'!$V$4:$V$267,MATCH('Feed intake'!D$1&amp;$A$1&amp;$A56,'Raw data'!$K$4:$K$267&amp;'Raw data'!$L$2&amp;'Raw data'!$L$4:$L$267,0))),"")</f>
        <v>0.40249999999999997</v>
      </c>
      <c r="E56" s="419">
        <f t="array" ref="E56">IFERROR(IF($E$1="","",INDEX('Raw data'!$V$4:$V$267,MATCH('Feed intake'!E$1&amp;$A$1&amp;$A56,'Raw data'!$K$4:$K$267&amp;'Raw data'!$L$2&amp;'Raw data'!$L$4:$L$267,0))),"")</f>
        <v>0.82587499999999991</v>
      </c>
      <c r="F56" s="419">
        <f t="array" ref="F56">IFERROR(IF($F$1="","",INDEX('Raw data'!$V$4:$V$267,MATCH('Feed intake'!F$1&amp;$A$1&amp;$A56,'Raw data'!$K$4:$K$267&amp;'Raw data'!$L$2&amp;'Raw data'!$L$4:$L$267,0))),"")</f>
        <v>1.4116250000000001</v>
      </c>
      <c r="G56" s="442">
        <f t="array" ref="G56">IFERROR(IF($G$1="","",INDEX('Raw data'!$V$4:$V$267,MATCH('Feed intake'!G$1&amp;$A$1&amp;$A56,'Raw data'!$K$4:$K$267&amp;'Raw data'!$L$2&amp;'Raw data'!$L$4:$L$267,0))),"")</f>
        <v>1.4525641025641025</v>
      </c>
      <c r="H56" s="24"/>
    </row>
    <row r="57" spans="1:8" x14ac:dyDescent="0.25">
      <c r="A57" s="432">
        <f t="array" ref="A57">IFERROR(INDEX(Map!$V$2:$V$67,MATCH('Feed intake'!$B57&amp;'Feed intake'!$C57,Map!$W$2:$W$67&amp;Map!$X$2:$X$67,0)),"")</f>
        <v>28</v>
      </c>
      <c r="B57" s="24" t="str">
        <f>B54</f>
        <v>T5</v>
      </c>
      <c r="C57" s="216" t="s">
        <v>5</v>
      </c>
      <c r="D57" s="419">
        <f t="array" ref="D57">IFERROR(IF($D$1="","",INDEX('Raw data'!$V$4:$V$267,MATCH('Feed intake'!D$1&amp;$A$1&amp;$A57,'Raw data'!$K$4:$K$267&amp;'Raw data'!$L$2&amp;'Raw data'!$L$4:$L$267,0))),"")</f>
        <v>0.39374999999999999</v>
      </c>
      <c r="E57" s="419">
        <f t="array" ref="E57">IFERROR(IF($E$1="","",INDEX('Raw data'!$V$4:$V$267,MATCH('Feed intake'!E$1&amp;$A$1&amp;$A57,'Raw data'!$K$4:$K$267&amp;'Raw data'!$L$2&amp;'Raw data'!$L$4:$L$267,0))),"")</f>
        <v>0.84337499999999999</v>
      </c>
      <c r="F57" s="419">
        <f t="array" ref="F57">IFERROR(IF($F$1="","",INDEX('Raw data'!$V$4:$V$267,MATCH('Feed intake'!F$1&amp;$A$1&amp;$A57,'Raw data'!$K$4:$K$267&amp;'Raw data'!$L$2&amp;'Raw data'!$L$4:$L$267,0))),"")</f>
        <v>1.387875</v>
      </c>
      <c r="G57" s="442">
        <f t="array" ref="G57">IFERROR(IF($G$1="","",INDEX('Raw data'!$V$4:$V$267,MATCH('Feed intake'!G$1&amp;$A$1&amp;$A57,'Raw data'!$K$4:$K$267&amp;'Raw data'!$L$2&amp;'Raw data'!$L$4:$L$267,0))),"")</f>
        <v>1.3526315789473684</v>
      </c>
      <c r="H57" s="24"/>
    </row>
    <row r="58" spans="1:8" x14ac:dyDescent="0.25">
      <c r="A58" s="432">
        <f t="array" ref="A58">IFERROR(INDEX(Map!$V$2:$V$67,MATCH('Feed intake'!$B58&amp;'Feed intake'!$C58,Map!$W$2:$W$67&amp;Map!$X$2:$X$67,0)),"")</f>
        <v>35</v>
      </c>
      <c r="B58" s="24" t="str">
        <f>B54</f>
        <v>T5</v>
      </c>
      <c r="C58" s="216" t="s">
        <v>6</v>
      </c>
      <c r="D58" s="419">
        <f t="array" ref="D58">IFERROR(IF($D$1="","",INDEX('Raw data'!$V$4:$V$267,MATCH('Feed intake'!D$1&amp;$A$1&amp;$A58,'Raw data'!$K$4:$K$267&amp;'Raw data'!$L$2&amp;'Raw data'!$L$4:$L$267,0))),"")</f>
        <v>0.43108108108108112</v>
      </c>
      <c r="E58" s="419">
        <f t="array" ref="E58">IFERROR(IF($E$1="","",INDEX('Raw data'!$V$4:$V$267,MATCH('Feed intake'!E$1&amp;$A$1&amp;$A58,'Raw data'!$K$4:$K$267&amp;'Raw data'!$L$2&amp;'Raw data'!$L$4:$L$267,0))),"")</f>
        <v>0.86851351351351347</v>
      </c>
      <c r="F58" s="419">
        <f t="array" ref="F58">IFERROR(IF($F$1="","",INDEX('Raw data'!$V$4:$V$267,MATCH('Feed intake'!F$1&amp;$A$1&amp;$A58,'Raw data'!$K$4:$K$267&amp;'Raw data'!$L$2&amp;'Raw data'!$L$4:$L$267,0))),"")</f>
        <v>1.4287837837837838</v>
      </c>
      <c r="G58" s="442">
        <f t="array" ref="G58">IFERROR(IF($G$1="","",INDEX('Raw data'!$V$4:$V$267,MATCH('Feed intake'!G$1&amp;$A$1&amp;$A58,'Raw data'!$K$4:$K$267&amp;'Raw data'!$L$2&amp;'Raw data'!$L$4:$L$267,0))),"")</f>
        <v>1.3972972972972975</v>
      </c>
      <c r="H58" s="24"/>
    </row>
    <row r="59" spans="1:8" x14ac:dyDescent="0.25">
      <c r="A59" s="432">
        <f t="array" ref="A59">IFERROR(INDEX(Map!$V$2:$V$67,MATCH('Feed intake'!$B59&amp;'Feed intake'!$C59,Map!$W$2:$W$67&amp;Map!$X$2:$X$67,0)),"")</f>
        <v>42</v>
      </c>
      <c r="B59" s="24" t="str">
        <f>B54</f>
        <v>T5</v>
      </c>
      <c r="C59" s="216" t="s">
        <v>7</v>
      </c>
      <c r="D59" s="419">
        <f t="array" ref="D59">IFERROR(IF($D$1="","",INDEX('Raw data'!$V$4:$V$267,MATCH('Feed intake'!D$1&amp;$A$1&amp;$A59,'Raw data'!$K$4:$K$267&amp;'Raw data'!$L$2&amp;'Raw data'!$L$4:$L$267,0))),"")</f>
        <v>0.38589743589743591</v>
      </c>
      <c r="E59" s="419">
        <f t="array" ref="E59">IFERROR(IF($E$1="","",INDEX('Raw data'!$V$4:$V$267,MATCH('Feed intake'!E$1&amp;$A$1&amp;$A59,'Raw data'!$K$4:$K$267&amp;'Raw data'!$L$2&amp;'Raw data'!$L$4:$L$267,0))),"")</f>
        <v>0.83166666666666678</v>
      </c>
      <c r="F59" s="419">
        <f t="array" ref="F59">IFERROR(IF($F$1="","",INDEX('Raw data'!$V$4:$V$267,MATCH('Feed intake'!F$1&amp;$A$1&amp;$A59,'Raw data'!$K$4:$K$267&amp;'Raw data'!$L$2&amp;'Raw data'!$L$4:$L$267,0))),"")</f>
        <v>1.3952564102564102</v>
      </c>
      <c r="G59" s="442">
        <f t="array" ref="G59">IFERROR(IF($G$1="","",INDEX('Raw data'!$V$4:$V$267,MATCH('Feed intake'!G$1&amp;$A$1&amp;$A59,'Raw data'!$K$4:$K$267&amp;'Raw data'!$L$2&amp;'Raw data'!$L$4:$L$267,0))),"")</f>
        <v>1.3371794871794871</v>
      </c>
      <c r="H59" s="24"/>
    </row>
    <row r="60" spans="1:8" x14ac:dyDescent="0.25">
      <c r="A60" s="432">
        <f t="array" ref="A60">IFERROR(INDEX(Map!$V$2:$V$67,MATCH('Feed intake'!$B60&amp;'Feed intake'!$C60,Map!$W$2:$W$67&amp;Map!$X$2:$X$67,0)),"")</f>
        <v>49</v>
      </c>
      <c r="B60" s="24" t="str">
        <f>B54</f>
        <v>T5</v>
      </c>
      <c r="C60" s="216" t="s">
        <v>8</v>
      </c>
      <c r="D60" s="419">
        <f t="array" ref="D60">IFERROR(IF($D$1="","",INDEX('Raw data'!$V$4:$V$267,MATCH('Feed intake'!D$1&amp;$A$1&amp;$A60,'Raw data'!$K$4:$K$267&amp;'Raw data'!$L$2&amp;'Raw data'!$L$4:$L$267,0))),"")</f>
        <v>0.40769230769230763</v>
      </c>
      <c r="E60" s="419">
        <f t="array" ref="E60">IFERROR(IF($E$1="","",INDEX('Raw data'!$V$4:$V$267,MATCH('Feed intake'!E$1&amp;$A$1&amp;$A60,'Raw data'!$K$4:$K$267&amp;'Raw data'!$L$2&amp;'Raw data'!$L$4:$L$267,0))),"")</f>
        <v>0.841923076923077</v>
      </c>
      <c r="F60" s="419">
        <f t="array" ref="F60">IFERROR(IF($F$1="","",INDEX('Raw data'!$V$4:$V$267,MATCH('Feed intake'!F$1&amp;$A$1&amp;$A60,'Raw data'!$K$4:$K$267&amp;'Raw data'!$L$2&amp;'Raw data'!$L$4:$L$267,0))),"")</f>
        <v>1.4135526315789473</v>
      </c>
      <c r="G60" s="442">
        <f t="array" ref="G60">IFERROR(IF($G$1="","",INDEX('Raw data'!$V$4:$V$267,MATCH('Feed intake'!G$1&amp;$A$1&amp;$A60,'Raw data'!$K$4:$K$267&amp;'Raw data'!$L$2&amp;'Raw data'!$L$4:$L$267,0))),"")</f>
        <v>1.3736842105263158</v>
      </c>
      <c r="H60" s="24"/>
    </row>
    <row r="61" spans="1:8" x14ac:dyDescent="0.25">
      <c r="A61" s="432">
        <f t="array" ref="A61">IFERROR(INDEX(Map!$V$2:$V$67,MATCH('Feed intake'!$B61&amp;'Feed intake'!$C61,Map!$W$2:$W$67&amp;Map!$X$2:$X$67,0)),"")</f>
        <v>53</v>
      </c>
      <c r="B61" s="24" t="str">
        <f>B54</f>
        <v>T5</v>
      </c>
      <c r="C61" s="216" t="s">
        <v>9</v>
      </c>
      <c r="D61" s="419">
        <f t="array" ref="D61">IFERROR(IF($D$1="","",INDEX('Raw data'!$V$4:$V$267,MATCH('Feed intake'!D$1&amp;$A$1&amp;$A61,'Raw data'!$K$4:$K$267&amp;'Raw data'!$L$2&amp;'Raw data'!$L$4:$L$267,0))),"")</f>
        <v>0.40128205128205124</v>
      </c>
      <c r="E61" s="419">
        <f t="array" ref="E61">IFERROR(IF($E$1="","",INDEX('Raw data'!$V$4:$V$267,MATCH('Feed intake'!E$1&amp;$A$1&amp;$A61,'Raw data'!$K$4:$K$267&amp;'Raw data'!$L$2&amp;'Raw data'!$L$4:$L$267,0))),"")</f>
        <v>0.82910256410256411</v>
      </c>
      <c r="F61" s="419">
        <f t="array" ref="F61">IFERROR(IF($F$1="","",INDEX('Raw data'!$V$4:$V$267,MATCH('Feed intake'!F$1&amp;$A$1&amp;$A61,'Raw data'!$K$4:$K$267&amp;'Raw data'!$L$2&amp;'Raw data'!$L$4:$L$267,0))),"")</f>
        <v>1.3926923076923077</v>
      </c>
      <c r="G61" s="442">
        <f t="array" ref="G61">IFERROR(IF($G$1="","",INDEX('Raw data'!$V$4:$V$267,MATCH('Feed intake'!G$1&amp;$A$1&amp;$A61,'Raw data'!$K$4:$K$267&amp;'Raw data'!$L$2&amp;'Raw data'!$L$4:$L$267,0))),"")</f>
        <v>1.4217948717948719</v>
      </c>
      <c r="H61" s="24"/>
    </row>
    <row r="62" spans="1:8" s="417" customFormat="1" x14ac:dyDescent="0.25">
      <c r="A62" s="432">
        <f t="array" ref="A62">IFERROR(INDEX(Map!$V$2:$V$67,MATCH('Feed intake'!$B62&amp;'Feed intake'!$C62,Map!$W$2:$W$67&amp;Map!$X$2:$X$67,0)),"")</f>
        <v>60</v>
      </c>
      <c r="B62" s="418" t="str">
        <f>B54</f>
        <v>T5</v>
      </c>
      <c r="C62" s="436" t="s">
        <v>22</v>
      </c>
      <c r="D62" s="419">
        <f t="array" ref="D62">IFERROR(IF($D$1="","",INDEX('Raw data'!$V$4:$V$267,MATCH('Feed intake'!D$1&amp;$A$1&amp;$A62,'Raw data'!$K$4:$K$267&amp;'Raw data'!$L$2&amp;'Raw data'!$L$4:$L$267,0))),"")</f>
        <v>0.41</v>
      </c>
      <c r="E62" s="419">
        <f t="array" ref="E62">IFERROR(IF($E$1="","",INDEX('Raw data'!$V$4:$V$267,MATCH('Feed intake'!E$1&amp;$A$1&amp;$A62,'Raw data'!$K$4:$K$267&amp;'Raw data'!$L$2&amp;'Raw data'!$L$4:$L$267,0))),"")</f>
        <v>0.85987179487179477</v>
      </c>
      <c r="F62" s="419">
        <f t="array" ref="F62">IFERROR(IF($F$1="","",INDEX('Raw data'!$V$4:$V$267,MATCH('Feed intake'!F$1&amp;$A$1&amp;$A62,'Raw data'!$K$4:$K$267&amp;'Raw data'!$L$2&amp;'Raw data'!$L$4:$L$267,0))),"")</f>
        <v>1.3888461538461541</v>
      </c>
      <c r="G62" s="442">
        <f t="array" ref="G62">IFERROR(IF($G$1="","",INDEX('Raw data'!$V$4:$V$267,MATCH('Feed intake'!G$1&amp;$A$1&amp;$A62,'Raw data'!$K$4:$K$267&amp;'Raw data'!$L$2&amp;'Raw data'!$L$4:$L$267,0))),"")</f>
        <v>1.4381578947368421</v>
      </c>
      <c r="H62" s="418"/>
    </row>
    <row r="63" spans="1:8" s="417" customFormat="1" x14ac:dyDescent="0.25">
      <c r="A63" s="432">
        <f t="array" ref="A63">IFERROR(INDEX(Map!$V$2:$V$67,MATCH('Feed intake'!$B63&amp;'Feed intake'!$C63,Map!$W$2:$W$67&amp;Map!$X$2:$X$67,0)),"")</f>
        <v>23</v>
      </c>
      <c r="B63" s="418" t="str">
        <f>B54</f>
        <v>T5</v>
      </c>
      <c r="C63" s="436" t="s">
        <v>101</v>
      </c>
      <c r="D63" s="419">
        <f t="array" ref="D63">IFERROR(IF($D$1="","",INDEX('Raw data'!$V$4:$V$267,MATCH('Feed intake'!D$1&amp;$A$1&amp;$A63,'Raw data'!$K$4:$K$267&amp;'Raw data'!$L$2&amp;'Raw data'!$L$4:$L$267,0))),"")</f>
        <v>0.41025641025641024</v>
      </c>
      <c r="E63" s="419">
        <f t="array" ref="E63">IFERROR(IF($E$1="","",INDEX('Raw data'!$V$4:$V$267,MATCH('Feed intake'!E$1&amp;$A$1&amp;$A63,'Raw data'!$K$4:$K$267&amp;'Raw data'!$L$2&amp;'Raw data'!$L$4:$L$267,0))),"")</f>
        <v>0.81115384615384589</v>
      </c>
      <c r="F63" s="419">
        <f t="array" ref="F63">IFERROR(IF($F$1="","",INDEX('Raw data'!$V$4:$V$267,MATCH('Feed intake'!F$1&amp;$A$1&amp;$A63,'Raw data'!$K$4:$K$267&amp;'Raw data'!$L$2&amp;'Raw data'!$L$4:$L$267,0))),"")</f>
        <v>1.4003846153846156</v>
      </c>
      <c r="G63" s="442">
        <f t="array" ref="G63">IFERROR(IF($G$1="","",INDEX('Raw data'!$V$4:$V$267,MATCH('Feed intake'!G$1&amp;$A$1&amp;$A63,'Raw data'!$K$4:$K$267&amp;'Raw data'!$L$2&amp;'Raw data'!$L$4:$L$267,0))),"")</f>
        <v>1.358974358974359</v>
      </c>
      <c r="H63" s="418"/>
    </row>
    <row r="64" spans="1:8" s="417" customFormat="1" x14ac:dyDescent="0.25">
      <c r="A64" s="446">
        <f t="array" ref="A64">IFERROR(INDEX(Map!$V$2:$V$67,MATCH('Feed intake'!$B64&amp;'Feed intake'!$C64,Map!$W$2:$W$67&amp;Map!$X$2:$X$67,0)),"")</f>
        <v>22</v>
      </c>
      <c r="B64" s="418" t="str">
        <f>B54</f>
        <v>T5</v>
      </c>
      <c r="C64" s="436" t="s">
        <v>102</v>
      </c>
      <c r="D64" s="435">
        <f t="array" ref="D64">IFERROR(IF($D$1="","",INDEX('Raw data'!$V$4:$V$267,MATCH('Feed intake'!D$1&amp;$A$1&amp;$A64,'Raw data'!$K$4:$K$267&amp;'Raw data'!$L$2&amp;'Raw data'!$L$4:$L$267,0))),"")</f>
        <v>0.39</v>
      </c>
      <c r="E64" s="435">
        <f t="array" ref="E64">IFERROR(IF($E$1="","",INDEX('Raw data'!$V$4:$V$267,MATCH('Feed intake'!E$1&amp;$A$1&amp;$A64,'Raw data'!$K$4:$K$267&amp;'Raw data'!$L$2&amp;'Raw data'!$L$4:$L$267,0))),"")</f>
        <v>0.73212499999999991</v>
      </c>
      <c r="F64" s="435">
        <f t="array" ref="F64">IFERROR(IF($F$1="","",INDEX('Raw data'!$V$4:$V$267,MATCH('Feed intake'!F$1&amp;$A$1&amp;$A64,'Raw data'!$K$4:$K$267&amp;'Raw data'!$L$2&amp;'Raw data'!$L$4:$L$267,0))),"")</f>
        <v>1.3055128205128206</v>
      </c>
      <c r="G64" s="443">
        <f t="array" ref="G64">IFERROR(IF($G$1="","",INDEX('Raw data'!$V$4:$V$267,MATCH('Feed intake'!G$1&amp;$A$1&amp;$A64,'Raw data'!$K$4:$K$267&amp;'Raw data'!$L$2&amp;'Raw data'!$L$4:$L$267,0))),"")</f>
        <v>1.3671052631578946</v>
      </c>
      <c r="H64" s="418"/>
    </row>
    <row r="65" spans="1:8" s="417" customFormat="1" x14ac:dyDescent="0.25">
      <c r="A65" s="432"/>
      <c r="B65" s="565" t="s">
        <v>82</v>
      </c>
      <c r="C65" s="566"/>
      <c r="D65" s="437" t="str">
        <f>IF($D$1="","",(ROUND(AVERAGE(D54:D64),3)&amp;" ± "&amp;(ROUND(STDEV(D54:D64),3))))</f>
        <v>0,405 ± 0,012</v>
      </c>
      <c r="E65" s="437" t="str">
        <f>IF($E$1="","",(ROUND(AVERAGE(E54:E64),3)&amp;" ± "&amp;(ROUND(STDEV(E54:E64),3))))</f>
        <v>0,831 ± 0,037</v>
      </c>
      <c r="F65" s="437" t="str">
        <f>IF($F$1="","",(ROUND(AVERAGE(F54:F64),3)&amp;" ± "&amp;(ROUND(STDEV(F54:F64),3))))</f>
        <v>1,398 ± 0,035</v>
      </c>
      <c r="G65" s="444" t="str">
        <f>IF($G$1="","",(ROUND(AVERAGE(G54:G64),3)&amp;" ± "&amp;(ROUND(STDEV(G54:G64),3))))</f>
        <v>1,392 ± 0,041</v>
      </c>
      <c r="H65" s="418"/>
    </row>
    <row r="66" spans="1:8" s="417" customFormat="1" ht="15.75" thickBot="1" x14ac:dyDescent="0.3">
      <c r="A66" s="433"/>
      <c r="B66" s="567" t="s">
        <v>83</v>
      </c>
      <c r="C66" s="568"/>
      <c r="D66" s="438">
        <f>IF($D$1="","",STDEV(D54:D64)/(AVERAGE(D54:D64)))</f>
        <v>3.0773119163869305E-2</v>
      </c>
      <c r="E66" s="438">
        <f>IF($E$1="","",STDEV(E54:E64)/(AVERAGE(E54:E64)))</f>
        <v>4.4272638073542918E-2</v>
      </c>
      <c r="F66" s="438">
        <f>IF($F$1="","",STDEV(F54:F64)/(AVERAGE(F54:F64)))</f>
        <v>2.4935447271940796E-2</v>
      </c>
      <c r="G66" s="445">
        <f>IF($G$1="","",STDEV(G54:G64)/(AVERAGE(G54:G64)))</f>
        <v>2.9574725981247049E-2</v>
      </c>
      <c r="H66" s="418"/>
    </row>
    <row r="67" spans="1:8" x14ac:dyDescent="0.25">
      <c r="A67" s="431">
        <f t="array" ref="A67">IFERROR(INDEX(Map!$V$2:$V$67,MATCH('Feed intake'!$B67&amp;'Feed intake'!$C67,Map!$W$2:$W$67&amp;Map!$X$2:$X$67,0)),"")</f>
        <v>5</v>
      </c>
      <c r="B67" s="41" t="s">
        <v>16</v>
      </c>
      <c r="C67" s="219" t="s">
        <v>2</v>
      </c>
      <c r="D67" s="440">
        <f t="array" ref="D67">IFERROR(IF($D$1="","",INDEX('Raw data'!$V$4:$V$267,MATCH('Feed intake'!D$1&amp;$A$1&amp;$A67,'Raw data'!$K$4:$K$267&amp;'Raw data'!$L$2&amp;'Raw data'!$L$4:$L$267,0))),"")</f>
        <v>0.39625000000000005</v>
      </c>
      <c r="E67" s="440">
        <f t="array" ref="E67">IFERROR(IF($E$1="","",INDEX('Raw data'!$V$4:$V$267,MATCH('Feed intake'!E$1&amp;$A$1&amp;$A67,'Raw data'!$K$4:$K$267&amp;'Raw data'!$L$2&amp;'Raw data'!$L$4:$L$267,0))),"")</f>
        <v>0.84462499999999996</v>
      </c>
      <c r="F67" s="440">
        <f t="array" ref="F67">IFERROR(IF($F$1="","",INDEX('Raw data'!$V$4:$V$267,MATCH('Feed intake'!F$1&amp;$A$1&amp;$A67,'Raw data'!$K$4:$K$267&amp;'Raw data'!$L$2&amp;'Raw data'!$L$4:$L$267,0))),"")</f>
        <v>1.4093589743589745</v>
      </c>
      <c r="G67" s="441">
        <f t="array" ref="G67">IFERROR(IF($G$1="","",INDEX('Raw data'!$V$4:$V$267,MATCH('Feed intake'!G$1&amp;$A$1&amp;$A67,'Raw data'!$K$4:$K$267&amp;'Raw data'!$L$2&amp;'Raw data'!$L$4:$L$267,0))),"")</f>
        <v>1.4666666666666668</v>
      </c>
      <c r="H67" s="24"/>
    </row>
    <row r="68" spans="1:8" x14ac:dyDescent="0.25">
      <c r="A68" s="432">
        <f t="array" ref="A68">IFERROR(INDEX(Map!$V$2:$V$67,MATCH('Feed intake'!$B68&amp;'Feed intake'!$C68,Map!$W$2:$W$67&amp;Map!$X$2:$X$67,0)),"")</f>
        <v>10</v>
      </c>
      <c r="B68" s="24" t="str">
        <f>B67</f>
        <v>T6</v>
      </c>
      <c r="C68" s="216" t="s">
        <v>3</v>
      </c>
      <c r="D68" s="419">
        <f t="array" ref="D68">IFERROR(IF($D$1="","",INDEX('Raw data'!$V$4:$V$267,MATCH('Feed intake'!D$1&amp;$A$1&amp;$A68,'Raw data'!$K$4:$K$267&amp;'Raw data'!$L$2&amp;'Raw data'!$L$4:$L$267,0))),"")</f>
        <v>0.43947368421052641</v>
      </c>
      <c r="E68" s="419">
        <f t="array" ref="E68">IFERROR(IF($E$1="","",INDEX('Raw data'!$V$4:$V$267,MATCH('Feed intake'!E$1&amp;$A$1&amp;$A68,'Raw data'!$K$4:$K$267&amp;'Raw data'!$L$2&amp;'Raw data'!$L$4:$L$267,0))),"")</f>
        <v>0.92723684210526314</v>
      </c>
      <c r="F68" s="419">
        <f t="array" ref="F68">IFERROR(IF($F$1="","",INDEX('Raw data'!$V$4:$V$267,MATCH('Feed intake'!F$1&amp;$A$1&amp;$A68,'Raw data'!$K$4:$K$267&amp;'Raw data'!$L$2&amp;'Raw data'!$L$4:$L$267,0))),"")</f>
        <v>1.576081081081081</v>
      </c>
      <c r="G68" s="442">
        <f t="array" ref="G68">IFERROR(IF($G$1="","",INDEX('Raw data'!$V$4:$V$267,MATCH('Feed intake'!G$1&amp;$A$1&amp;$A68,'Raw data'!$K$4:$K$267&amp;'Raw data'!$L$2&amp;'Raw data'!$L$4:$L$267,0))),"")</f>
        <v>1.5472222222222223</v>
      </c>
      <c r="H68" s="24"/>
    </row>
    <row r="69" spans="1:8" x14ac:dyDescent="0.25">
      <c r="A69" s="432">
        <f t="array" ref="A69">IFERROR(INDEX(Map!$V$2:$V$67,MATCH('Feed intake'!$B69&amp;'Feed intake'!$C69,Map!$W$2:$W$67&amp;Map!$X$2:$X$67,0)),"")</f>
        <v>17</v>
      </c>
      <c r="B69" s="24" t="str">
        <f>B67</f>
        <v>T6</v>
      </c>
      <c r="C69" s="216" t="s">
        <v>4</v>
      </c>
      <c r="D69" s="419">
        <f t="array" ref="D69">IFERROR(IF($D$1="","",INDEX('Raw data'!$V$4:$V$267,MATCH('Feed intake'!D$1&amp;$A$1&amp;$A69,'Raw data'!$K$4:$K$267&amp;'Raw data'!$L$2&amp;'Raw data'!$L$4:$L$267,0))),"")</f>
        <v>0.4</v>
      </c>
      <c r="E69" s="419">
        <f t="array" ref="E69">IFERROR(IF($E$1="","",INDEX('Raw data'!$V$4:$V$267,MATCH('Feed intake'!E$1&amp;$A$1&amp;$A69,'Raw data'!$K$4:$K$267&amp;'Raw data'!$L$2&amp;'Raw data'!$L$4:$L$267,0))),"")</f>
        <v>0.78962500000000024</v>
      </c>
      <c r="F69" s="419">
        <f t="array" ref="F69">IFERROR(IF($F$1="","",INDEX('Raw data'!$V$4:$V$267,MATCH('Feed intake'!F$1&amp;$A$1&amp;$A69,'Raw data'!$K$4:$K$267&amp;'Raw data'!$L$2&amp;'Raw data'!$L$4:$L$267,0))),"")</f>
        <v>1.3632051282051281</v>
      </c>
      <c r="G69" s="442">
        <f t="array" ref="G69">IFERROR(IF($G$1="","",INDEX('Raw data'!$V$4:$V$267,MATCH('Feed intake'!G$1&amp;$A$1&amp;$A69,'Raw data'!$K$4:$K$267&amp;'Raw data'!$L$2&amp;'Raw data'!$L$4:$L$267,0))),"")</f>
        <v>1.3974358974358974</v>
      </c>
      <c r="H69" s="24"/>
    </row>
    <row r="70" spans="1:8" x14ac:dyDescent="0.25">
      <c r="A70" s="432">
        <f t="array" ref="A70">IFERROR(INDEX(Map!$V$2:$V$67,MATCH('Feed intake'!$B70&amp;'Feed intake'!$C70,Map!$W$2:$W$67&amp;Map!$X$2:$X$67,0)),"")</f>
        <v>29</v>
      </c>
      <c r="B70" s="24" t="str">
        <f>B67</f>
        <v>T6</v>
      </c>
      <c r="C70" s="216" t="s">
        <v>5</v>
      </c>
      <c r="D70" s="419">
        <f t="array" ref="D70">IFERROR(IF($D$1="","",INDEX('Raw data'!$V$4:$V$267,MATCH('Feed intake'!D$1&amp;$A$1&amp;$A70,'Raw data'!$K$4:$K$267&amp;'Raw data'!$L$2&amp;'Raw data'!$L$4:$L$267,0))),"")</f>
        <v>0.38750000000000001</v>
      </c>
      <c r="E70" s="419">
        <f t="array" ref="E70">IFERROR(IF($E$1="","",INDEX('Raw data'!$V$4:$V$267,MATCH('Feed intake'!E$1&amp;$A$1&amp;$A70,'Raw data'!$K$4:$K$267&amp;'Raw data'!$L$2&amp;'Raw data'!$L$4:$L$267,0))),"")</f>
        <v>0.84087499999999993</v>
      </c>
      <c r="F70" s="419">
        <f t="array" ref="F70">IFERROR(IF($F$1="","",INDEX('Raw data'!$V$4:$V$267,MATCH('Feed intake'!F$1&amp;$A$1&amp;$A70,'Raw data'!$K$4:$K$267&amp;'Raw data'!$L$2&amp;'Raw data'!$L$4:$L$267,0))),"")</f>
        <v>1.4188157894736844</v>
      </c>
      <c r="G70" s="442">
        <f t="array" ref="G70">IFERROR(IF($G$1="","",INDEX('Raw data'!$V$4:$V$267,MATCH('Feed intake'!G$1&amp;$A$1&amp;$A70,'Raw data'!$K$4:$K$267&amp;'Raw data'!$L$2&amp;'Raw data'!$L$4:$L$267,0))),"")</f>
        <v>1.3648648648648649</v>
      </c>
      <c r="H70" s="24"/>
    </row>
    <row r="71" spans="1:8" x14ac:dyDescent="0.25">
      <c r="A71" s="432">
        <f t="array" ref="A71">IFERROR(INDEX(Map!$V$2:$V$67,MATCH('Feed intake'!$B71&amp;'Feed intake'!$C71,Map!$W$2:$W$67&amp;Map!$X$2:$X$67,0)),"")</f>
        <v>32</v>
      </c>
      <c r="B71" s="24" t="str">
        <f>B67</f>
        <v>T6</v>
      </c>
      <c r="C71" s="216" t="s">
        <v>6</v>
      </c>
      <c r="D71" s="419">
        <f t="array" ref="D71">IFERROR(IF($D$1="","",INDEX('Raw data'!$V$4:$V$267,MATCH('Feed intake'!D$1&amp;$A$1&amp;$A71,'Raw data'!$K$4:$K$267&amp;'Raw data'!$L$2&amp;'Raw data'!$L$4:$L$267,0))),"")</f>
        <v>0.375</v>
      </c>
      <c r="E71" s="419">
        <f t="array" ref="E71">IFERROR(IF($E$1="","",INDEX('Raw data'!$V$4:$V$267,MATCH('Feed intake'!E$1&amp;$A$1&amp;$A71,'Raw data'!$K$4:$K$267&amp;'Raw data'!$L$2&amp;'Raw data'!$L$4:$L$267,0))),"")</f>
        <v>0.80337499999999995</v>
      </c>
      <c r="F71" s="419">
        <f t="array" ref="F71">IFERROR(IF($F$1="","",INDEX('Raw data'!$V$4:$V$267,MATCH('Feed intake'!F$1&amp;$A$1&amp;$A71,'Raw data'!$K$4:$K$267&amp;'Raw data'!$L$2&amp;'Raw data'!$L$4:$L$267,0))),"")</f>
        <v>1.3542307692307691</v>
      </c>
      <c r="G71" s="442">
        <f t="array" ref="G71">IFERROR(IF($G$1="","",INDEX('Raw data'!$V$4:$V$267,MATCH('Feed intake'!G$1&amp;$A$1&amp;$A71,'Raw data'!$K$4:$K$267&amp;'Raw data'!$L$2&amp;'Raw data'!$L$4:$L$267,0))),"")</f>
        <v>1.3736842105263158</v>
      </c>
      <c r="H71" s="24"/>
    </row>
    <row r="72" spans="1:8" x14ac:dyDescent="0.25">
      <c r="A72" s="432">
        <f t="array" ref="A72">IFERROR(INDEX(Map!$V$2:$V$67,MATCH('Feed intake'!$B72&amp;'Feed intake'!$C72,Map!$W$2:$W$67&amp;Map!$X$2:$X$67,0)),"")</f>
        <v>38</v>
      </c>
      <c r="B72" s="24" t="str">
        <f>B67</f>
        <v>T6</v>
      </c>
      <c r="C72" s="216" t="s">
        <v>7</v>
      </c>
      <c r="D72" s="419">
        <f t="array" ref="D72">IFERROR(IF($D$1="","",INDEX('Raw data'!$V$4:$V$267,MATCH('Feed intake'!D$1&amp;$A$1&amp;$A72,'Raw data'!$K$4:$K$267&amp;'Raw data'!$L$2&amp;'Raw data'!$L$4:$L$267,0))),"")</f>
        <v>0.37</v>
      </c>
      <c r="E72" s="419">
        <f t="array" ref="E72">IFERROR(IF($E$1="","",INDEX('Raw data'!$V$4:$V$267,MATCH('Feed intake'!E$1&amp;$A$1&amp;$A72,'Raw data'!$K$4:$K$267&amp;'Raw data'!$L$2&amp;'Raw data'!$L$4:$L$267,0))),"")</f>
        <v>0.8355128205128205</v>
      </c>
      <c r="F72" s="419">
        <f t="array" ref="F72">IFERROR(IF($F$1="","",INDEX('Raw data'!$V$4:$V$267,MATCH('Feed intake'!F$1&amp;$A$1&amp;$A72,'Raw data'!$K$4:$K$267&amp;'Raw data'!$L$2&amp;'Raw data'!$L$4:$L$267,0))),"")</f>
        <v>1.3753947368421053</v>
      </c>
      <c r="G72" s="442">
        <f t="array" ref="G72">IFERROR(IF($G$1="","",INDEX('Raw data'!$V$4:$V$267,MATCH('Feed intake'!G$1&amp;$A$1&amp;$A72,'Raw data'!$K$4:$K$267&amp;'Raw data'!$L$2&amp;'Raw data'!$L$4:$L$267,0))),"")</f>
        <v>1.4513513513513514</v>
      </c>
      <c r="H72" s="24"/>
    </row>
    <row r="73" spans="1:8" x14ac:dyDescent="0.25">
      <c r="A73" s="432">
        <f t="array" ref="A73">IFERROR(INDEX(Map!$V$2:$V$67,MATCH('Feed intake'!$B73&amp;'Feed intake'!$C73,Map!$W$2:$W$67&amp;Map!$X$2:$X$67,0)),"")</f>
        <v>47</v>
      </c>
      <c r="B73" s="24" t="str">
        <f>B67</f>
        <v>T6</v>
      </c>
      <c r="C73" s="216" t="s">
        <v>8</v>
      </c>
      <c r="D73" s="419">
        <f t="array" ref="D73">IFERROR(IF($D$1="","",INDEX('Raw data'!$V$4:$V$267,MATCH('Feed intake'!D$1&amp;$A$1&amp;$A73,'Raw data'!$K$4:$K$267&amp;'Raw data'!$L$2&amp;'Raw data'!$L$4:$L$267,0))),"")</f>
        <v>0.38750000000000001</v>
      </c>
      <c r="E73" s="419">
        <f t="array" ref="E73">IFERROR(IF($E$1="","",INDEX('Raw data'!$V$4:$V$267,MATCH('Feed intake'!E$1&amp;$A$1&amp;$A73,'Raw data'!$K$4:$K$267&amp;'Raw data'!$L$2&amp;'Raw data'!$L$4:$L$267,0))),"")</f>
        <v>0.79962500000000003</v>
      </c>
      <c r="F73" s="419">
        <f t="array" ref="F73">IFERROR(IF($F$1="","",INDEX('Raw data'!$V$4:$V$267,MATCH('Feed intake'!F$1&amp;$A$1&amp;$A73,'Raw data'!$K$4:$K$267&amp;'Raw data'!$L$2&amp;'Raw data'!$L$4:$L$267,0))),"")</f>
        <v>1.3914102564102564</v>
      </c>
      <c r="G73" s="442">
        <f t="array" ref="G73">IFERROR(IF($G$1="","",INDEX('Raw data'!$V$4:$V$267,MATCH('Feed intake'!G$1&amp;$A$1&amp;$A73,'Raw data'!$K$4:$K$267&amp;'Raw data'!$L$2&amp;'Raw data'!$L$4:$L$267,0))),"")</f>
        <v>1.375</v>
      </c>
      <c r="H73" s="24"/>
    </row>
    <row r="74" spans="1:8" x14ac:dyDescent="0.25">
      <c r="A74" s="432">
        <f t="array" ref="A74">IFERROR(INDEX(Map!$V$2:$V$67,MATCH('Feed intake'!$B74&amp;'Feed intake'!$C74,Map!$W$2:$W$67&amp;Map!$X$2:$X$67,0)),"")</f>
        <v>55</v>
      </c>
      <c r="B74" s="24" t="str">
        <f>B67</f>
        <v>T6</v>
      </c>
      <c r="C74" s="216" t="s">
        <v>9</v>
      </c>
      <c r="D74" s="419">
        <f t="array" ref="D74">IFERROR(IF($D$1="","",INDEX('Raw data'!$V$4:$V$267,MATCH('Feed intake'!D$1&amp;$A$1&amp;$A74,'Raw data'!$K$4:$K$267&amp;'Raw data'!$L$2&amp;'Raw data'!$L$4:$L$267,0))),"")</f>
        <v>0.41000000000000003</v>
      </c>
      <c r="E74" s="419">
        <f t="array" ref="E74">IFERROR(IF($E$1="","",INDEX('Raw data'!$V$4:$V$267,MATCH('Feed intake'!E$1&amp;$A$1&amp;$A74,'Raw data'!$K$4:$K$267&amp;'Raw data'!$L$2&amp;'Raw data'!$L$4:$L$267,0))),"")</f>
        <v>0.85987179487179477</v>
      </c>
      <c r="F74" s="419">
        <f t="array" ref="F74">IFERROR(IF($F$1="","",INDEX('Raw data'!$V$4:$V$267,MATCH('Feed intake'!F$1&amp;$A$1&amp;$A74,'Raw data'!$K$4:$K$267&amp;'Raw data'!$L$2&amp;'Raw data'!$L$4:$L$267,0))),"")</f>
        <v>1.3832894736842107</v>
      </c>
      <c r="G74" s="442">
        <f t="array" ref="G74">IFERROR(IF($G$1="","",INDEX('Raw data'!$V$4:$V$267,MATCH('Feed intake'!G$1&amp;$A$1&amp;$A74,'Raw data'!$K$4:$K$267&amp;'Raw data'!$L$2&amp;'Raw data'!$L$4:$L$267,0))),"")</f>
        <v>1.4081081081081082</v>
      </c>
      <c r="H74" s="24"/>
    </row>
    <row r="75" spans="1:8" s="417" customFormat="1" x14ac:dyDescent="0.25">
      <c r="A75" s="432">
        <f t="array" ref="A75">IFERROR(INDEX(Map!$V$2:$V$67,MATCH('Feed intake'!$B75&amp;'Feed intake'!$C75,Map!$W$2:$W$67&amp;Map!$X$2:$X$67,0)),"")</f>
        <v>62</v>
      </c>
      <c r="B75" s="418" t="str">
        <f>B67</f>
        <v>T6</v>
      </c>
      <c r="C75" s="436" t="s">
        <v>22</v>
      </c>
      <c r="D75" s="419">
        <f t="array" ref="D75">IFERROR(IF($D$1="","",INDEX('Raw data'!$V$4:$V$267,MATCH('Feed intake'!D$1&amp;$A$1&amp;$A75,'Raw data'!$K$4:$K$267&amp;'Raw data'!$L$2&amp;'Raw data'!$L$4:$L$267,0))),"")</f>
        <v>0.38</v>
      </c>
      <c r="E75" s="419">
        <f t="array" ref="E75">IFERROR(IF($E$1="","",INDEX('Raw data'!$V$4:$V$267,MATCH('Feed intake'!E$1&amp;$A$1&amp;$A75,'Raw data'!$K$4:$K$267&amp;'Raw data'!$L$2&amp;'Raw data'!$L$4:$L$267,0))),"")</f>
        <v>0.8588157894736842</v>
      </c>
      <c r="F75" s="419">
        <f t="array" ref="F75">IFERROR(IF($F$1="","",INDEX('Raw data'!$V$4:$V$267,MATCH('Feed intake'!F$1&amp;$A$1&amp;$A75,'Raw data'!$K$4:$K$267&amp;'Raw data'!$L$2&amp;'Raw data'!$L$4:$L$267,0))),"")</f>
        <v>1.4058108108108107</v>
      </c>
      <c r="G75" s="442">
        <f t="array" ref="G75">IFERROR(IF($G$1="","",INDEX('Raw data'!$V$4:$V$267,MATCH('Feed intake'!G$1&amp;$A$1&amp;$A75,'Raw data'!$K$4:$K$267&amp;'Raw data'!$L$2&amp;'Raw data'!$L$4:$L$267,0))),"")</f>
        <v>1.4594594594594594</v>
      </c>
      <c r="H75" s="418"/>
    </row>
    <row r="76" spans="1:8" s="417" customFormat="1" x14ac:dyDescent="0.25">
      <c r="A76" s="432">
        <f t="array" ref="A76">IFERROR(INDEX(Map!$V$2:$V$67,MATCH('Feed intake'!$B76&amp;'Feed intake'!$C76,Map!$W$2:$W$67&amp;Map!$X$2:$X$67,0)),"")</f>
        <v>1</v>
      </c>
      <c r="B76" s="418" t="str">
        <f>B67</f>
        <v>T6</v>
      </c>
      <c r="C76" s="436" t="s">
        <v>101</v>
      </c>
      <c r="D76" s="419">
        <f t="array" ref="D76">IFERROR(IF($D$1="","",INDEX('Raw data'!$V$4:$V$267,MATCH('Feed intake'!D$1&amp;$A$1&amp;$A76,'Raw data'!$K$4:$K$267&amp;'Raw data'!$L$2&amp;'Raw data'!$L$4:$L$267,0))),"")</f>
        <v>0.39750000000000008</v>
      </c>
      <c r="E76" s="419">
        <f t="array" ref="E76">IFERROR(IF($E$1="","",INDEX('Raw data'!$V$4:$V$267,MATCH('Feed intake'!E$1&amp;$A$1&amp;$A76,'Raw data'!$K$4:$K$267&amp;'Raw data'!$L$2&amp;'Raw data'!$L$4:$L$267,0))),"")</f>
        <v>0.82212499999999999</v>
      </c>
      <c r="F76" s="419">
        <f t="array" ref="F76">IFERROR(IF($F$1="","",INDEX('Raw data'!$V$4:$V$267,MATCH('Feed intake'!F$1&amp;$A$1&amp;$A76,'Raw data'!$K$4:$K$267&amp;'Raw data'!$L$2&amp;'Raw data'!$L$4:$L$267,0))),"")</f>
        <v>1.3811538461538462</v>
      </c>
      <c r="G76" s="442">
        <f t="array" ref="G76">IFERROR(IF($G$1="","",INDEX('Raw data'!$V$4:$V$267,MATCH('Feed intake'!G$1&amp;$A$1&amp;$A76,'Raw data'!$K$4:$K$267&amp;'Raw data'!$L$2&amp;'Raw data'!$L$4:$L$267,0))),"")</f>
        <v>1.4230769230769231</v>
      </c>
      <c r="H76" s="418"/>
    </row>
    <row r="77" spans="1:8" s="417" customFormat="1" x14ac:dyDescent="0.25">
      <c r="A77" s="446">
        <f t="array" ref="A77">IFERROR(INDEX(Map!$V$2:$V$67,MATCH('Feed intake'!$B77&amp;'Feed intake'!$C77,Map!$W$2:$W$67&amp;Map!$X$2:$X$67,0)),"")</f>
        <v>43</v>
      </c>
      <c r="B77" s="418" t="str">
        <f>B67</f>
        <v>T6</v>
      </c>
      <c r="C77" s="436" t="s">
        <v>102</v>
      </c>
      <c r="D77" s="435">
        <f t="array" ref="D77">IFERROR(IF($D$1="","",INDEX('Raw data'!$V$4:$V$267,MATCH('Feed intake'!D$1&amp;$A$1&amp;$A77,'Raw data'!$K$4:$K$267&amp;'Raw data'!$L$2&amp;'Raw data'!$L$4:$L$267,0))),"")</f>
        <v>0.41447368421052627</v>
      </c>
      <c r="E77" s="435">
        <f t="array" ref="E77">IFERROR(IF($E$1="","",INDEX('Raw data'!$V$4:$V$267,MATCH('Feed intake'!E$1&amp;$A$1&amp;$A77,'Raw data'!$K$4:$K$267&amp;'Raw data'!$L$2&amp;'Raw data'!$L$4:$L$267,0))),"")</f>
        <v>0.84434210526315778</v>
      </c>
      <c r="F77" s="435">
        <f t="array" ref="F77">IFERROR(IF($F$1="","",INDEX('Raw data'!$V$4:$V$267,MATCH('Feed intake'!F$1&amp;$A$1&amp;$A77,'Raw data'!$K$4:$K$267&amp;'Raw data'!$L$2&amp;'Raw data'!$L$4:$L$267,0))),"")</f>
        <v>1.4341891891891894</v>
      </c>
      <c r="G77" s="443">
        <f t="array" ref="G77">IFERROR(IF($G$1="","",INDEX('Raw data'!$V$4:$V$267,MATCH('Feed intake'!G$1&amp;$A$1&amp;$A77,'Raw data'!$K$4:$K$267&amp;'Raw data'!$L$2&amp;'Raw data'!$L$4:$L$267,0))),"")</f>
        <v>1.3972972972972972</v>
      </c>
      <c r="H77" s="418"/>
    </row>
    <row r="78" spans="1:8" s="417" customFormat="1" x14ac:dyDescent="0.25">
      <c r="A78" s="432"/>
      <c r="B78" s="565" t="s">
        <v>82</v>
      </c>
      <c r="C78" s="566"/>
      <c r="D78" s="437" t="str">
        <f>IF($D$1="","",(ROUND(AVERAGE(D67:D77),3)&amp;" ± "&amp;(ROUND(STDEV(D67:D77),3))))</f>
        <v>0,396 ± 0,02</v>
      </c>
      <c r="E78" s="437" t="str">
        <f>IF($E$1="","",(ROUND(AVERAGE(E67:E77),3)&amp;" ± "&amp;(ROUND(STDEV(E67:E77),3))))</f>
        <v>0,839 ± 0,038</v>
      </c>
      <c r="F78" s="437" t="str">
        <f>IF($F$1="","",(ROUND(AVERAGE(F67:F77),3)&amp;" ± "&amp;(ROUND(STDEV(F67:F77),3))))</f>
        <v>1,408 ± 0,061</v>
      </c>
      <c r="G78" s="444" t="str">
        <f>IF($G$1="","",(ROUND(AVERAGE(G67:G77),3)&amp;" ± "&amp;(ROUND(STDEV(G67:G77),3))))</f>
        <v>1,424 ± 0,054</v>
      </c>
      <c r="H78" s="418"/>
    </row>
    <row r="79" spans="1:8" s="417" customFormat="1" ht="15.75" thickBot="1" x14ac:dyDescent="0.3">
      <c r="A79" s="433"/>
      <c r="B79" s="567" t="s">
        <v>83</v>
      </c>
      <c r="C79" s="568"/>
      <c r="D79" s="438">
        <f>IF($D$1="","",STDEV(D67:D77)/(AVERAGE(D67:D77)))</f>
        <v>5.0250001960671711E-2</v>
      </c>
      <c r="E79" s="438">
        <f>IF($E$1="","",STDEV(E67:E77)/(AVERAGE(E67:E77)))</f>
        <v>4.497796467663602E-2</v>
      </c>
      <c r="F79" s="438">
        <f>IF($F$1="","",STDEV(F67:F77)/(AVERAGE(F67:F77)))</f>
        <v>4.2968768729011994E-2</v>
      </c>
      <c r="G79" s="445">
        <f>IF($G$1="","",STDEV(G67:G77)/(AVERAGE(G67:G77)))</f>
        <v>3.788930448102211E-2</v>
      </c>
      <c r="H79" s="418"/>
    </row>
    <row r="80" spans="1:8" hidden="1" x14ac:dyDescent="0.25">
      <c r="A80" s="431" t="str">
        <f t="array" ref="A80">IFERROR(INDEX(Map!$V$2:$V$67,MATCH('Feed intake'!$B80&amp;'Feed intake'!$C80,Map!$W$2:$W$67&amp;Map!$X$2:$X$67,0)),"")</f>
        <v/>
      </c>
      <c r="B80" s="41" t="s">
        <v>15</v>
      </c>
      <c r="C80" s="219" t="s">
        <v>2</v>
      </c>
      <c r="D80" s="440" t="str">
        <f t="array" ref="D80">IFERROR(IF($D$1="","",INDEX('Raw data'!$V$4:$V$267,MATCH('Feed intake'!D$1&amp;$A$1&amp;$A80,'Raw data'!$K$4:$K$267&amp;'Raw data'!$L$2&amp;'Raw data'!$L$4:$L$267,0))),"")</f>
        <v/>
      </c>
      <c r="E80" s="440" t="str">
        <f t="array" ref="E80">IFERROR(IF($E$1="","",INDEX('Raw data'!$V$4:$V$267,MATCH('Feed intake'!E$1&amp;$A$1&amp;$A80,'Raw data'!$K$4:$K$267&amp;'Raw data'!$L$2&amp;'Raw data'!$L$4:$L$267,0))),"")</f>
        <v/>
      </c>
      <c r="F80" s="440" t="str">
        <f t="array" ref="F80">IFERROR(IF($F$1="","",INDEX('Raw data'!$V$4:$V$267,MATCH('Feed intake'!F$1&amp;$A$1&amp;$A80,'Raw data'!$K$4:$K$267&amp;'Raw data'!$L$2&amp;'Raw data'!$L$4:$L$267,0))),"")</f>
        <v/>
      </c>
      <c r="G80" s="441" t="str">
        <f t="array" ref="G80">IFERROR(IF($G$1="","",INDEX('Raw data'!$V$4:$V$267,MATCH('Feed intake'!G$1&amp;$A$1&amp;$A80,'Raw data'!$K$4:$K$267&amp;'Raw data'!$L$2&amp;'Raw data'!$L$4:$L$267,0))),"")</f>
        <v/>
      </c>
      <c r="H80" s="24"/>
    </row>
    <row r="81" spans="1:8" hidden="1" x14ac:dyDescent="0.25">
      <c r="A81" s="432" t="str">
        <f t="array" ref="A81">IFERROR(INDEX(Map!$V$2:$V$67,MATCH('Feed intake'!$B81&amp;'Feed intake'!$C81,Map!$W$2:$W$67&amp;Map!$X$2:$X$67,0)),"")</f>
        <v/>
      </c>
      <c r="B81" s="24" t="s">
        <v>15</v>
      </c>
      <c r="C81" s="216" t="s">
        <v>3</v>
      </c>
      <c r="D81" s="419" t="str">
        <f t="array" ref="D81">IFERROR(IF($D$1="","",INDEX('Raw data'!$V$4:$V$267,MATCH('Feed intake'!D$1&amp;$A$1&amp;$A81,'Raw data'!$K$4:$K$267&amp;'Raw data'!$L$2&amp;'Raw data'!$L$4:$L$267,0))),"")</f>
        <v/>
      </c>
      <c r="E81" s="419" t="str">
        <f t="array" ref="E81">IFERROR(IF($E$1="","",INDEX('Raw data'!$V$4:$V$267,MATCH('Feed intake'!E$1&amp;$A$1&amp;$A81,'Raw data'!$K$4:$K$267&amp;'Raw data'!$L$2&amp;'Raw data'!$L$4:$L$267,0))),"")</f>
        <v/>
      </c>
      <c r="F81" s="419" t="str">
        <f t="array" ref="F81">IFERROR(IF($F$1="","",INDEX('Raw data'!$V$4:$V$267,MATCH('Feed intake'!F$1&amp;$A$1&amp;$A81,'Raw data'!$K$4:$K$267&amp;'Raw data'!$L$2&amp;'Raw data'!$L$4:$L$267,0))),"")</f>
        <v/>
      </c>
      <c r="G81" s="442" t="str">
        <f t="array" ref="G81">IFERROR(IF($G$1="","",INDEX('Raw data'!$V$4:$V$267,MATCH('Feed intake'!G$1&amp;$A$1&amp;$A81,'Raw data'!$K$4:$K$267&amp;'Raw data'!$L$2&amp;'Raw data'!$L$4:$L$267,0))),"")</f>
        <v/>
      </c>
      <c r="H81" s="24"/>
    </row>
    <row r="82" spans="1:8" hidden="1" x14ac:dyDescent="0.25">
      <c r="A82" s="432" t="str">
        <f t="array" ref="A82">IFERROR(INDEX(Map!$V$2:$V$67,MATCH('Feed intake'!$B82&amp;'Feed intake'!$C82,Map!$W$2:$W$67&amp;Map!$X$2:$X$67,0)),"")</f>
        <v/>
      </c>
      <c r="B82" s="24" t="s">
        <v>15</v>
      </c>
      <c r="C82" s="216" t="s">
        <v>4</v>
      </c>
      <c r="D82" s="419" t="str">
        <f t="array" ref="D82">IFERROR(IF($D$1="","",INDEX('Raw data'!$V$4:$V$267,MATCH('Feed intake'!D$1&amp;$A$1&amp;$A82,'Raw data'!$K$4:$K$267&amp;'Raw data'!$L$2&amp;'Raw data'!$L$4:$L$267,0))),"")</f>
        <v/>
      </c>
      <c r="E82" s="419" t="str">
        <f t="array" ref="E82">IFERROR(IF($E$1="","",INDEX('Raw data'!$V$4:$V$267,MATCH('Feed intake'!E$1&amp;$A$1&amp;$A82,'Raw data'!$K$4:$K$267&amp;'Raw data'!$L$2&amp;'Raw data'!$L$4:$L$267,0))),"")</f>
        <v/>
      </c>
      <c r="F82" s="419" t="str">
        <f t="array" ref="F82">IFERROR(IF($F$1="","",INDEX('Raw data'!$V$4:$V$267,MATCH('Feed intake'!F$1&amp;$A$1&amp;$A82,'Raw data'!$K$4:$K$267&amp;'Raw data'!$L$2&amp;'Raw data'!$L$4:$L$267,0))),"")</f>
        <v/>
      </c>
      <c r="G82" s="442" t="str">
        <f t="array" ref="G82">IFERROR(IF($G$1="","",INDEX('Raw data'!$V$4:$V$267,MATCH('Feed intake'!G$1&amp;$A$1&amp;$A82,'Raw data'!$K$4:$K$267&amp;'Raw data'!$L$2&amp;'Raw data'!$L$4:$L$267,0))),"")</f>
        <v/>
      </c>
      <c r="H82" s="24"/>
    </row>
    <row r="83" spans="1:8" hidden="1" x14ac:dyDescent="0.25">
      <c r="A83" s="432" t="str">
        <f t="array" ref="A83">IFERROR(INDEX(Map!$V$2:$V$67,MATCH('Feed intake'!$B83&amp;'Feed intake'!$C83,Map!$W$2:$W$67&amp;Map!$X$2:$X$67,0)),"")</f>
        <v/>
      </c>
      <c r="B83" s="24" t="s">
        <v>15</v>
      </c>
      <c r="C83" s="216" t="s">
        <v>5</v>
      </c>
      <c r="D83" s="419" t="str">
        <f t="array" ref="D83">IFERROR(IF($D$1="","",INDEX('Raw data'!$V$4:$V$267,MATCH('Feed intake'!D$1&amp;$A$1&amp;$A83,'Raw data'!$K$4:$K$267&amp;'Raw data'!$L$2&amp;'Raw data'!$L$4:$L$267,0))),"")</f>
        <v/>
      </c>
      <c r="E83" s="419" t="str">
        <f t="array" ref="E83">IFERROR(IF($E$1="","",INDEX('Raw data'!$V$4:$V$267,MATCH('Feed intake'!E$1&amp;$A$1&amp;$A83,'Raw data'!$K$4:$K$267&amp;'Raw data'!$L$2&amp;'Raw data'!$L$4:$L$267,0))),"")</f>
        <v/>
      </c>
      <c r="F83" s="419" t="str">
        <f t="array" ref="F83">IFERROR(IF($F$1="","",INDEX('Raw data'!$V$4:$V$267,MATCH('Feed intake'!F$1&amp;$A$1&amp;$A83,'Raw data'!$K$4:$K$267&amp;'Raw data'!$L$2&amp;'Raw data'!$L$4:$L$267,0))),"")</f>
        <v/>
      </c>
      <c r="G83" s="442" t="str">
        <f t="array" ref="G83">IFERROR(IF($G$1="","",INDEX('Raw data'!$V$4:$V$267,MATCH('Feed intake'!G$1&amp;$A$1&amp;$A83,'Raw data'!$K$4:$K$267&amp;'Raw data'!$L$2&amp;'Raw data'!$L$4:$L$267,0))),"")</f>
        <v/>
      </c>
      <c r="H83" s="24"/>
    </row>
    <row r="84" spans="1:8" hidden="1" x14ac:dyDescent="0.25">
      <c r="A84" s="432" t="str">
        <f t="array" ref="A84">IFERROR(INDEX(Map!$V$2:$V$67,MATCH('Feed intake'!$B84&amp;'Feed intake'!$C84,Map!$W$2:$W$67&amp;Map!$X$2:$X$67,0)),"")</f>
        <v/>
      </c>
      <c r="B84" s="24" t="s">
        <v>15</v>
      </c>
      <c r="C84" s="216" t="s">
        <v>6</v>
      </c>
      <c r="D84" s="419" t="str">
        <f t="array" ref="D84">IFERROR(IF($D$1="","",INDEX('Raw data'!$V$4:$V$267,MATCH('Feed intake'!D$1&amp;$A$1&amp;$A84,'Raw data'!$K$4:$K$267&amp;'Raw data'!$L$2&amp;'Raw data'!$L$4:$L$267,0))),"")</f>
        <v/>
      </c>
      <c r="E84" s="419" t="str">
        <f t="array" ref="E84">IFERROR(IF($E$1="","",INDEX('Raw data'!$V$4:$V$267,MATCH('Feed intake'!E$1&amp;$A$1&amp;$A84,'Raw data'!$K$4:$K$267&amp;'Raw data'!$L$2&amp;'Raw data'!$L$4:$L$267,0))),"")</f>
        <v/>
      </c>
      <c r="F84" s="419" t="str">
        <f t="array" ref="F84">IFERROR(IF($F$1="","",INDEX('Raw data'!$V$4:$V$267,MATCH('Feed intake'!F$1&amp;$A$1&amp;$A84,'Raw data'!$K$4:$K$267&amp;'Raw data'!$L$2&amp;'Raw data'!$L$4:$L$267,0))),"")</f>
        <v/>
      </c>
      <c r="G84" s="442" t="str">
        <f t="array" ref="G84">IFERROR(IF($G$1="","",INDEX('Raw data'!$V$4:$V$267,MATCH('Feed intake'!G$1&amp;$A$1&amp;$A84,'Raw data'!$K$4:$K$267&amp;'Raw data'!$L$2&amp;'Raw data'!$L$4:$L$267,0))),"")</f>
        <v/>
      </c>
      <c r="H84" s="24"/>
    </row>
    <row r="85" spans="1:8" hidden="1" x14ac:dyDescent="0.25">
      <c r="A85" s="432" t="str">
        <f t="array" ref="A85">IFERROR(INDEX(Map!$V$2:$V$67,MATCH('Feed intake'!$B85&amp;'Feed intake'!$C85,Map!$W$2:$W$67&amp;Map!$X$2:$X$67,0)),"")</f>
        <v/>
      </c>
      <c r="B85" s="24" t="s">
        <v>15</v>
      </c>
      <c r="C85" s="216" t="s">
        <v>7</v>
      </c>
      <c r="D85" s="419" t="str">
        <f t="array" ref="D85">IFERROR(IF($D$1="","",INDEX('Raw data'!$V$4:$V$267,MATCH('Feed intake'!D$1&amp;$A$1&amp;$A85,'Raw data'!$K$4:$K$267&amp;'Raw data'!$L$2&amp;'Raw data'!$L$4:$L$267,0))),"")</f>
        <v/>
      </c>
      <c r="E85" s="419" t="str">
        <f t="array" ref="E85">IFERROR(IF($E$1="","",INDEX('Raw data'!$V$4:$V$267,MATCH('Feed intake'!E$1&amp;$A$1&amp;$A85,'Raw data'!$K$4:$K$267&amp;'Raw data'!$L$2&amp;'Raw data'!$L$4:$L$267,0))),"")</f>
        <v/>
      </c>
      <c r="F85" s="419" t="str">
        <f t="array" ref="F85">IFERROR(IF($F$1="","",INDEX('Raw data'!$V$4:$V$267,MATCH('Feed intake'!F$1&amp;$A$1&amp;$A85,'Raw data'!$K$4:$K$267&amp;'Raw data'!$L$2&amp;'Raw data'!$L$4:$L$267,0))),"")</f>
        <v/>
      </c>
      <c r="G85" s="442" t="str">
        <f t="array" ref="G85">IFERROR(IF($G$1="","",INDEX('Raw data'!$V$4:$V$267,MATCH('Feed intake'!G$1&amp;$A$1&amp;$A85,'Raw data'!$K$4:$K$267&amp;'Raw data'!$L$2&amp;'Raw data'!$L$4:$L$267,0))),"")</f>
        <v/>
      </c>
      <c r="H85" s="24"/>
    </row>
    <row r="86" spans="1:8" hidden="1" x14ac:dyDescent="0.25">
      <c r="A86" s="432" t="str">
        <f t="array" ref="A86">IFERROR(INDEX(Map!$V$2:$V$67,MATCH('Feed intake'!$B86&amp;'Feed intake'!$C86,Map!$W$2:$W$67&amp;Map!$X$2:$X$67,0)),"")</f>
        <v/>
      </c>
      <c r="B86" s="24" t="s">
        <v>15</v>
      </c>
      <c r="C86" s="216" t="s">
        <v>8</v>
      </c>
      <c r="D86" s="419" t="str">
        <f t="array" ref="D86">IFERROR(IF($D$1="","",INDEX('Raw data'!$V$4:$V$267,MATCH('Feed intake'!D$1&amp;$A$1&amp;$A86,'Raw data'!$K$4:$K$267&amp;'Raw data'!$L$2&amp;'Raw data'!$L$4:$L$267,0))),"")</f>
        <v/>
      </c>
      <c r="E86" s="419" t="str">
        <f t="array" ref="E86">IFERROR(IF($E$1="","",INDEX('Raw data'!$V$4:$V$267,MATCH('Feed intake'!E$1&amp;$A$1&amp;$A86,'Raw data'!$K$4:$K$267&amp;'Raw data'!$L$2&amp;'Raw data'!$L$4:$L$267,0))),"")</f>
        <v/>
      </c>
      <c r="F86" s="419" t="str">
        <f t="array" ref="F86">IFERROR(IF($F$1="","",INDEX('Raw data'!$V$4:$V$267,MATCH('Feed intake'!F$1&amp;$A$1&amp;$A86,'Raw data'!$K$4:$K$267&amp;'Raw data'!$L$2&amp;'Raw data'!$L$4:$L$267,0))),"")</f>
        <v/>
      </c>
      <c r="G86" s="442" t="str">
        <f t="array" ref="G86">IFERROR(IF($G$1="","",INDEX('Raw data'!$V$4:$V$267,MATCH('Feed intake'!G$1&amp;$A$1&amp;$A86,'Raw data'!$K$4:$K$267&amp;'Raw data'!$L$2&amp;'Raw data'!$L$4:$L$267,0))),"")</f>
        <v/>
      </c>
      <c r="H86" s="24"/>
    </row>
    <row r="87" spans="1:8" hidden="1" x14ac:dyDescent="0.25">
      <c r="A87" s="432" t="str">
        <f t="array" ref="A87">IFERROR(INDEX(Map!$V$2:$V$67,MATCH('Feed intake'!$B87&amp;'Feed intake'!$C87,Map!$W$2:$W$67&amp;Map!$X$2:$X$67,0)),"")</f>
        <v/>
      </c>
      <c r="B87" s="24" t="s">
        <v>15</v>
      </c>
      <c r="C87" s="216" t="s">
        <v>9</v>
      </c>
      <c r="D87" s="419" t="str">
        <f t="array" ref="D87">IFERROR(IF($D$1="","",INDEX('Raw data'!$V$4:$V$267,MATCH('Feed intake'!D$1&amp;$A$1&amp;$A87,'Raw data'!$K$4:$K$267&amp;'Raw data'!$L$2&amp;'Raw data'!$L$4:$L$267,0))),"")</f>
        <v/>
      </c>
      <c r="E87" s="419" t="str">
        <f t="array" ref="E87">IFERROR(IF($E$1="","",INDEX('Raw data'!$V$4:$V$267,MATCH('Feed intake'!E$1&amp;$A$1&amp;$A87,'Raw data'!$K$4:$K$267&amp;'Raw data'!$L$2&amp;'Raw data'!$L$4:$L$267,0))),"")</f>
        <v/>
      </c>
      <c r="F87" s="419" t="str">
        <f t="array" ref="F87">IFERROR(IF($F$1="","",INDEX('Raw data'!$V$4:$V$267,MATCH('Feed intake'!F$1&amp;$A$1&amp;$A87,'Raw data'!$K$4:$K$267&amp;'Raw data'!$L$2&amp;'Raw data'!$L$4:$L$267,0))),"")</f>
        <v/>
      </c>
      <c r="G87" s="442" t="str">
        <f t="array" ref="G87">IFERROR(IF($G$1="","",INDEX('Raw data'!$V$4:$V$267,MATCH('Feed intake'!G$1&amp;$A$1&amp;$A87,'Raw data'!$K$4:$K$267&amp;'Raw data'!$L$2&amp;'Raw data'!$L$4:$L$267,0))),"")</f>
        <v/>
      </c>
      <c r="H87" s="24"/>
    </row>
    <row r="88" spans="1:8" s="417" customFormat="1" hidden="1" x14ac:dyDescent="0.25">
      <c r="A88" s="432" t="str">
        <f t="array" ref="A88">IFERROR(INDEX(Map!$V$2:$V$67,MATCH('Feed intake'!$B88&amp;'Feed intake'!$C88,Map!$W$2:$W$67&amp;Map!$X$2:$X$67,0)),"")</f>
        <v/>
      </c>
      <c r="B88" s="418" t="s">
        <v>15</v>
      </c>
      <c r="C88" s="436" t="s">
        <v>22</v>
      </c>
      <c r="D88" s="419" t="str">
        <f t="array" ref="D88">IFERROR(IF($D$1="","",INDEX('Raw data'!$V$4:$V$267,MATCH('Feed intake'!D$1&amp;$A$1&amp;$A88,'Raw data'!$K$4:$K$267&amp;'Raw data'!$L$2&amp;'Raw data'!$L$4:$L$267,0))),"")</f>
        <v/>
      </c>
      <c r="E88" s="419" t="str">
        <f t="array" ref="E88">IFERROR(IF($E$1="","",INDEX('Raw data'!$V$4:$V$267,MATCH('Feed intake'!E$1&amp;$A$1&amp;$A88,'Raw data'!$K$4:$K$267&amp;'Raw data'!$L$2&amp;'Raw data'!$L$4:$L$267,0))),"")</f>
        <v/>
      </c>
      <c r="F88" s="419" t="str">
        <f t="array" ref="F88">IFERROR(IF($F$1="","",INDEX('Raw data'!$V$4:$V$267,MATCH('Feed intake'!F$1&amp;$A$1&amp;$A88,'Raw data'!$K$4:$K$267&amp;'Raw data'!$L$2&amp;'Raw data'!$L$4:$L$267,0))),"")</f>
        <v/>
      </c>
      <c r="G88" s="442" t="str">
        <f t="array" ref="G88">IFERROR(IF($G$1="","",INDEX('Raw data'!$V$4:$V$267,MATCH('Feed intake'!G$1&amp;$A$1&amp;$A88,'Raw data'!$K$4:$K$267&amp;'Raw data'!$L$2&amp;'Raw data'!$L$4:$L$267,0))),"")</f>
        <v/>
      </c>
      <c r="H88" s="418"/>
    </row>
    <row r="89" spans="1:8" s="417" customFormat="1" hidden="1" x14ac:dyDescent="0.25">
      <c r="A89" s="432" t="str">
        <f t="array" ref="A89">IFERROR(INDEX(Map!$V$2:$V$67,MATCH('Feed intake'!$B89&amp;'Feed intake'!$C89,Map!$W$2:$W$67&amp;Map!$X$2:$X$67,0)),"")</f>
        <v/>
      </c>
      <c r="B89" s="418" t="str">
        <f>B80</f>
        <v>T7</v>
      </c>
      <c r="C89" s="436" t="s">
        <v>101</v>
      </c>
      <c r="D89" s="419" t="str">
        <f t="array" ref="D89">IFERROR(IF($D$1="","",INDEX('Raw data'!$V$4:$V$267,MATCH('Feed intake'!D$1&amp;$A$1&amp;$A89,'Raw data'!$K$4:$K$267&amp;'Raw data'!$L$2&amp;'Raw data'!$L$4:$L$267,0))),"")</f>
        <v/>
      </c>
      <c r="E89" s="419" t="str">
        <f t="array" ref="E89">IFERROR(IF($E$1="","",INDEX('Raw data'!$V$4:$V$267,MATCH('Feed intake'!E$1&amp;$A$1&amp;$A89,'Raw data'!$K$4:$K$267&amp;'Raw data'!$L$2&amp;'Raw data'!$L$4:$L$267,0))),"")</f>
        <v/>
      </c>
      <c r="F89" s="419" t="str">
        <f t="array" ref="F89">IFERROR(IF($F$1="","",INDEX('Raw data'!$V$4:$V$267,MATCH('Feed intake'!F$1&amp;$A$1&amp;$A89,'Raw data'!$K$4:$K$267&amp;'Raw data'!$L$2&amp;'Raw data'!$L$4:$L$267,0))),"")</f>
        <v/>
      </c>
      <c r="G89" s="442" t="str">
        <f t="array" ref="G89">IFERROR(IF($G$1="","",INDEX('Raw data'!$V$4:$V$267,MATCH('Feed intake'!G$1&amp;$A$1&amp;$A89,'Raw data'!$K$4:$K$267&amp;'Raw data'!$L$2&amp;'Raw data'!$L$4:$L$267,0))),"")</f>
        <v/>
      </c>
      <c r="H89" s="418"/>
    </row>
    <row r="90" spans="1:8" s="417" customFormat="1" hidden="1" x14ac:dyDescent="0.25">
      <c r="A90" s="446" t="str">
        <f t="array" ref="A90">IFERROR(INDEX(Map!$V$2:$V$67,MATCH('Feed intake'!$B90&amp;'Feed intake'!$C90,Map!$W$2:$W$67&amp;Map!$X$2:$X$67,0)),"")</f>
        <v/>
      </c>
      <c r="B90" s="418" t="str">
        <f>B80</f>
        <v>T7</v>
      </c>
      <c r="C90" s="436" t="s">
        <v>102</v>
      </c>
      <c r="D90" s="435" t="str">
        <f t="array" ref="D90">IFERROR(IF($D$1="","",INDEX('Raw data'!$V$4:$V$267,MATCH('Feed intake'!D$1&amp;$A$1&amp;$A90,'Raw data'!$K$4:$K$267&amp;'Raw data'!$L$2&amp;'Raw data'!$L$4:$L$267,0))),"")</f>
        <v/>
      </c>
      <c r="E90" s="435" t="str">
        <f t="array" ref="E90">IFERROR(IF($E$1="","",INDEX('Raw data'!$V$4:$V$267,MATCH('Feed intake'!E$1&amp;$A$1&amp;$A90,'Raw data'!$K$4:$K$267&amp;'Raw data'!$L$2&amp;'Raw data'!$L$4:$L$267,0))),"")</f>
        <v/>
      </c>
      <c r="F90" s="435" t="str">
        <f t="array" ref="F90">IFERROR(IF($F$1="","",INDEX('Raw data'!$V$4:$V$267,MATCH('Feed intake'!F$1&amp;$A$1&amp;$A90,'Raw data'!$K$4:$K$267&amp;'Raw data'!$L$2&amp;'Raw data'!$L$4:$L$267,0))),"")</f>
        <v/>
      </c>
      <c r="G90" s="443" t="str">
        <f t="array" ref="G90">IFERROR(IF($G$1="","",INDEX('Raw data'!$V$4:$V$267,MATCH('Feed intake'!G$1&amp;$A$1&amp;$A90,'Raw data'!$K$4:$K$267&amp;'Raw data'!$L$2&amp;'Raw data'!$L$4:$L$267,0))),"")</f>
        <v/>
      </c>
      <c r="H90" s="418"/>
    </row>
    <row r="91" spans="1:8" hidden="1" x14ac:dyDescent="0.25">
      <c r="A91" s="131"/>
      <c r="B91" s="565" t="s">
        <v>82</v>
      </c>
      <c r="C91" s="566"/>
      <c r="D91" s="217" t="e">
        <f t="shared" ref="D91" si="0">IF($D$1="","",(ROUND(AVERAGE(D80:D88),3)&amp;" ± "&amp;(ROUND(STDEV(D80:D88),3))))</f>
        <v>#DIV/0!</v>
      </c>
      <c r="E91" s="217" t="e">
        <f t="shared" ref="E91" si="1">IF($E$1="","",(ROUND(AVERAGE(E80:E88),3)&amp;" ± "&amp;(ROUND(STDEV(E80:E88),3))))</f>
        <v>#DIV/0!</v>
      </c>
      <c r="F91" s="217" t="e">
        <f t="shared" ref="F91" si="2">IF($F$1="","",(ROUND(AVERAGE(F80:F88),3)&amp;" ± "&amp;(ROUND(STDEV(F80:F88),3))))</f>
        <v>#DIV/0!</v>
      </c>
      <c r="G91" s="352" t="e">
        <f t="shared" ref="G91" si="3">IF($G$1="","",(ROUND(AVERAGE(G80:G88),3)&amp;" ± "&amp;(ROUND(STDEV(G80:G88),3))))</f>
        <v>#DIV/0!</v>
      </c>
      <c r="H91" s="24"/>
    </row>
    <row r="92" spans="1:8" ht="15.75" hidden="1" thickBot="1" x14ac:dyDescent="0.3">
      <c r="A92" s="132"/>
      <c r="B92" s="567" t="s">
        <v>83</v>
      </c>
      <c r="C92" s="568"/>
      <c r="D92" s="218" t="e">
        <f t="shared" ref="D92" si="4">IF($D$1="","",STDEV(D80:D88)/(AVERAGE(D80:D88)))</f>
        <v>#DIV/0!</v>
      </c>
      <c r="E92" s="218" t="e">
        <f t="shared" ref="E92" si="5">IF($E$1="","",STDEV(E80:E88)/(AVERAGE(E80:E88)))</f>
        <v>#DIV/0!</v>
      </c>
      <c r="F92" s="218" t="e">
        <f t="shared" ref="F92" si="6">IF($F$1="","",STDEV(F80:F88)/(AVERAGE(F80:F88)))</f>
        <v>#DIV/0!</v>
      </c>
      <c r="G92" s="353" t="e">
        <f t="shared" ref="G92" si="7">IF($G$1="","",STDEV(G80:G88)/(AVERAGE(G80:G88)))</f>
        <v>#DIV/0!</v>
      </c>
      <c r="H92" s="24"/>
    </row>
    <row r="93" spans="1:8" x14ac:dyDescent="0.25">
      <c r="A93" s="24"/>
    </row>
  </sheetData>
  <mergeCells count="14">
    <mergeCell ref="B91:C91"/>
    <mergeCell ref="B92:C92"/>
    <mergeCell ref="B52:C52"/>
    <mergeCell ref="B53:C53"/>
    <mergeCell ref="B65:C65"/>
    <mergeCell ref="B66:C66"/>
    <mergeCell ref="B78:C78"/>
    <mergeCell ref="B79:C79"/>
    <mergeCell ref="B40:C40"/>
    <mergeCell ref="B13:C13"/>
    <mergeCell ref="B14:C14"/>
    <mergeCell ref="B26:C26"/>
    <mergeCell ref="B27:C27"/>
    <mergeCell ref="B39:C39"/>
  </mergeCells>
  <pageMargins left="0.511811024" right="0.511811024" top="0.78740157499999996" bottom="0.78740157499999996" header="0.31496062000000002" footer="0.31496062000000002"/>
  <pageSetup paperSize="9" orientation="portrait" horizontalDpi="429496729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H93"/>
  <sheetViews>
    <sheetView workbookViewId="0">
      <pane xSplit="3" ySplit="1" topLeftCell="D2" activePane="bottomRight" state="frozen"/>
      <selection pane="topRight" activeCell="C1" sqref="C1"/>
      <selection pane="bottomLeft" activeCell="A2" sqref="A2"/>
      <selection pane="bottomRight" activeCell="A80" sqref="A80:XFD92"/>
    </sheetView>
  </sheetViews>
  <sheetFormatPr defaultRowHeight="15" x14ac:dyDescent="0.25"/>
  <cols>
    <col min="1" max="1" width="4.7109375" style="291" bestFit="1" customWidth="1"/>
    <col min="2" max="2" width="11.7109375" style="291" bestFit="1" customWidth="1"/>
    <col min="3" max="3" width="10.140625" style="291" bestFit="1" customWidth="1"/>
    <col min="4" max="7" width="15.42578125" style="291" customWidth="1"/>
    <col min="8" max="16384" width="9.140625" style="291"/>
  </cols>
  <sheetData>
    <row r="1" spans="1:8" ht="15.75" thickBot="1" x14ac:dyDescent="0.3">
      <c r="A1" s="306" t="s">
        <v>0</v>
      </c>
      <c r="B1" s="307" t="s">
        <v>30</v>
      </c>
      <c r="C1" s="316" t="s">
        <v>31</v>
      </c>
      <c r="D1" s="307" t="str">
        <f>IF('14 days'!B1="","","14 days")</f>
        <v>14 days</v>
      </c>
      <c r="E1" s="307" t="str">
        <f>IF('23 days'!B1="","","23 days")</f>
        <v>23 days</v>
      </c>
      <c r="F1" s="307" t="str">
        <f>IF('32 days'!B1="","","32 days")</f>
        <v>32 days</v>
      </c>
      <c r="G1" s="308" t="str">
        <f>IF('39 days'!B1="","","39 days")</f>
        <v>39 days</v>
      </c>
      <c r="H1" s="24"/>
    </row>
    <row r="2" spans="1:8" x14ac:dyDescent="0.25">
      <c r="A2" s="431">
        <f t="array" ref="A2">IFERROR(INDEX(Map!$V$2:$V$67,MATCH('Feed conversion ratio'!$B2&amp;'Feed conversion ratio'!$C2,Map!$W$2:$W$67&amp;Map!$X$2:$X$67,0)),"")</f>
        <v>8</v>
      </c>
      <c r="B2" s="420" t="s">
        <v>10</v>
      </c>
      <c r="C2" s="439" t="s">
        <v>2</v>
      </c>
      <c r="D2" s="440">
        <f t="array" ref="D2">IFERROR(IF($D$1="","",INDEX('Raw data'!$W$4:$W$267,MATCH('Feed conversion ratio'!D$1&amp;$A$1&amp;$A2,'Raw data'!$K$4:$K$267&amp;'Raw data'!$L$2&amp;'Raw data'!$L$4:$L$267,0))),"")</f>
        <v>1.1333188500253459</v>
      </c>
      <c r="E2" s="440">
        <f t="array" ref="E2">IFERROR(IF($E$1="","",INDEX('Raw data'!$W$4:$W$267,MATCH('Feed conversion ratio'!E$1&amp;$A$1&amp;$A2,'Raw data'!$K$4:$K$267&amp;'Raw data'!$L$2&amp;'Raw data'!$L$4:$L$267,0))),"")</f>
        <v>1.2743290579156681</v>
      </c>
      <c r="F2" s="440">
        <f t="array" ref="F2">IFERROR(IF($F$1="","",INDEX('Raw data'!$W$4:$W$267,MATCH('Feed conversion ratio'!F$1&amp;$A$1&amp;$A2,'Raw data'!$K$4:$K$267&amp;'Raw data'!$L$2&amp;'Raw data'!$L$4:$L$267,0))),"")</f>
        <v>1.8173879823173065</v>
      </c>
      <c r="G2" s="441">
        <f t="array" ref="G2">IFERROR(IF($G$1="","",INDEX('Raw data'!$W$4:$W$267,MATCH('Feed conversion ratio'!G$1&amp;$A$1&amp;$A2,'Raw data'!$K$4:$K$267&amp;'Raw data'!$L$2&amp;'Raw data'!$L$4:$L$267,0))),"")</f>
        <v>1.7726331945768705</v>
      </c>
      <c r="H2" s="24"/>
    </row>
    <row r="3" spans="1:8" x14ac:dyDescent="0.25">
      <c r="A3" s="432">
        <f t="array" ref="A3">IFERROR(INDEX(Map!$V$2:$V$67,MATCH('Feed conversion ratio'!$B3&amp;'Feed conversion ratio'!$C3,Map!$W$2:$W$67&amp;Map!$X$2:$X$67,0)),"")</f>
        <v>12</v>
      </c>
      <c r="B3" s="418" t="str">
        <f>B2</f>
        <v>T1</v>
      </c>
      <c r="C3" s="436" t="s">
        <v>3</v>
      </c>
      <c r="D3" s="419">
        <f t="array" ref="D3">IFERROR(IF($D$1="","",INDEX('Raw data'!$W$4:$W$267,MATCH('Feed conversion ratio'!D$1&amp;$A$1&amp;$A3,'Raw data'!$K$4:$K$267&amp;'Raw data'!$L$2&amp;'Raw data'!$L$4:$L$267,0))),"")</f>
        <v>1.1734730495944883</v>
      </c>
      <c r="E3" s="419">
        <f t="array" ref="E3">IFERROR(IF($E$1="","",INDEX('Raw data'!$W$4:$W$267,MATCH('Feed conversion ratio'!E$1&amp;$A$1&amp;$A3,'Raw data'!$K$4:$K$267&amp;'Raw data'!$L$2&amp;'Raw data'!$L$4:$L$267,0))),"")</f>
        <v>1.3116715510983248</v>
      </c>
      <c r="F3" s="419">
        <f t="array" ref="F3">IFERROR(IF($F$1="","",INDEX('Raw data'!$W$4:$W$267,MATCH('Feed conversion ratio'!F$1&amp;$A$1&amp;$A3,'Raw data'!$K$4:$K$267&amp;'Raw data'!$L$2&amp;'Raw data'!$L$4:$L$267,0))),"")</f>
        <v>1.8322039133041439</v>
      </c>
      <c r="G3" s="442">
        <f t="array" ref="G3">IFERROR(IF($G$1="","",INDEX('Raw data'!$W$4:$W$267,MATCH('Feed conversion ratio'!G$1&amp;$A$1&amp;$A3,'Raw data'!$K$4:$K$267&amp;'Raw data'!$L$2&amp;'Raw data'!$L$4:$L$267,0))),"")</f>
        <v>1.7982698108999564</v>
      </c>
      <c r="H3" s="24"/>
    </row>
    <row r="4" spans="1:8" x14ac:dyDescent="0.25">
      <c r="A4" s="432">
        <f t="array" ref="A4">IFERROR(INDEX(Map!$V$2:$V$67,MATCH('Feed conversion ratio'!$B4&amp;'Feed conversion ratio'!$C4,Map!$W$2:$W$67&amp;Map!$X$2:$X$67,0)),"")</f>
        <v>20</v>
      </c>
      <c r="B4" s="418" t="str">
        <f>B2</f>
        <v>T1</v>
      </c>
      <c r="C4" s="436" t="s">
        <v>4</v>
      </c>
      <c r="D4" s="419">
        <f t="array" ref="D4">IFERROR(IF($D$1="","",INDEX('Raw data'!$W$4:$W$267,MATCH('Feed conversion ratio'!D$1&amp;$A$1&amp;$A4,'Raw data'!$K$4:$K$267&amp;'Raw data'!$L$2&amp;'Raw data'!$L$4:$L$267,0))),"")</f>
        <v>1.1456859971711459</v>
      </c>
      <c r="E4" s="419">
        <f t="array" ref="E4">IFERROR(IF($E$1="","",INDEX('Raw data'!$W$4:$W$267,MATCH('Feed conversion ratio'!E$1&amp;$A$1&amp;$A4,'Raw data'!$K$4:$K$267&amp;'Raw data'!$L$2&amp;'Raw data'!$L$4:$L$267,0))),"")</f>
        <v>1.3046419098143236</v>
      </c>
      <c r="F4" s="419">
        <f t="array" ref="F4">IFERROR(IF($F$1="","",INDEX('Raw data'!$W$4:$W$267,MATCH('Feed conversion ratio'!F$1&amp;$A$1&amp;$A4,'Raw data'!$K$4:$K$267&amp;'Raw data'!$L$2&amp;'Raw data'!$L$4:$L$267,0))),"")</f>
        <v>1.7950043066322137</v>
      </c>
      <c r="G4" s="442">
        <f t="array" ref="G4">IFERROR(IF($G$1="","",INDEX('Raw data'!$W$4:$W$267,MATCH('Feed conversion ratio'!G$1&amp;$A$1&amp;$A4,'Raw data'!$K$4:$K$267&amp;'Raw data'!$L$2&amp;'Raw data'!$L$4:$L$267,0))),"")</f>
        <v>1.755576146667549</v>
      </c>
      <c r="H4" s="24"/>
    </row>
    <row r="5" spans="1:8" x14ac:dyDescent="0.25">
      <c r="A5" s="432">
        <f t="array" ref="A5">IFERROR(INDEX(Map!$V$2:$V$67,MATCH('Feed conversion ratio'!$B5&amp;'Feed conversion ratio'!$C5,Map!$W$2:$W$67&amp;Map!$X$2:$X$67,0)),"")</f>
        <v>27</v>
      </c>
      <c r="B5" s="418" t="str">
        <f>B2</f>
        <v>T1</v>
      </c>
      <c r="C5" s="436" t="s">
        <v>5</v>
      </c>
      <c r="D5" s="419">
        <f t="array" ref="D5">IFERROR(IF($D$1="","",INDEX('Raw data'!$W$4:$W$267,MATCH('Feed conversion ratio'!D$1&amp;$A$1&amp;$A5,'Raw data'!$K$4:$K$267&amp;'Raw data'!$L$2&amp;'Raw data'!$L$4:$L$267,0))),"")</f>
        <v>1.1240310077519382</v>
      </c>
      <c r="E5" s="419">
        <f t="array" ref="E5">IFERROR(IF($E$1="","",INDEX('Raw data'!$W$4:$W$267,MATCH('Feed conversion ratio'!E$1&amp;$A$1&amp;$A5,'Raw data'!$K$4:$K$267&amp;'Raw data'!$L$2&amp;'Raw data'!$L$4:$L$267,0))),"")</f>
        <v>1.2623724489795918</v>
      </c>
      <c r="F5" s="419">
        <f t="array" ref="F5">IFERROR(IF($F$1="","",INDEX('Raw data'!$W$4:$W$267,MATCH('Feed conversion ratio'!F$1&amp;$A$1&amp;$A5,'Raw data'!$K$4:$K$267&amp;'Raw data'!$L$2&amp;'Raw data'!$L$4:$L$267,0))),"")</f>
        <v>1.7525167785234901</v>
      </c>
      <c r="G5" s="442">
        <f t="array" ref="G5">IFERROR(IF($G$1="","",INDEX('Raw data'!$W$4:$W$267,MATCH('Feed conversion ratio'!G$1&amp;$A$1&amp;$A5,'Raw data'!$K$4:$K$267&amp;'Raw data'!$L$2&amp;'Raw data'!$L$4:$L$267,0))),"")</f>
        <v>1.7257543103448276</v>
      </c>
      <c r="H5" s="24"/>
    </row>
    <row r="6" spans="1:8" x14ac:dyDescent="0.25">
      <c r="A6" s="432">
        <f t="array" ref="A6">IFERROR(INDEX(Map!$V$2:$V$67,MATCH('Feed conversion ratio'!$B6&amp;'Feed conversion ratio'!$C6,Map!$W$2:$W$67&amp;Map!$X$2:$X$67,0)),"")</f>
        <v>31</v>
      </c>
      <c r="B6" s="418" t="str">
        <f>B2</f>
        <v>T1</v>
      </c>
      <c r="C6" s="436" t="s">
        <v>6</v>
      </c>
      <c r="D6" s="419">
        <f t="array" ref="D6">IFERROR(IF($D$1="","",INDEX('Raw data'!$W$4:$W$267,MATCH('Feed conversion ratio'!D$1&amp;$A$1&amp;$A6,'Raw data'!$K$4:$K$267&amp;'Raw data'!$L$2&amp;'Raw data'!$L$4:$L$267,0))),"")</f>
        <v>1.13954573739888</v>
      </c>
      <c r="E6" s="419">
        <f t="array" ref="E6">IFERROR(IF($E$1="","",INDEX('Raw data'!$W$4:$W$267,MATCH('Feed conversion ratio'!E$1&amp;$A$1&amp;$A6,'Raw data'!$K$4:$K$267&amp;'Raw data'!$L$2&amp;'Raw data'!$L$4:$L$267,0))),"")</f>
        <v>1.2793856889549848</v>
      </c>
      <c r="F6" s="419">
        <f t="array" ref="F6">IFERROR(IF($F$1="","",INDEX('Raw data'!$W$4:$W$267,MATCH('Feed conversion ratio'!F$1&amp;$A$1&amp;$A6,'Raw data'!$K$4:$K$267&amp;'Raw data'!$L$2&amp;'Raw data'!$L$4:$L$267,0))),"")</f>
        <v>1.8529076396807298</v>
      </c>
      <c r="G6" s="442">
        <f t="array" ref="G6">IFERROR(IF($G$1="","",INDEX('Raw data'!$W$4:$W$267,MATCH('Feed conversion ratio'!G$1&amp;$A$1&amp;$A6,'Raw data'!$K$4:$K$267&amp;'Raw data'!$L$2&amp;'Raw data'!$L$4:$L$267,0))),"")</f>
        <v>1.7971671247802292</v>
      </c>
      <c r="H6" s="24"/>
    </row>
    <row r="7" spans="1:8" x14ac:dyDescent="0.25">
      <c r="A7" s="432">
        <f t="array" ref="A7">IFERROR(INDEX(Map!$V$2:$V$67,MATCH('Feed conversion ratio'!$B7&amp;'Feed conversion ratio'!$C7,Map!$W$2:$W$67&amp;Map!$X$2:$X$67,0)),"")</f>
        <v>41</v>
      </c>
      <c r="B7" s="418" t="str">
        <f>B2</f>
        <v>T1</v>
      </c>
      <c r="C7" s="436" t="s">
        <v>7</v>
      </c>
      <c r="D7" s="419">
        <f t="array" ref="D7">IFERROR(IF($D$1="","",INDEX('Raw data'!$W$4:$W$267,MATCH('Feed conversion ratio'!D$1&amp;$A$1&amp;$A7,'Raw data'!$K$4:$K$267&amp;'Raw data'!$L$2&amp;'Raw data'!$L$4:$L$267,0))),"")</f>
        <v>1.1352657004830917</v>
      </c>
      <c r="E7" s="419">
        <f t="array" ref="E7">IFERROR(IF($E$1="","",INDEX('Raw data'!$W$4:$W$267,MATCH('Feed conversion ratio'!E$1&amp;$A$1&amp;$A7,'Raw data'!$K$4:$K$267&amp;'Raw data'!$L$2&amp;'Raw data'!$L$4:$L$267,0))),"")</f>
        <v>1.2733840304182509</v>
      </c>
      <c r="F7" s="419">
        <f t="array" ref="F7">IFERROR(IF($F$1="","",INDEX('Raw data'!$W$4:$W$267,MATCH('Feed conversion ratio'!F$1&amp;$A$1&amp;$A7,'Raw data'!$K$4:$K$267&amp;'Raw data'!$L$2&amp;'Raw data'!$L$4:$L$267,0))),"")</f>
        <v>1.7648535564853558</v>
      </c>
      <c r="G7" s="442">
        <f t="array" ref="G7">IFERROR(IF($G$1="","",INDEX('Raw data'!$W$4:$W$267,MATCH('Feed conversion ratio'!G$1&amp;$A$1&amp;$A7,'Raw data'!$K$4:$K$267&amp;'Raw data'!$L$2&amp;'Raw data'!$L$4:$L$267,0))),"")</f>
        <v>1.7553837658752069</v>
      </c>
      <c r="H7" s="24"/>
    </row>
    <row r="8" spans="1:8" x14ac:dyDescent="0.25">
      <c r="A8" s="432">
        <f t="array" ref="A8">IFERROR(INDEX(Map!$V$2:$V$67,MATCH('Feed conversion ratio'!$B8&amp;'Feed conversion ratio'!$C8,Map!$W$2:$W$67&amp;Map!$X$2:$X$67,0)),"")</f>
        <v>50</v>
      </c>
      <c r="B8" s="418" t="str">
        <f>B2</f>
        <v>T1</v>
      </c>
      <c r="C8" s="436" t="s">
        <v>8</v>
      </c>
      <c r="D8" s="419">
        <f t="array" ref="D8">IFERROR(IF($D$1="","",INDEX('Raw data'!$W$4:$W$267,MATCH('Feed conversion ratio'!D$1&amp;$A$1&amp;$A8,'Raw data'!$K$4:$K$267&amp;'Raw data'!$L$2&amp;'Raw data'!$L$4:$L$267,0))),"")</f>
        <v>1.127302722023646</v>
      </c>
      <c r="E8" s="419">
        <f t="array" ref="E8">IFERROR(IF($E$1="","",INDEX('Raw data'!$W$4:$W$267,MATCH('Feed conversion ratio'!E$1&amp;$A$1&amp;$A8,'Raw data'!$K$4:$K$267&amp;'Raw data'!$L$2&amp;'Raw data'!$L$4:$L$267,0))),"")</f>
        <v>1.2707466146793827</v>
      </c>
      <c r="F8" s="419">
        <f t="array" ref="F8">IFERROR(IF($F$1="","",INDEX('Raw data'!$W$4:$W$267,MATCH('Feed conversion ratio'!F$1&amp;$A$1&amp;$A8,'Raw data'!$K$4:$K$267&amp;'Raw data'!$L$2&amp;'Raw data'!$L$4:$L$267,0))),"")</f>
        <v>1.7676593395217226</v>
      </c>
      <c r="G8" s="442">
        <f t="array" ref="G8">IFERROR(IF($G$1="","",INDEX('Raw data'!$W$4:$W$267,MATCH('Feed conversion ratio'!G$1&amp;$A$1&amp;$A8,'Raw data'!$K$4:$K$267&amp;'Raw data'!$L$2&amp;'Raw data'!$L$4:$L$267,0))),"")</f>
        <v>1.7479192768927869</v>
      </c>
      <c r="H8" s="24"/>
    </row>
    <row r="9" spans="1:8" x14ac:dyDescent="0.25">
      <c r="A9" s="432">
        <f t="array" ref="A9">IFERROR(INDEX(Map!$V$2:$V$67,MATCH('Feed conversion ratio'!$B9&amp;'Feed conversion ratio'!$C9,Map!$W$2:$W$67&amp;Map!$X$2:$X$67,0)),"")</f>
        <v>58</v>
      </c>
      <c r="B9" s="418" t="str">
        <f>B2</f>
        <v>T1</v>
      </c>
      <c r="C9" s="436" t="s">
        <v>9</v>
      </c>
      <c r="D9" s="419">
        <f t="array" ref="D9">IFERROR(IF($D$1="","",INDEX('Raw data'!$W$4:$W$267,MATCH('Feed conversion ratio'!D$1&amp;$A$1&amp;$A9,'Raw data'!$K$4:$K$267&amp;'Raw data'!$L$2&amp;'Raw data'!$L$4:$L$267,0))),"")</f>
        <v>1.1382393397524069</v>
      </c>
      <c r="E9" s="419">
        <f t="array" ref="E9">IFERROR(IF($E$1="","",INDEX('Raw data'!$W$4:$W$267,MATCH('Feed conversion ratio'!E$1&amp;$A$1&amp;$A9,'Raw data'!$K$4:$K$267&amp;'Raw data'!$L$2&amp;'Raw data'!$L$4:$L$267,0))),"")</f>
        <v>1.2625000000000002</v>
      </c>
      <c r="F9" s="419">
        <f t="array" ref="F9">IFERROR(IF($F$1="","",INDEX('Raw data'!$W$4:$W$267,MATCH('Feed conversion ratio'!F$1&amp;$A$1&amp;$A9,'Raw data'!$K$4:$K$267&amp;'Raw data'!$L$2&amp;'Raw data'!$L$4:$L$267,0))),"")</f>
        <v>1.774390243902439</v>
      </c>
      <c r="G9" s="442">
        <f t="array" ref="G9">IFERROR(IF($G$1="","",INDEX('Raw data'!$W$4:$W$267,MATCH('Feed conversion ratio'!G$1&amp;$A$1&amp;$A9,'Raw data'!$K$4:$K$267&amp;'Raw data'!$L$2&amp;'Raw data'!$L$4:$L$267,0))),"")</f>
        <v>1.7488687782805432</v>
      </c>
      <c r="H9" s="24"/>
    </row>
    <row r="10" spans="1:8" x14ac:dyDescent="0.25">
      <c r="A10" s="432">
        <f t="array" ref="A10">IFERROR(INDEX(Map!$V$2:$V$67,MATCH('Feed conversion ratio'!$B10&amp;'Feed conversion ratio'!$C10,Map!$W$2:$W$67&amp;Map!$X$2:$X$67,0)),"")</f>
        <v>63</v>
      </c>
      <c r="B10" s="418" t="str">
        <f>B2</f>
        <v>T1</v>
      </c>
      <c r="C10" s="436" t="s">
        <v>22</v>
      </c>
      <c r="D10" s="419">
        <f t="array" ref="D10">IFERROR(IF($D$1="","",INDEX('Raw data'!$W$4:$W$267,MATCH('Feed conversion ratio'!D$1&amp;$A$1&amp;$A10,'Raw data'!$K$4:$K$267&amp;'Raw data'!$L$2&amp;'Raw data'!$L$4:$L$267,0))),"")</f>
        <v>1.1456176673567979</v>
      </c>
      <c r="E10" s="419">
        <f t="array" ref="E10">IFERROR(IF($E$1="","",INDEX('Raw data'!$W$4:$W$267,MATCH('Feed conversion ratio'!E$1&amp;$A$1&amp;$A10,'Raw data'!$K$4:$K$267&amp;'Raw data'!$L$2&amp;'Raw data'!$L$4:$L$267,0))),"")</f>
        <v>1.2577694235588972</v>
      </c>
      <c r="F10" s="419">
        <f t="array" ref="F10">IFERROR(IF($F$1="","",INDEX('Raw data'!$W$4:$W$267,MATCH('Feed conversion ratio'!F$1&amp;$A$1&amp;$A10,'Raw data'!$K$4:$K$267&amp;'Raw data'!$L$2&amp;'Raw data'!$L$4:$L$267,0))),"")</f>
        <v>1.7615062761506277</v>
      </c>
      <c r="G10" s="442">
        <f t="array" ref="G10">IFERROR(IF($G$1="","",INDEX('Raw data'!$W$4:$W$267,MATCH('Feed conversion ratio'!G$1&amp;$A$1&amp;$A10,'Raw data'!$K$4:$K$267&amp;'Raw data'!$L$2&amp;'Raw data'!$L$4:$L$267,0))),"")</f>
        <v>1.7336559080662011</v>
      </c>
      <c r="H10" s="24"/>
    </row>
    <row r="11" spans="1:8" s="417" customFormat="1" x14ac:dyDescent="0.25">
      <c r="A11" s="432">
        <f t="array" ref="A11">IFERROR(INDEX(Map!$V$2:$V$67,MATCH('Feed conversion ratio'!$B11&amp;'Feed conversion ratio'!$C11,Map!$W$2:$W$67&amp;Map!$X$2:$X$67,0)),"")</f>
        <v>46</v>
      </c>
      <c r="B11" s="418" t="str">
        <f>B2</f>
        <v>T1</v>
      </c>
      <c r="C11" s="436" t="s">
        <v>101</v>
      </c>
      <c r="D11" s="419">
        <f t="array" ref="D11">IFERROR(IF($D$1="","",INDEX('Raw data'!$W$4:$W$267,MATCH('Feed conversion ratio'!D$1&amp;$A$1&amp;$A11,'Raw data'!$K$4:$K$267&amp;'Raw data'!$L$2&amp;'Raw data'!$L$4:$L$267,0))),"")</f>
        <v>1.1599176389842143</v>
      </c>
      <c r="E11" s="419">
        <f t="array" ref="E11">IFERROR(IF($E$1="","",INDEX('Raw data'!$W$4:$W$267,MATCH('Feed conversion ratio'!E$1&amp;$A$1&amp;$A11,'Raw data'!$K$4:$K$267&amp;'Raw data'!$L$2&amp;'Raw data'!$L$4:$L$267,0))),"")</f>
        <v>1.2802651325662833</v>
      </c>
      <c r="F11" s="419">
        <f t="array" ref="F11">IFERROR(IF($F$1="","",INDEX('Raw data'!$W$4:$W$267,MATCH('Feed conversion ratio'!F$1&amp;$A$1&amp;$A11,'Raw data'!$K$4:$K$267&amp;'Raw data'!$L$2&amp;'Raw data'!$L$4:$L$267,0))),"")</f>
        <v>1.7896772024209819</v>
      </c>
      <c r="G11" s="442">
        <f t="array" ref="G11">IFERROR(IF($G$1="","",INDEX('Raw data'!$W$4:$W$267,MATCH('Feed conversion ratio'!G$1&amp;$A$1&amp;$A11,'Raw data'!$K$4:$K$267&amp;'Raw data'!$L$2&amp;'Raw data'!$L$4:$L$267,0))),"")</f>
        <v>1.7479226175019476</v>
      </c>
      <c r="H11" s="418"/>
    </row>
    <row r="12" spans="1:8" s="417" customFormat="1" x14ac:dyDescent="0.25">
      <c r="A12" s="446">
        <f t="array" ref="A12">IFERROR(INDEX(Map!$V$2:$V$67,MATCH('Feed conversion ratio'!$B12&amp;'Feed conversion ratio'!$C12,Map!$W$2:$W$67&amp;Map!$X$2:$X$67,0)),"")</f>
        <v>66</v>
      </c>
      <c r="B12" s="418" t="str">
        <f>B2</f>
        <v>T1</v>
      </c>
      <c r="C12" s="436" t="s">
        <v>102</v>
      </c>
      <c r="D12" s="435">
        <f t="array" ref="D12">IFERROR(IF($D$1="","",INDEX('Raw data'!$W$4:$W$267,MATCH('Feed conversion ratio'!D$1&amp;$A$1&amp;$A12,'Raw data'!$K$4:$K$267&amp;'Raw data'!$L$2&amp;'Raw data'!$L$4:$L$267,0))),"")</f>
        <v>1.1003989361702127</v>
      </c>
      <c r="E12" s="435">
        <f t="array" ref="E12">IFERROR(IF($E$1="","",INDEX('Raw data'!$W$4:$W$267,MATCH('Feed conversion ratio'!E$1&amp;$A$1&amp;$A12,'Raw data'!$K$4:$K$267&amp;'Raw data'!$L$2&amp;'Raw data'!$L$4:$L$267,0))),"")</f>
        <v>1.2189534301452178</v>
      </c>
      <c r="F12" s="435">
        <f t="array" ref="F12">IFERROR(IF($F$1="","",INDEX('Raw data'!$W$4:$W$267,MATCH('Feed conversion ratio'!F$1&amp;$A$1&amp;$A12,'Raw data'!$K$4:$K$267&amp;'Raw data'!$L$2&amp;'Raw data'!$L$4:$L$267,0))),"")</f>
        <v>1.7970703822793856</v>
      </c>
      <c r="G12" s="443">
        <f t="array" ref="G12">IFERROR(IF($G$1="","",INDEX('Raw data'!$W$4:$W$267,MATCH('Feed conversion ratio'!G$1&amp;$A$1&amp;$A12,'Raw data'!$K$4:$K$267&amp;'Raw data'!$L$2&amp;'Raw data'!$L$4:$L$267,0))),"")</f>
        <v>1.7615144868983035</v>
      </c>
      <c r="H12" s="418"/>
    </row>
    <row r="13" spans="1:8" x14ac:dyDescent="0.25">
      <c r="A13" s="432"/>
      <c r="B13" s="565" t="s">
        <v>82</v>
      </c>
      <c r="C13" s="566"/>
      <c r="D13" s="437" t="str">
        <f>IF($D$1="","",(ROUND(AVERAGE(D2:D12),3)&amp;" ± "&amp;(ROUND(STDEV(D2:D12),3))))</f>
        <v>1,138 ± 0,019</v>
      </c>
      <c r="E13" s="437" t="str">
        <f>IF($E$1="","",(ROUND(AVERAGE(E2:E12),3)&amp;" ± "&amp;(ROUND(STDEV(E2:E12),3))))</f>
        <v>1,272 ± 0,024</v>
      </c>
      <c r="F13" s="437" t="str">
        <f>IF($F$1="","",(ROUND(AVERAGE(F2:F12),3)&amp;" ± "&amp;(ROUND(STDEV(F2:F12),3))))</f>
        <v>1,791 ± 0,032</v>
      </c>
      <c r="G13" s="444" t="str">
        <f>IF($G$1="","",(ROUND(AVERAGE(G2:G12),3)&amp;" ± "&amp;(ROUND(STDEV(G2:G12),3))))</f>
        <v>1,759 ± 0,023</v>
      </c>
      <c r="H13" s="24"/>
    </row>
    <row r="14" spans="1:8" ht="15.75" thickBot="1" x14ac:dyDescent="0.3">
      <c r="A14" s="433"/>
      <c r="B14" s="567" t="s">
        <v>83</v>
      </c>
      <c r="C14" s="568"/>
      <c r="D14" s="438">
        <f>IF($D$1="","",STDEV(D2:D12)/(AVERAGE(D2:D12)))</f>
        <v>1.6687187595355917E-2</v>
      </c>
      <c r="E14" s="438">
        <f>IF($E$1="","",STDEV(E2:E12)/(AVERAGE(E2:E12)))</f>
        <v>1.920169487586592E-2</v>
      </c>
      <c r="F14" s="438">
        <f>IF($F$1="","",STDEV(F2:F10)/(AVERAGE(F2:F10)))</f>
        <v>1.9837543281882829E-2</v>
      </c>
      <c r="G14" s="445">
        <f>IF($G$1="","",STDEV(G2:G12)/(AVERAGE(G2:G12)))</f>
        <v>1.3103064789619402E-2</v>
      </c>
      <c r="H14" s="24"/>
    </row>
    <row r="15" spans="1:8" x14ac:dyDescent="0.25">
      <c r="A15" s="431">
        <f t="array" ref="A15">IFERROR(INDEX(Map!$V$2:$V$67,MATCH('Feed conversion ratio'!$B15&amp;'Feed conversion ratio'!$C15,Map!$W$2:$W$67&amp;Map!$X$2:$X$67,0)),"")</f>
        <v>7</v>
      </c>
      <c r="B15" s="420" t="s">
        <v>13</v>
      </c>
      <c r="C15" s="439" t="s">
        <v>2</v>
      </c>
      <c r="D15" s="440">
        <f t="array" ref="D15">IFERROR(IF($D$1="","",INDEX('Raw data'!$W$4:$W$267,MATCH('Feed conversion ratio'!D$1&amp;$A$1&amp;$A15,'Raw data'!$K$4:$K$267&amp;'Raw data'!$L$2&amp;'Raw data'!$L$4:$L$267,0))),"")</f>
        <v>1.1345103878607385</v>
      </c>
      <c r="E15" s="440">
        <f t="array" ref="E15">IFERROR(IF($E$1="","",INDEX('Raw data'!$W$4:$W$267,MATCH('Feed conversion ratio'!E$1&amp;$A$1&amp;$A15,'Raw data'!$K$4:$K$267&amp;'Raw data'!$L$2&amp;'Raw data'!$L$4:$L$267,0))),"")</f>
        <v>1.264653595444825</v>
      </c>
      <c r="F15" s="440">
        <f t="array" ref="F15">IFERROR(IF($F$1="","",INDEX('Raw data'!$W$4:$W$267,MATCH('Feed conversion ratio'!F$1&amp;$A$1&amp;$A15,'Raw data'!$K$4:$K$267&amp;'Raw data'!$L$2&amp;'Raw data'!$L$4:$L$267,0))),"")</f>
        <v>1.7544749252066327</v>
      </c>
      <c r="G15" s="441">
        <f t="array" ref="G15">IFERROR(IF($G$1="","",INDEX('Raw data'!$W$4:$W$267,MATCH('Feed conversion ratio'!G$1&amp;$A$1&amp;$A15,'Raw data'!$K$4:$K$267&amp;'Raw data'!$L$2&amp;'Raw data'!$L$4:$L$267,0))),"")</f>
        <v>1.7525529978767145</v>
      </c>
      <c r="H15" s="24"/>
    </row>
    <row r="16" spans="1:8" x14ac:dyDescent="0.25">
      <c r="A16" s="432">
        <f t="array" ref="A16">IFERROR(INDEX(Map!$V$2:$V$67,MATCH('Feed conversion ratio'!$B16&amp;'Feed conversion ratio'!$C16,Map!$W$2:$W$67&amp;Map!$X$2:$X$67,0)),"")</f>
        <v>11</v>
      </c>
      <c r="B16" s="418" t="str">
        <f>B15</f>
        <v>T2</v>
      </c>
      <c r="C16" s="436" t="s">
        <v>3</v>
      </c>
      <c r="D16" s="419">
        <f t="array" ref="D16">IFERROR(IF($D$1="","",INDEX('Raw data'!$W$4:$W$267,MATCH('Feed conversion ratio'!D$1&amp;$A$1&amp;$A16,'Raw data'!$K$4:$K$267&amp;'Raw data'!$L$2&amp;'Raw data'!$L$4:$L$267,0))),"")</f>
        <v>1.137354363160815</v>
      </c>
      <c r="E16" s="419">
        <f t="array" ref="E16">IFERROR(IF($E$1="","",INDEX('Raw data'!$W$4:$W$267,MATCH('Feed conversion ratio'!E$1&amp;$A$1&amp;$A16,'Raw data'!$K$4:$K$267&amp;'Raw data'!$L$2&amp;'Raw data'!$L$4:$L$267,0))),"")</f>
        <v>1.2747586858340472</v>
      </c>
      <c r="F16" s="419">
        <f t="array" ref="F16">IFERROR(IF($F$1="","",INDEX('Raw data'!$W$4:$W$267,MATCH('Feed conversion ratio'!F$1&amp;$A$1&amp;$A16,'Raw data'!$K$4:$K$267&amp;'Raw data'!$L$2&amp;'Raw data'!$L$4:$L$267,0))),"")</f>
        <v>1.8117284552528428</v>
      </c>
      <c r="G16" s="442">
        <f t="array" ref="G16">IFERROR(IF($G$1="","",INDEX('Raw data'!$W$4:$W$267,MATCH('Feed conversion ratio'!G$1&amp;$A$1&amp;$A16,'Raw data'!$K$4:$K$267&amp;'Raw data'!$L$2&amp;'Raw data'!$L$4:$L$267,0))),"")</f>
        <v>1.7529164694028674</v>
      </c>
      <c r="H16" s="24"/>
    </row>
    <row r="17" spans="1:8" x14ac:dyDescent="0.25">
      <c r="A17" s="432">
        <f t="array" ref="A17">IFERROR(INDEX(Map!$V$2:$V$67,MATCH('Feed conversion ratio'!$B17&amp;'Feed conversion ratio'!$C17,Map!$W$2:$W$67&amp;Map!$X$2:$X$67,0)),"")</f>
        <v>16</v>
      </c>
      <c r="B17" s="418" t="str">
        <f>B15</f>
        <v>T2</v>
      </c>
      <c r="C17" s="436" t="s">
        <v>4</v>
      </c>
      <c r="D17" s="419">
        <f t="array" ref="D17">IFERROR(IF($D$1="","",INDEX('Raw data'!$W$4:$W$267,MATCH('Feed conversion ratio'!D$1&amp;$A$1&amp;$A17,'Raw data'!$K$4:$K$267&amp;'Raw data'!$L$2&amp;'Raw data'!$L$4:$L$267,0))),"")</f>
        <v>1.1248405076892083</v>
      </c>
      <c r="E17" s="419">
        <f t="array" ref="E17">IFERROR(IF($E$1="","",INDEX('Raw data'!$W$4:$W$267,MATCH('Feed conversion ratio'!E$1&amp;$A$1&amp;$A17,'Raw data'!$K$4:$K$267&amp;'Raw data'!$L$2&amp;'Raw data'!$L$4:$L$267,0))),"")</f>
        <v>1.2719623539039921</v>
      </c>
      <c r="F17" s="419">
        <f t="array" ref="F17">IFERROR(IF($F$1="","",INDEX('Raw data'!$W$4:$W$267,MATCH('Feed conversion ratio'!F$1&amp;$A$1&amp;$A17,'Raw data'!$K$4:$K$267&amp;'Raw data'!$L$2&amp;'Raw data'!$L$4:$L$267,0))),"")</f>
        <v>1.7763303345181205</v>
      </c>
      <c r="G17" s="442">
        <f t="array" ref="G17">IFERROR(IF($G$1="","",INDEX('Raw data'!$W$4:$W$267,MATCH('Feed conversion ratio'!G$1&amp;$A$1&amp;$A17,'Raw data'!$K$4:$K$267&amp;'Raw data'!$L$2&amp;'Raw data'!$L$4:$L$267,0))),"")</f>
        <v>1.708448998403018</v>
      </c>
      <c r="H17" s="24"/>
    </row>
    <row r="18" spans="1:8" x14ac:dyDescent="0.25">
      <c r="A18" s="432">
        <f t="array" ref="A18">IFERROR(INDEX(Map!$V$2:$V$67,MATCH('Feed conversion ratio'!$B18&amp;'Feed conversion ratio'!$C18,Map!$W$2:$W$67&amp;Map!$X$2:$X$67,0)),"")</f>
        <v>25</v>
      </c>
      <c r="B18" s="418" t="str">
        <f>B15</f>
        <v>T2</v>
      </c>
      <c r="C18" s="436" t="s">
        <v>5</v>
      </c>
      <c r="D18" s="419">
        <f t="array" ref="D18">IFERROR(IF($D$1="","",INDEX('Raw data'!$W$4:$W$267,MATCH('Feed conversion ratio'!D$1&amp;$A$1&amp;$A18,'Raw data'!$K$4:$K$267&amp;'Raw data'!$L$2&amp;'Raw data'!$L$4:$L$267,0))),"")</f>
        <v>1.128459900638751</v>
      </c>
      <c r="E18" s="419">
        <f t="array" ref="E18">IFERROR(IF($E$1="","",INDEX('Raw data'!$W$4:$W$267,MATCH('Feed conversion ratio'!E$1&amp;$A$1&amp;$A18,'Raw data'!$K$4:$K$267&amp;'Raw data'!$L$2&amp;'Raw data'!$L$4:$L$267,0))),"")</f>
        <v>1.2571241830065361</v>
      </c>
      <c r="F18" s="419">
        <f t="array" ref="F18">IFERROR(IF($F$1="","",INDEX('Raw data'!$W$4:$W$267,MATCH('Feed conversion ratio'!F$1&amp;$A$1&amp;$A18,'Raw data'!$K$4:$K$267&amp;'Raw data'!$L$2&amp;'Raw data'!$L$4:$L$267,0))),"")</f>
        <v>1.7489214840379639</v>
      </c>
      <c r="G18" s="442">
        <f t="array" ref="G18">IFERROR(IF($G$1="","",INDEX('Raw data'!$W$4:$W$267,MATCH('Feed conversion ratio'!G$1&amp;$A$1&amp;$A18,'Raw data'!$K$4:$K$267&amp;'Raw data'!$L$2&amp;'Raw data'!$L$4:$L$267,0))),"")</f>
        <v>1.7119386637458929</v>
      </c>
      <c r="H18" s="24"/>
    </row>
    <row r="19" spans="1:8" x14ac:dyDescent="0.25">
      <c r="A19" s="432">
        <f t="array" ref="A19">IFERROR(INDEX(Map!$V$2:$V$67,MATCH('Feed conversion ratio'!$B19&amp;'Feed conversion ratio'!$C19,Map!$W$2:$W$67&amp;Map!$X$2:$X$67,0)),"")</f>
        <v>34</v>
      </c>
      <c r="B19" s="418" t="str">
        <f>B15</f>
        <v>T2</v>
      </c>
      <c r="C19" s="436" t="s">
        <v>6</v>
      </c>
      <c r="D19" s="419">
        <f t="array" ref="D19">IFERROR(IF($D$1="","",INDEX('Raw data'!$W$4:$W$267,MATCH('Feed conversion ratio'!D$1&amp;$A$1&amp;$A19,'Raw data'!$K$4:$K$267&amp;'Raw data'!$L$2&amp;'Raw data'!$L$4:$L$267,0))),"")</f>
        <v>1.143674052894925</v>
      </c>
      <c r="E19" s="419">
        <f t="array" ref="E19">IFERROR(IF($E$1="","",INDEX('Raw data'!$W$4:$W$267,MATCH('Feed conversion ratio'!E$1&amp;$A$1&amp;$A19,'Raw data'!$K$4:$K$267&amp;'Raw data'!$L$2&amp;'Raw data'!$L$4:$L$267,0))),"")</f>
        <v>1.2813492063492065</v>
      </c>
      <c r="F19" s="419">
        <f t="array" ref="F19">IFERROR(IF($F$1="","",INDEX('Raw data'!$W$4:$W$267,MATCH('Feed conversion ratio'!F$1&amp;$A$1&amp;$A19,'Raw data'!$K$4:$K$267&amp;'Raw data'!$L$2&amp;'Raw data'!$L$4:$L$267,0))),"")</f>
        <v>1.7719756309834642</v>
      </c>
      <c r="G19" s="442">
        <f t="array" ref="G19">IFERROR(IF($G$1="","",INDEX('Raw data'!$W$4:$W$267,MATCH('Feed conversion ratio'!G$1&amp;$A$1&amp;$A19,'Raw data'!$K$4:$K$267&amp;'Raw data'!$L$2&amp;'Raw data'!$L$4:$L$267,0))),"")</f>
        <v>1.7375489647453835</v>
      </c>
      <c r="H19" s="24"/>
    </row>
    <row r="20" spans="1:8" x14ac:dyDescent="0.25">
      <c r="A20" s="432">
        <f t="array" ref="A20">IFERROR(INDEX(Map!$V$2:$V$67,MATCH('Feed conversion ratio'!$B20&amp;'Feed conversion ratio'!$C20,Map!$W$2:$W$67&amp;Map!$X$2:$X$67,0)),"")</f>
        <v>37</v>
      </c>
      <c r="B20" s="418" t="str">
        <f>B15</f>
        <v>T2</v>
      </c>
      <c r="C20" s="436" t="s">
        <v>7</v>
      </c>
      <c r="D20" s="419">
        <f t="array" ref="D20">IFERROR(IF($D$1="","",INDEX('Raw data'!$W$4:$W$267,MATCH('Feed conversion ratio'!D$1&amp;$A$1&amp;$A20,'Raw data'!$K$4:$K$267&amp;'Raw data'!$L$2&amp;'Raw data'!$L$4:$L$267,0))),"")</f>
        <v>1.1472480343102216</v>
      </c>
      <c r="E20" s="419">
        <f t="array" ref="E20">IFERROR(IF($E$1="","",INDEX('Raw data'!$W$4:$W$267,MATCH('Feed conversion ratio'!E$1&amp;$A$1&amp;$A20,'Raw data'!$K$4:$K$267&amp;'Raw data'!$L$2&amp;'Raw data'!$L$4:$L$267,0))),"")</f>
        <v>1.3223816355810614</v>
      </c>
      <c r="F20" s="419">
        <f t="array" ref="F20">IFERROR(IF($F$1="","",INDEX('Raw data'!$W$4:$W$267,MATCH('Feed conversion ratio'!F$1&amp;$A$1&amp;$A20,'Raw data'!$K$4:$K$267&amp;'Raw data'!$L$2&amp;'Raw data'!$L$4:$L$267,0))),"")</f>
        <v>1.7479395604395604</v>
      </c>
      <c r="G20" s="442">
        <f t="array" ref="G20">IFERROR(IF($G$1="","",INDEX('Raw data'!$W$4:$W$267,MATCH('Feed conversion ratio'!G$1&amp;$A$1&amp;$A20,'Raw data'!$K$4:$K$267&amp;'Raw data'!$L$2&amp;'Raw data'!$L$4:$L$267,0))),"")</f>
        <v>1.7594248761695108</v>
      </c>
      <c r="H20" s="24"/>
    </row>
    <row r="21" spans="1:8" x14ac:dyDescent="0.25">
      <c r="A21" s="432">
        <f t="array" ref="A21">IFERROR(INDEX(Map!$V$2:$V$67,MATCH('Feed conversion ratio'!$B21&amp;'Feed conversion ratio'!$C21,Map!$W$2:$W$67&amp;Map!$X$2:$X$67,0)),"")</f>
        <v>52</v>
      </c>
      <c r="B21" s="418" t="str">
        <f>B15</f>
        <v>T2</v>
      </c>
      <c r="C21" s="436" t="s">
        <v>8</v>
      </c>
      <c r="D21" s="419">
        <f t="array" ref="D21">IFERROR(IF($D$1="","",INDEX('Raw data'!$W$4:$W$267,MATCH('Feed conversion ratio'!D$1&amp;$A$1&amp;$A21,'Raw data'!$K$4:$K$267&amp;'Raw data'!$L$2&amp;'Raw data'!$L$4:$L$267,0))),"")</f>
        <v>1.119550858652576</v>
      </c>
      <c r="E21" s="419">
        <f t="array" ref="E21">IFERROR(IF($E$1="","",INDEX('Raw data'!$W$4:$W$267,MATCH('Feed conversion ratio'!E$1&amp;$A$1&amp;$A21,'Raw data'!$K$4:$K$267&amp;'Raw data'!$L$2&amp;'Raw data'!$L$4:$L$267,0))),"")</f>
        <v>1.3009090909090908</v>
      </c>
      <c r="F21" s="419">
        <f t="array" ref="F21">IFERROR(IF($F$1="","",INDEX('Raw data'!$W$4:$W$267,MATCH('Feed conversion ratio'!F$1&amp;$A$1&amp;$A21,'Raw data'!$K$4:$K$267&amp;'Raw data'!$L$2&amp;'Raw data'!$L$4:$L$267,0))),"")</f>
        <v>1.7342192691029903</v>
      </c>
      <c r="G21" s="442">
        <f t="array" ref="G21">IFERROR(IF($G$1="","",INDEX('Raw data'!$W$4:$W$267,MATCH('Feed conversion ratio'!G$1&amp;$A$1&amp;$A21,'Raw data'!$K$4:$K$267&amp;'Raw data'!$L$2&amp;'Raw data'!$L$4:$L$267,0))),"")</f>
        <v>1.7255330781848004</v>
      </c>
      <c r="H21" s="24"/>
    </row>
    <row r="22" spans="1:8" x14ac:dyDescent="0.25">
      <c r="A22" s="432">
        <f t="array" ref="A22">IFERROR(INDEX(Map!$V$2:$V$67,MATCH('Feed conversion ratio'!$B22&amp;'Feed conversion ratio'!$C22,Map!$W$2:$W$67&amp;Map!$X$2:$X$67,0)),"")</f>
        <v>57</v>
      </c>
      <c r="B22" s="418" t="str">
        <f>B15</f>
        <v>T2</v>
      </c>
      <c r="C22" s="436" t="s">
        <v>9</v>
      </c>
      <c r="D22" s="419">
        <f t="array" ref="D22">IFERROR(IF($D$1="","",INDEX('Raw data'!$W$4:$W$267,MATCH('Feed conversion ratio'!D$1&amp;$A$1&amp;$A22,'Raw data'!$K$4:$K$267&amp;'Raw data'!$L$2&amp;'Raw data'!$L$4:$L$267,0))),"")</f>
        <v>1.1707247001364651</v>
      </c>
      <c r="E22" s="419">
        <f t="array" ref="E22">IFERROR(IF($E$1="","",INDEX('Raw data'!$W$4:$W$267,MATCH('Feed conversion ratio'!E$1&amp;$A$1&amp;$A22,'Raw data'!$K$4:$K$267&amp;'Raw data'!$L$2&amp;'Raw data'!$L$4:$L$267,0))),"")</f>
        <v>1.2847382262831117</v>
      </c>
      <c r="F22" s="419">
        <f t="array" ref="F22">IFERROR(IF($F$1="","",INDEX('Raw data'!$W$4:$W$267,MATCH('Feed conversion ratio'!F$1&amp;$A$1&amp;$A22,'Raw data'!$K$4:$K$267&amp;'Raw data'!$L$2&amp;'Raw data'!$L$4:$L$267,0))),"")</f>
        <v>1.8249957732985178</v>
      </c>
      <c r="G22" s="442">
        <f t="array" ref="G22">IFERROR(IF($G$1="","",INDEX('Raw data'!$W$4:$W$267,MATCH('Feed conversion ratio'!G$1&amp;$A$1&amp;$A22,'Raw data'!$K$4:$K$267&amp;'Raw data'!$L$2&amp;'Raw data'!$L$4:$L$267,0))),"")</f>
        <v>1.7957633991104116</v>
      </c>
      <c r="H22" s="24"/>
    </row>
    <row r="23" spans="1:8" x14ac:dyDescent="0.25">
      <c r="A23" s="432">
        <f t="array" ref="A23">IFERROR(INDEX(Map!$V$2:$V$67,MATCH('Feed conversion ratio'!$B23&amp;'Feed conversion ratio'!$C23,Map!$W$2:$W$67&amp;Map!$X$2:$X$67,0)),"")</f>
        <v>61</v>
      </c>
      <c r="B23" s="418" t="str">
        <f>B15</f>
        <v>T2</v>
      </c>
      <c r="C23" s="436" t="s">
        <v>22</v>
      </c>
      <c r="D23" s="419">
        <f t="array" ref="D23">IFERROR(IF($D$1="","",INDEX('Raw data'!$W$4:$W$267,MATCH('Feed conversion ratio'!D$1&amp;$A$1&amp;$A23,'Raw data'!$K$4:$K$267&amp;'Raw data'!$L$2&amp;'Raw data'!$L$4:$L$267,0))),"")</f>
        <v>1.1431020933057083</v>
      </c>
      <c r="E23" s="419">
        <f t="array" ref="E23">IFERROR(IF($E$1="","",INDEX('Raw data'!$W$4:$W$267,MATCH('Feed conversion ratio'!E$1&amp;$A$1&amp;$A23,'Raw data'!$K$4:$K$267&amp;'Raw data'!$L$2&amp;'Raw data'!$L$4:$L$267,0))),"")</f>
        <v>1.2690082969089433</v>
      </c>
      <c r="F23" s="419">
        <f t="array" ref="F23">IFERROR(IF($F$1="","",INDEX('Raw data'!$W$4:$W$267,MATCH('Feed conversion ratio'!F$1&amp;$A$1&amp;$A23,'Raw data'!$K$4:$K$267&amp;'Raw data'!$L$2&amp;'Raw data'!$L$4:$L$267,0))),"")</f>
        <v>1.8163738208622988</v>
      </c>
      <c r="G23" s="442">
        <f t="array" ref="G23">IFERROR(IF($G$1="","",INDEX('Raw data'!$W$4:$W$267,MATCH('Feed conversion ratio'!G$1&amp;$A$1&amp;$A23,'Raw data'!$K$4:$K$267&amp;'Raw data'!$L$2&amp;'Raw data'!$L$4:$L$267,0))),"")</f>
        <v>1.7621506433898864</v>
      </c>
      <c r="H23" s="24"/>
    </row>
    <row r="24" spans="1:8" s="417" customFormat="1" x14ac:dyDescent="0.25">
      <c r="A24" s="432">
        <f t="array" ref="A24">IFERROR(INDEX(Map!$V$2:$V$67,MATCH('Feed conversion ratio'!$B24&amp;'Feed conversion ratio'!$C24,Map!$W$2:$W$67&amp;Map!$X$2:$X$67,0)),"")</f>
        <v>2</v>
      </c>
      <c r="B24" s="418" t="str">
        <f>B15</f>
        <v>T2</v>
      </c>
      <c r="C24" s="436" t="s">
        <v>101</v>
      </c>
      <c r="D24" s="419">
        <f t="array" ref="D24">IFERROR(IF($D$1="","",INDEX('Raw data'!$W$4:$W$267,MATCH('Feed conversion ratio'!D$1&amp;$A$1&amp;$A24,'Raw data'!$K$4:$K$267&amp;'Raw data'!$L$2&amp;'Raw data'!$L$4:$L$267,0))),"")</f>
        <v>1.1939268461007593</v>
      </c>
      <c r="E24" s="419">
        <f t="array" ref="E24">IFERROR(IF($E$1="","",INDEX('Raw data'!$W$4:$W$267,MATCH('Feed conversion ratio'!E$1&amp;$A$1&amp;$A24,'Raw data'!$K$4:$K$267&amp;'Raw data'!$L$2&amp;'Raw data'!$L$4:$L$267,0))),"")</f>
        <v>1.2941860465116277</v>
      </c>
      <c r="F24" s="419">
        <f t="array" ref="F24">IFERROR(IF($F$1="","",INDEX('Raw data'!$W$4:$W$267,MATCH('Feed conversion ratio'!F$1&amp;$A$1&amp;$A24,'Raw data'!$K$4:$K$267&amp;'Raw data'!$L$2&amp;'Raw data'!$L$4:$L$267,0))),"")</f>
        <v>1.7986111111111112</v>
      </c>
      <c r="G24" s="442">
        <f t="array" ref="G24">IFERROR(IF($G$1="","",INDEX('Raw data'!$W$4:$W$267,MATCH('Feed conversion ratio'!G$1&amp;$A$1&amp;$A24,'Raw data'!$K$4:$K$267&amp;'Raw data'!$L$2&amp;'Raw data'!$L$4:$L$267,0))),"")</f>
        <v>1.7615507878572065</v>
      </c>
      <c r="H24" s="418"/>
    </row>
    <row r="25" spans="1:8" s="417" customFormat="1" x14ac:dyDescent="0.25">
      <c r="A25" s="446">
        <f t="array" ref="A25">IFERROR(INDEX(Map!$V$2:$V$67,MATCH('Feed conversion ratio'!$B25&amp;'Feed conversion ratio'!$C25,Map!$W$2:$W$67&amp;Map!$X$2:$X$67,0)),"")</f>
        <v>21</v>
      </c>
      <c r="B25" s="418" t="str">
        <f>B15</f>
        <v>T2</v>
      </c>
      <c r="C25" s="436" t="s">
        <v>102</v>
      </c>
      <c r="D25" s="435">
        <f t="array" ref="D25">IFERROR(IF($D$1="","",INDEX('Raw data'!$W$4:$W$267,MATCH('Feed conversion ratio'!D$1&amp;$A$1&amp;$A25,'Raw data'!$K$4:$K$267&amp;'Raw data'!$L$2&amp;'Raw data'!$L$4:$L$267,0))),"")</f>
        <v>1.1705814401232191</v>
      </c>
      <c r="E25" s="435">
        <f t="array" ref="E25">IFERROR(IF($E$1="","",INDEX('Raw data'!$W$4:$W$267,MATCH('Feed conversion ratio'!E$1&amp;$A$1&amp;$A25,'Raw data'!$K$4:$K$267&amp;'Raw data'!$L$2&amp;'Raw data'!$L$4:$L$267,0))),"")</f>
        <v>1.2374257138715754</v>
      </c>
      <c r="F25" s="435">
        <f t="array" ref="F25">IFERROR(IF($F$1="","",INDEX('Raw data'!$W$4:$W$267,MATCH('Feed conversion ratio'!F$1&amp;$A$1&amp;$A25,'Raw data'!$K$4:$K$267&amp;'Raw data'!$L$2&amp;'Raw data'!$L$4:$L$267,0))),"")</f>
        <v>1.8352846992895027</v>
      </c>
      <c r="G25" s="443">
        <f t="array" ref="G25">IFERROR(IF($G$1="","",INDEX('Raw data'!$W$4:$W$267,MATCH('Feed conversion ratio'!G$1&amp;$A$1&amp;$A25,'Raw data'!$K$4:$K$267&amp;'Raw data'!$L$2&amp;'Raw data'!$L$4:$L$267,0))),"")</f>
        <v>1.7802677832919764</v>
      </c>
      <c r="H25" s="418"/>
    </row>
    <row r="26" spans="1:8" s="417" customFormat="1" x14ac:dyDescent="0.25">
      <c r="A26" s="432"/>
      <c r="B26" s="565" t="s">
        <v>82</v>
      </c>
      <c r="C26" s="566"/>
      <c r="D26" s="437" t="str">
        <f>IF($D$1="","",(ROUND(AVERAGE(D15:D25),3)&amp;" ± "&amp;(ROUND(STDEV(D15:D25),3))))</f>
        <v>1,147 ± 0,023</v>
      </c>
      <c r="E26" s="437" t="str">
        <f>IF($E$1="","",(ROUND(AVERAGE(E15:E25),3)&amp;" ± "&amp;(ROUND(STDEV(E15:E25),3))))</f>
        <v>1,278 ± 0,023</v>
      </c>
      <c r="F26" s="437" t="str">
        <f>IF($F$1="","",(ROUND(AVERAGE(F15:F25),3)&amp;" ± "&amp;(ROUND(STDEV(F15:F25),3))))</f>
        <v>1,784 ± 0,035</v>
      </c>
      <c r="G26" s="444" t="str">
        <f>IF($G$1="","",(ROUND(AVERAGE(G15:G25),3)&amp;" ± "&amp;(ROUND(STDEV(G15:G25),3))))</f>
        <v>1,75 ± 0,027</v>
      </c>
      <c r="H26" s="418"/>
    </row>
    <row r="27" spans="1:8" s="417" customFormat="1" ht="15.75" thickBot="1" x14ac:dyDescent="0.3">
      <c r="A27" s="433"/>
      <c r="B27" s="567" t="s">
        <v>83</v>
      </c>
      <c r="C27" s="568"/>
      <c r="D27" s="438">
        <f>IF($D$1="","",STDEV(D15:D25)/(AVERAGE(D15:D25)))</f>
        <v>1.9854812641852713E-2</v>
      </c>
      <c r="E27" s="438">
        <f>IF($E$1="","",STDEV(E15:E25)/(AVERAGE(E15:E25)))</f>
        <v>1.7844465485997718E-2</v>
      </c>
      <c r="F27" s="438">
        <f>IF($F$1="","",STDEV(F15:F23)/(AVERAGE(F15:F23)))</f>
        <v>1.8936765070321986E-2</v>
      </c>
      <c r="G27" s="445">
        <f>IF($G$1="","",STDEV(G15:G25)/(AVERAGE(G15:G25)))</f>
        <v>1.546584584557001E-2</v>
      </c>
      <c r="H27" s="418"/>
    </row>
    <row r="28" spans="1:8" x14ac:dyDescent="0.25">
      <c r="A28" s="431">
        <f t="array" ref="A28">IFERROR(INDEX(Map!$V$2:$V$67,MATCH('Feed conversion ratio'!$B28&amp;'Feed conversion ratio'!$C28,Map!$W$2:$W$67&amp;Map!$X$2:$X$67,0)),"")</f>
        <v>4</v>
      </c>
      <c r="B28" s="420" t="s">
        <v>12</v>
      </c>
      <c r="C28" s="439" t="s">
        <v>2</v>
      </c>
      <c r="D28" s="440">
        <f t="array" ref="D28">IFERROR(IF($D$1="","",INDEX('Raw data'!$W$4:$W$267,MATCH('Feed conversion ratio'!D$1&amp;$A$1&amp;$A28,'Raw data'!$K$4:$K$267&amp;'Raw data'!$L$2&amp;'Raw data'!$L$4:$L$267,0))),"")</f>
        <v>1.1553533939818055</v>
      </c>
      <c r="E28" s="440">
        <f t="array" ref="E28">IFERROR(IF($E$1="","",INDEX('Raw data'!$W$4:$W$267,MATCH('Feed conversion ratio'!E$1&amp;$A$1&amp;$A28,'Raw data'!$K$4:$K$267&amp;'Raw data'!$L$2&amp;'Raw data'!$L$4:$L$267,0))),"")</f>
        <v>1.2797709923664125</v>
      </c>
      <c r="F28" s="440">
        <f t="array" ref="F28">IFERROR(IF($F$1="","",INDEX('Raw data'!$W$4:$W$267,MATCH('Feed conversion ratio'!F$1&amp;$A$1&amp;$A28,'Raw data'!$K$4:$K$267&amp;'Raw data'!$L$2&amp;'Raw data'!$L$4:$L$267,0))),"")</f>
        <v>1.7807370184254607</v>
      </c>
      <c r="G28" s="441">
        <f t="array" ref="G28">IFERROR(IF($G$1="","",INDEX('Raw data'!$W$4:$W$267,MATCH('Feed conversion ratio'!G$1&amp;$A$1&amp;$A28,'Raw data'!$K$4:$K$267&amp;'Raw data'!$L$2&amp;'Raw data'!$L$4:$L$267,0))),"")</f>
        <v>1.7287935656836457</v>
      </c>
      <c r="H28" s="24"/>
    </row>
    <row r="29" spans="1:8" x14ac:dyDescent="0.25">
      <c r="A29" s="432">
        <f t="array" ref="A29">IFERROR(INDEX(Map!$V$2:$V$67,MATCH('Feed conversion ratio'!$B29&amp;'Feed conversion ratio'!$C29,Map!$W$2:$W$67&amp;Map!$X$2:$X$67,0)),"")</f>
        <v>13</v>
      </c>
      <c r="B29" s="418" t="str">
        <f>B28</f>
        <v>T3</v>
      </c>
      <c r="C29" s="436" t="s">
        <v>3</v>
      </c>
      <c r="D29" s="419">
        <f t="array" ref="D29">IFERROR(IF($D$1="","",INDEX('Raw data'!$W$4:$W$267,MATCH('Feed conversion ratio'!D$1&amp;$A$1&amp;$A29,'Raw data'!$K$4:$K$267&amp;'Raw data'!$L$2&amp;'Raw data'!$L$4:$L$267,0))),"")</f>
        <v>1.1406025824964134</v>
      </c>
      <c r="E29" s="419">
        <f t="array" ref="E29">IFERROR(IF($E$1="","",INDEX('Raw data'!$W$4:$W$267,MATCH('Feed conversion ratio'!E$1&amp;$A$1&amp;$A29,'Raw data'!$K$4:$K$267&amp;'Raw data'!$L$2&amp;'Raw data'!$L$4:$L$267,0))),"")</f>
        <v>1.2960401410360725</v>
      </c>
      <c r="F29" s="419">
        <f t="array" ref="F29">IFERROR(IF($F$1="","",INDEX('Raw data'!$W$4:$W$267,MATCH('Feed conversion ratio'!F$1&amp;$A$1&amp;$A29,'Raw data'!$K$4:$K$267&amp;'Raw data'!$L$2&amp;'Raw data'!$L$4:$L$267,0))),"")</f>
        <v>1.8176914778856528</v>
      </c>
      <c r="G29" s="442">
        <f t="array" ref="G29">IFERROR(IF($G$1="","",INDEX('Raw data'!$W$4:$W$267,MATCH('Feed conversion ratio'!G$1&amp;$A$1&amp;$A29,'Raw data'!$K$4:$K$267&amp;'Raw data'!$L$2&amp;'Raw data'!$L$4:$L$267,0))),"")</f>
        <v>1.7660892508890675</v>
      </c>
      <c r="H29" s="24"/>
    </row>
    <row r="30" spans="1:8" x14ac:dyDescent="0.25">
      <c r="A30" s="432">
        <f t="array" ref="A30">IFERROR(INDEX(Map!$V$2:$V$67,MATCH('Feed conversion ratio'!$B30&amp;'Feed conversion ratio'!$C30,Map!$W$2:$W$67&amp;Map!$X$2:$X$67,0)),"")</f>
        <v>19</v>
      </c>
      <c r="B30" s="418" t="str">
        <f>B28</f>
        <v>T3</v>
      </c>
      <c r="C30" s="436" t="s">
        <v>4</v>
      </c>
      <c r="D30" s="419">
        <f t="array" ref="D30">IFERROR(IF($D$1="","",INDEX('Raw data'!$W$4:$W$267,MATCH('Feed conversion ratio'!D$1&amp;$A$1&amp;$A30,'Raw data'!$K$4:$K$267&amp;'Raw data'!$L$2&amp;'Raw data'!$L$4:$L$267,0))),"")</f>
        <v>1.1310452418096724</v>
      </c>
      <c r="E30" s="419">
        <f t="array" ref="E30">IFERROR(IF($E$1="","",INDEX('Raw data'!$W$4:$W$267,MATCH('Feed conversion ratio'!E$1&amp;$A$1&amp;$A30,'Raw data'!$K$4:$K$267&amp;'Raw data'!$L$2&amp;'Raw data'!$L$4:$L$267,0))),"")</f>
        <v>1.2812877871825874</v>
      </c>
      <c r="F30" s="419">
        <f t="array" ref="F30">IFERROR(IF($F$1="","",INDEX('Raw data'!$W$4:$W$267,MATCH('Feed conversion ratio'!F$1&amp;$A$1&amp;$A30,'Raw data'!$K$4:$K$267&amp;'Raw data'!$L$2&amp;'Raw data'!$L$4:$L$267,0))),"")</f>
        <v>1.8600252206809584</v>
      </c>
      <c r="G30" s="442">
        <f t="array" ref="G30">IFERROR(IF($G$1="","",INDEX('Raw data'!$W$4:$W$267,MATCH('Feed conversion ratio'!G$1&amp;$A$1&amp;$A30,'Raw data'!$K$4:$K$267&amp;'Raw data'!$L$2&amp;'Raw data'!$L$4:$L$267,0))),"")</f>
        <v>1.7763586602371957</v>
      </c>
      <c r="H30" s="24"/>
    </row>
    <row r="31" spans="1:8" x14ac:dyDescent="0.25">
      <c r="A31" s="432">
        <f t="array" ref="A31">IFERROR(INDEX(Map!$V$2:$V$67,MATCH('Feed conversion ratio'!$B31&amp;'Feed conversion ratio'!$C31,Map!$W$2:$W$67&amp;Map!$X$2:$X$67,0)),"")</f>
        <v>26</v>
      </c>
      <c r="B31" s="418" t="str">
        <f>B28</f>
        <v>T3</v>
      </c>
      <c r="C31" s="436" t="s">
        <v>5</v>
      </c>
      <c r="D31" s="419">
        <f t="array" ref="D31">IFERROR(IF($D$1="","",INDEX('Raw data'!$W$4:$W$267,MATCH('Feed conversion ratio'!D$1&amp;$A$1&amp;$A31,'Raw data'!$K$4:$K$267&amp;'Raw data'!$L$2&amp;'Raw data'!$L$4:$L$267,0))),"")</f>
        <v>1.1986557132188203</v>
      </c>
      <c r="E31" s="419">
        <f t="array" ref="E31">IFERROR(IF($E$1="","",INDEX('Raw data'!$W$4:$W$267,MATCH('Feed conversion ratio'!E$1&amp;$A$1&amp;$A31,'Raw data'!$K$4:$K$267&amp;'Raw data'!$L$2&amp;'Raw data'!$L$4:$L$267,0))),"")</f>
        <v>1.3025245441795226</v>
      </c>
      <c r="F31" s="419">
        <f t="array" ref="F31">IFERROR(IF($F$1="","",INDEX('Raw data'!$W$4:$W$267,MATCH('Feed conversion ratio'!F$1&amp;$A$1&amp;$A31,'Raw data'!$K$4:$K$267&amp;'Raw data'!$L$2&amp;'Raw data'!$L$4:$L$267,0))),"")</f>
        <v>1.8079044117647058</v>
      </c>
      <c r="G31" s="442">
        <f t="array" ref="G31">IFERROR(IF($G$1="","",INDEX('Raw data'!$W$4:$W$267,MATCH('Feed conversion ratio'!G$1&amp;$A$1&amp;$A31,'Raw data'!$K$4:$K$267&amp;'Raw data'!$L$2&amp;'Raw data'!$L$4:$L$267,0))),"")</f>
        <v>1.7581018518518519</v>
      </c>
      <c r="H31" s="24"/>
    </row>
    <row r="32" spans="1:8" x14ac:dyDescent="0.25">
      <c r="A32" s="432">
        <f t="array" ref="A32">IFERROR(INDEX(Map!$V$2:$V$67,MATCH('Feed conversion ratio'!$B32&amp;'Feed conversion ratio'!$C32,Map!$W$2:$W$67&amp;Map!$X$2:$X$67,0)),"")</f>
        <v>33</v>
      </c>
      <c r="B32" s="418" t="str">
        <f>B28</f>
        <v>T3</v>
      </c>
      <c r="C32" s="436" t="s">
        <v>6</v>
      </c>
      <c r="D32" s="419">
        <f t="array" ref="D32">IFERROR(IF($D$1="","",INDEX('Raw data'!$W$4:$W$267,MATCH('Feed conversion ratio'!D$1&amp;$A$1&amp;$A32,'Raw data'!$K$4:$K$267&amp;'Raw data'!$L$2&amp;'Raw data'!$L$4:$L$267,0))),"")</f>
        <v>1.1400293255131966</v>
      </c>
      <c r="E32" s="419">
        <f t="array" ref="E32">IFERROR(IF($E$1="","",INDEX('Raw data'!$W$4:$W$267,MATCH('Feed conversion ratio'!E$1&amp;$A$1&amp;$A32,'Raw data'!$K$4:$K$267&amp;'Raw data'!$L$2&amp;'Raw data'!$L$4:$L$267,0))),"")</f>
        <v>1.2853099730458224</v>
      </c>
      <c r="F32" s="419">
        <f t="array" ref="F32">IFERROR(IF($F$1="","",INDEX('Raw data'!$W$4:$W$267,MATCH('Feed conversion ratio'!F$1&amp;$A$1&amp;$A32,'Raw data'!$K$4:$K$267&amp;'Raw data'!$L$2&amp;'Raw data'!$L$4:$L$267,0))),"")</f>
        <v>1.7814113597246126</v>
      </c>
      <c r="G32" s="442">
        <f t="array" ref="G32">IFERROR(IF($G$1="","",INDEX('Raw data'!$W$4:$W$267,MATCH('Feed conversion ratio'!G$1&amp;$A$1&amp;$A32,'Raw data'!$K$4:$K$267&amp;'Raw data'!$L$2&amp;'Raw data'!$L$4:$L$267,0))),"")</f>
        <v>1.7441480675013612</v>
      </c>
      <c r="H32" s="24"/>
    </row>
    <row r="33" spans="1:8" x14ac:dyDescent="0.25">
      <c r="A33" s="432">
        <f t="array" ref="A33">IFERROR(INDEX(Map!$V$2:$V$67,MATCH('Feed conversion ratio'!$B33&amp;'Feed conversion ratio'!$C33,Map!$W$2:$W$67&amp;Map!$X$2:$X$67,0)),"")</f>
        <v>40</v>
      </c>
      <c r="B33" s="418" t="str">
        <f>B28</f>
        <v>T3</v>
      </c>
      <c r="C33" s="436" t="s">
        <v>7</v>
      </c>
      <c r="D33" s="419">
        <f t="array" ref="D33">IFERROR(IF($D$1="","",INDEX('Raw data'!$W$4:$W$267,MATCH('Feed conversion ratio'!D$1&amp;$A$1&amp;$A33,'Raw data'!$K$4:$K$267&amp;'Raw data'!$L$2&amp;'Raw data'!$L$4:$L$267,0))),"")</f>
        <v>1.1312545322697609</v>
      </c>
      <c r="E33" s="419">
        <f t="array" ref="E33">IFERROR(IF($E$1="","",INDEX('Raw data'!$W$4:$W$267,MATCH('Feed conversion ratio'!E$1&amp;$A$1&amp;$A33,'Raw data'!$K$4:$K$267&amp;'Raw data'!$L$2&amp;'Raw data'!$L$4:$L$267,0))),"")</f>
        <v>1.2692408376963349</v>
      </c>
      <c r="F33" s="419">
        <f t="array" ref="F33">IFERROR(IF($F$1="","",INDEX('Raw data'!$W$4:$W$267,MATCH('Feed conversion ratio'!F$1&amp;$A$1&amp;$A33,'Raw data'!$K$4:$K$267&amp;'Raw data'!$L$2&amp;'Raw data'!$L$4:$L$267,0))),"")</f>
        <v>1.7782571182053493</v>
      </c>
      <c r="G33" s="442">
        <f t="array" ref="G33">IFERROR(IF($G$1="","",INDEX('Raw data'!$W$4:$W$267,MATCH('Feed conversion ratio'!G$1&amp;$A$1&amp;$A33,'Raw data'!$K$4:$K$267&amp;'Raw data'!$L$2&amp;'Raw data'!$L$4:$L$267,0))),"")</f>
        <v>1.723392760669908</v>
      </c>
      <c r="H33" s="24"/>
    </row>
    <row r="34" spans="1:8" x14ac:dyDescent="0.25">
      <c r="A34" s="432">
        <f t="array" ref="A34">IFERROR(INDEX(Map!$V$2:$V$67,MATCH('Feed conversion ratio'!$B34&amp;'Feed conversion ratio'!$C34,Map!$W$2:$W$67&amp;Map!$X$2:$X$67,0)),"")</f>
        <v>51</v>
      </c>
      <c r="B34" s="418" t="str">
        <f>B28</f>
        <v>T3</v>
      </c>
      <c r="C34" s="436" t="s">
        <v>8</v>
      </c>
      <c r="D34" s="419">
        <f t="array" ref="D34">IFERROR(IF($D$1="","",INDEX('Raw data'!$W$4:$W$267,MATCH('Feed conversion ratio'!D$1&amp;$A$1&amp;$A34,'Raw data'!$K$4:$K$267&amp;'Raw data'!$L$2&amp;'Raw data'!$L$4:$L$267,0))),"")</f>
        <v>1.1253462603878117</v>
      </c>
      <c r="E34" s="419">
        <f t="array" ref="E34">IFERROR(IF($E$1="","",INDEX('Raw data'!$W$4:$W$267,MATCH('Feed conversion ratio'!E$1&amp;$A$1&amp;$A34,'Raw data'!$K$4:$K$267&amp;'Raw data'!$L$2&amp;'Raw data'!$L$4:$L$267,0))),"")</f>
        <v>1.2956000000000001</v>
      </c>
      <c r="F34" s="419">
        <f t="array" ref="F34">IFERROR(IF($F$1="","",INDEX('Raw data'!$W$4:$W$267,MATCH('Feed conversion ratio'!F$1&amp;$A$1&amp;$A34,'Raw data'!$K$4:$K$267&amp;'Raw data'!$L$2&amp;'Raw data'!$L$4:$L$267,0))),"")</f>
        <v>1.7986171132238551</v>
      </c>
      <c r="G34" s="442">
        <f t="array" ref="G34">IFERROR(IF($G$1="","",INDEX('Raw data'!$W$4:$W$267,MATCH('Feed conversion ratio'!G$1&amp;$A$1&amp;$A34,'Raw data'!$K$4:$K$267&amp;'Raw data'!$L$2&amp;'Raw data'!$L$4:$L$267,0))),"")</f>
        <v>1.752449212812462</v>
      </c>
      <c r="H34" s="24"/>
    </row>
    <row r="35" spans="1:8" x14ac:dyDescent="0.25">
      <c r="A35" s="432">
        <f t="array" ref="A35">IFERROR(INDEX(Map!$V$2:$V$67,MATCH('Feed conversion ratio'!$B35&amp;'Feed conversion ratio'!$C35,Map!$W$2:$W$67&amp;Map!$X$2:$X$67,0)),"")</f>
        <v>56</v>
      </c>
      <c r="B35" s="418" t="str">
        <f>B28</f>
        <v>T3</v>
      </c>
      <c r="C35" s="436" t="s">
        <v>9</v>
      </c>
      <c r="D35" s="419">
        <f t="array" ref="D35">IFERROR(IF($D$1="","",INDEX('Raw data'!$W$4:$W$267,MATCH('Feed conversion ratio'!D$1&amp;$A$1&amp;$A35,'Raw data'!$K$4:$K$267&amp;'Raw data'!$L$2&amp;'Raw data'!$L$4:$L$267,0))),"")</f>
        <v>1.0864903502501788</v>
      </c>
      <c r="E35" s="419">
        <f t="array" ref="E35">IFERROR(IF($E$1="","",INDEX('Raw data'!$W$4:$W$267,MATCH('Feed conversion ratio'!E$1&amp;$A$1&amp;$A35,'Raw data'!$K$4:$K$267&amp;'Raw data'!$L$2&amp;'Raw data'!$L$4:$L$267,0))),"")</f>
        <v>1.2429894179894181</v>
      </c>
      <c r="F35" s="419">
        <f t="array" ref="F35">IFERROR(IF($F$1="","",INDEX('Raw data'!$W$4:$W$267,MATCH('Feed conversion ratio'!F$1&amp;$A$1&amp;$A35,'Raw data'!$K$4:$K$267&amp;'Raw data'!$L$2&amp;'Raw data'!$L$4:$L$267,0))),"")</f>
        <v>1.7689625108979947</v>
      </c>
      <c r="G35" s="442">
        <f t="array" ref="G35">IFERROR(IF($G$1="","",INDEX('Raw data'!$W$4:$W$267,MATCH('Feed conversion ratio'!G$1&amp;$A$1&amp;$A35,'Raw data'!$K$4:$K$267&amp;'Raw data'!$L$2&amp;'Raw data'!$L$4:$L$267,0))),"")</f>
        <v>1.7345323498703309</v>
      </c>
      <c r="H35" s="24"/>
    </row>
    <row r="36" spans="1:8" x14ac:dyDescent="0.25">
      <c r="A36" s="432">
        <f t="array" ref="A36">IFERROR(INDEX(Map!$V$2:$V$67,MATCH('Feed conversion ratio'!$B36&amp;'Feed conversion ratio'!$C36,Map!$W$2:$W$67&amp;Map!$X$2:$X$67,0)),"")</f>
        <v>59</v>
      </c>
      <c r="B36" s="418" t="str">
        <f>B28</f>
        <v>T3</v>
      </c>
      <c r="C36" s="436" t="s">
        <v>22</v>
      </c>
      <c r="D36" s="419">
        <f t="array" ref="D36">IFERROR(IF($D$1="","",INDEX('Raw data'!$W$4:$W$267,MATCH('Feed conversion ratio'!D$1&amp;$A$1&amp;$A36,'Raw data'!$K$4:$K$267&amp;'Raw data'!$L$2&amp;'Raw data'!$L$4:$L$267,0))),"")</f>
        <v>1.172265904217298</v>
      </c>
      <c r="E36" s="419">
        <f t="array" ref="E36">IFERROR(IF($E$1="","",INDEX('Raw data'!$W$4:$W$267,MATCH('Feed conversion ratio'!E$1&amp;$A$1&amp;$A36,'Raw data'!$K$4:$K$267&amp;'Raw data'!$L$2&amp;'Raw data'!$L$4:$L$267,0))),"")</f>
        <v>1.2762337662337662</v>
      </c>
      <c r="F36" s="419">
        <f t="array" ref="F36">IFERROR(IF($F$1="","",INDEX('Raw data'!$W$4:$W$267,MATCH('Feed conversion ratio'!F$1&amp;$A$1&amp;$A36,'Raw data'!$K$4:$K$267&amp;'Raw data'!$L$2&amp;'Raw data'!$L$4:$L$267,0))),"")</f>
        <v>1.8120629370629373</v>
      </c>
      <c r="G36" s="442">
        <f t="array" ref="G36">IFERROR(IF($G$1="","",INDEX('Raw data'!$W$4:$W$267,MATCH('Feed conversion ratio'!G$1&amp;$A$1&amp;$A36,'Raw data'!$K$4:$K$267&amp;'Raw data'!$L$2&amp;'Raw data'!$L$4:$L$267,0))),"")</f>
        <v>1.7549778761061947</v>
      </c>
      <c r="H36" s="24"/>
    </row>
    <row r="37" spans="1:8" s="417" customFormat="1" x14ac:dyDescent="0.25">
      <c r="A37" s="432">
        <f t="array" ref="A37">IFERROR(INDEX(Map!$V$2:$V$67,MATCH('Feed conversion ratio'!$B37&amp;'Feed conversion ratio'!$C37,Map!$W$2:$W$67&amp;Map!$X$2:$X$67,0)),"")</f>
        <v>45</v>
      </c>
      <c r="B37" s="418" t="str">
        <f>B28</f>
        <v>T3</v>
      </c>
      <c r="C37" s="436" t="s">
        <v>101</v>
      </c>
      <c r="D37" s="419">
        <f t="array" ref="D37">IFERROR(IF($D$1="","",INDEX('Raw data'!$W$4:$W$267,MATCH('Feed conversion ratio'!D$1&amp;$A$1&amp;$A37,'Raw data'!$K$4:$K$267&amp;'Raw data'!$L$2&amp;'Raw data'!$L$4:$L$267,0))),"")</f>
        <v>1.1501120238984319</v>
      </c>
      <c r="E37" s="419">
        <f t="array" ref="E37">IFERROR(IF($E$1="","",INDEX('Raw data'!$W$4:$W$267,MATCH('Feed conversion ratio'!E$1&amp;$A$1&amp;$A37,'Raw data'!$K$4:$K$267&amp;'Raw data'!$L$2&amp;'Raw data'!$L$4:$L$267,0))),"")</f>
        <v>1.2642023346303504</v>
      </c>
      <c r="F37" s="419">
        <f t="array" ref="F37">IFERROR(IF($F$1="","",INDEX('Raw data'!$W$4:$W$267,MATCH('Feed conversion ratio'!F$1&amp;$A$1&amp;$A37,'Raw data'!$K$4:$K$267&amp;'Raw data'!$L$2&amp;'Raw data'!$L$4:$L$267,0))),"")</f>
        <v>1.7669172932330828</v>
      </c>
      <c r="G37" s="442">
        <f t="array" ref="G37">IFERROR(IF($G$1="","",INDEX('Raw data'!$W$4:$W$267,MATCH('Feed conversion ratio'!G$1&amp;$A$1&amp;$A37,'Raw data'!$K$4:$K$267&amp;'Raw data'!$L$2&amp;'Raw data'!$L$4:$L$267,0))),"")</f>
        <v>1.7487844408427882</v>
      </c>
      <c r="H37" s="418"/>
    </row>
    <row r="38" spans="1:8" s="417" customFormat="1" x14ac:dyDescent="0.25">
      <c r="A38" s="446">
        <f t="array" ref="A38">IFERROR(INDEX(Map!$V$2:$V$67,MATCH('Feed conversion ratio'!$B38&amp;'Feed conversion ratio'!$C38,Map!$W$2:$W$67&amp;Map!$X$2:$X$67,0)),"")</f>
        <v>65</v>
      </c>
      <c r="B38" s="418" t="str">
        <f>B28</f>
        <v>T3</v>
      </c>
      <c r="C38" s="436" t="s">
        <v>102</v>
      </c>
      <c r="D38" s="435">
        <f t="array" ref="D38">IFERROR(IF($D$1="","",INDEX('Raw data'!$W$4:$W$267,MATCH('Feed conversion ratio'!D$1&amp;$A$1&amp;$A38,'Raw data'!$K$4:$K$267&amp;'Raw data'!$L$2&amp;'Raw data'!$L$4:$L$267,0))),"")</f>
        <v>1.1133879781420764</v>
      </c>
      <c r="E38" s="435">
        <f t="array" ref="E38">IFERROR(IF($E$1="","",INDEX('Raw data'!$W$4:$W$267,MATCH('Feed conversion ratio'!E$1&amp;$A$1&amp;$A38,'Raw data'!$K$4:$K$267&amp;'Raw data'!$L$2&amp;'Raw data'!$L$4:$L$267,0))),"")</f>
        <v>1.2629770992366409</v>
      </c>
      <c r="F38" s="435">
        <f t="array" ref="F38">IFERROR(IF($F$1="","",INDEX('Raw data'!$W$4:$W$267,MATCH('Feed conversion ratio'!F$1&amp;$A$1&amp;$A38,'Raw data'!$K$4:$K$267&amp;'Raw data'!$L$2&amp;'Raw data'!$L$4:$L$267,0))),"")</f>
        <v>1.7950517634672751</v>
      </c>
      <c r="G38" s="443">
        <f t="array" ref="G38">IFERROR(IF($G$1="","",INDEX('Raw data'!$W$4:$W$267,MATCH('Feed conversion ratio'!G$1&amp;$A$1&amp;$A38,'Raw data'!$K$4:$K$267&amp;'Raw data'!$L$2&amp;'Raw data'!$L$4:$L$267,0))),"")</f>
        <v>1.7388167388167381</v>
      </c>
      <c r="H38" s="418"/>
    </row>
    <row r="39" spans="1:8" s="417" customFormat="1" x14ac:dyDescent="0.25">
      <c r="A39" s="432"/>
      <c r="B39" s="565" t="s">
        <v>82</v>
      </c>
      <c r="C39" s="566"/>
      <c r="D39" s="437" t="str">
        <f>IF($D$1="","",(ROUND(AVERAGE(D28:D38),3)&amp;" ± "&amp;(ROUND(STDEV(D28:D38),3))))</f>
        <v>1,14 ± 0,03</v>
      </c>
      <c r="E39" s="437" t="str">
        <f>IF($E$1="","",(ROUND(AVERAGE(E28:E38),3)&amp;" ± "&amp;(ROUND(STDEV(E28:E38),3))))</f>
        <v>1,278 ± 0,017</v>
      </c>
      <c r="F39" s="437" t="str">
        <f>IF($F$1="","",(ROUND(AVERAGE(F28:F38),3)&amp;" ± "&amp;(ROUND(STDEV(F28:F38),3))))</f>
        <v>1,797 ± 0,027</v>
      </c>
      <c r="G39" s="444" t="str">
        <f>IF($G$1="","",(ROUND(AVERAGE(G28:G38),3)&amp;" ± "&amp;(ROUND(STDEV(G28:G38),3))))</f>
        <v>1,748 ± 0,016</v>
      </c>
      <c r="H39" s="418"/>
    </row>
    <row r="40" spans="1:8" s="417" customFormat="1" ht="15.75" thickBot="1" x14ac:dyDescent="0.3">
      <c r="A40" s="433"/>
      <c r="B40" s="567" t="s">
        <v>83</v>
      </c>
      <c r="C40" s="568"/>
      <c r="D40" s="438">
        <f>IF($D$1="","",STDEV(D28:D38)/(AVERAGE(D28:D38)))</f>
        <v>2.5954521614685904E-2</v>
      </c>
      <c r="E40" s="438">
        <f>IF($E$1="","",STDEV(E28:E38)/(AVERAGE(E28:E38)))</f>
        <v>1.3611809526142179E-2</v>
      </c>
      <c r="F40" s="438">
        <f>IF($F$1="","",STDEV(F28:F36)/(AVERAGE(F28:F36)))</f>
        <v>1.5553869056492899E-2</v>
      </c>
      <c r="G40" s="445">
        <f>IF($G$1="","",STDEV(G28:G38)/(AVERAGE(G28:G38)))</f>
        <v>9.1492555469297725E-3</v>
      </c>
      <c r="H40" s="418"/>
    </row>
    <row r="41" spans="1:8" x14ac:dyDescent="0.25">
      <c r="A41" s="431">
        <f t="array" ref="A41">IFERROR(INDEX(Map!$V$2:$V$67,MATCH('Feed conversion ratio'!$B41&amp;'Feed conversion ratio'!$C41,Map!$W$2:$W$67&amp;Map!$X$2:$X$67,0)),"")</f>
        <v>6</v>
      </c>
      <c r="B41" s="420" t="s">
        <v>11</v>
      </c>
      <c r="C41" s="439" t="s">
        <v>2</v>
      </c>
      <c r="D41" s="440">
        <f t="array" ref="D41">IFERROR(IF($D$1="","",INDEX('Raw data'!$W$4:$W$267,MATCH('Feed conversion ratio'!D$1&amp;$A$1&amp;$A41,'Raw data'!$K$4:$K$267&amp;'Raw data'!$L$2&amp;'Raw data'!$L$4:$L$267,0))),"")</f>
        <v>1.1564306922956713</v>
      </c>
      <c r="E41" s="440">
        <f t="array" ref="E41">IFERROR(IF($E$1="","",INDEX('Raw data'!$W$4:$W$267,MATCH('Feed conversion ratio'!E$1&amp;$A$1&amp;$A41,'Raw data'!$K$4:$K$267&amp;'Raw data'!$L$2&amp;'Raw data'!$L$4:$L$267,0))),"")</f>
        <v>1.3029129998886044</v>
      </c>
      <c r="F41" s="440">
        <f t="array" ref="F41">IFERROR(IF($F$1="","",INDEX('Raw data'!$W$4:$W$267,MATCH('Feed conversion ratio'!F$1&amp;$A$1&amp;$A41,'Raw data'!$K$4:$K$267&amp;'Raw data'!$L$2&amp;'Raw data'!$L$4:$L$267,0))),"")</f>
        <v>1.8501770320197044</v>
      </c>
      <c r="G41" s="441">
        <f t="array" ref="G41">IFERROR(IF($G$1="","",INDEX('Raw data'!$W$4:$W$267,MATCH('Feed conversion ratio'!G$1&amp;$A$1&amp;$A41,'Raw data'!$K$4:$K$267&amp;'Raw data'!$L$2&amp;'Raw data'!$L$4:$L$267,0))),"")</f>
        <v>1.7973734975515658</v>
      </c>
      <c r="H41" s="24"/>
    </row>
    <row r="42" spans="1:8" x14ac:dyDescent="0.25">
      <c r="A42" s="432">
        <f t="array" ref="A42">IFERROR(INDEX(Map!$V$2:$V$67,MATCH('Feed conversion ratio'!$B42&amp;'Feed conversion ratio'!$C42,Map!$W$2:$W$67&amp;Map!$X$2:$X$67,0)),"")</f>
        <v>9</v>
      </c>
      <c r="B42" s="418" t="str">
        <f>B41</f>
        <v>T4</v>
      </c>
      <c r="C42" s="436" t="s">
        <v>3</v>
      </c>
      <c r="D42" s="419">
        <f t="array" ref="D42">IFERROR(IF($D$1="","",INDEX('Raw data'!$W$4:$W$267,MATCH('Feed conversion ratio'!D$1&amp;$A$1&amp;$A42,'Raw data'!$K$4:$K$267&amp;'Raw data'!$L$2&amp;'Raw data'!$L$4:$L$267,0))),"")</f>
        <v>1.1431870669745958</v>
      </c>
      <c r="E42" s="419">
        <f t="array" ref="E42">IFERROR(IF($E$1="","",INDEX('Raw data'!$W$4:$W$267,MATCH('Feed conversion ratio'!E$1&amp;$A$1&amp;$A42,'Raw data'!$K$4:$K$267&amp;'Raw data'!$L$2&amp;'Raw data'!$L$4:$L$267,0))),"")</f>
        <v>1.2860881542699729</v>
      </c>
      <c r="F42" s="419">
        <f t="array" ref="F42">IFERROR(IF($F$1="","",INDEX('Raw data'!$W$4:$W$267,MATCH('Feed conversion ratio'!F$1&amp;$A$1&amp;$A42,'Raw data'!$K$4:$K$267&amp;'Raw data'!$L$2&amp;'Raw data'!$L$4:$L$267,0))),"")</f>
        <v>1.8170955882352942</v>
      </c>
      <c r="G42" s="442">
        <f t="array" ref="G42">IFERROR(IF($G$1="","",INDEX('Raw data'!$W$4:$W$267,MATCH('Feed conversion ratio'!G$1&amp;$A$1&amp;$A42,'Raw data'!$K$4:$K$267&amp;'Raw data'!$L$2&amp;'Raw data'!$L$4:$L$267,0))),"")</f>
        <v>1.7861374407582939</v>
      </c>
      <c r="H42" s="24"/>
    </row>
    <row r="43" spans="1:8" x14ac:dyDescent="0.25">
      <c r="A43" s="432">
        <f t="array" ref="A43">IFERROR(INDEX(Map!$V$2:$V$67,MATCH('Feed conversion ratio'!$B43&amp;'Feed conversion ratio'!$C43,Map!$W$2:$W$67&amp;Map!$X$2:$X$67,0)),"")</f>
        <v>15</v>
      </c>
      <c r="B43" s="418" t="str">
        <f>B41</f>
        <v>T4</v>
      </c>
      <c r="C43" s="436" t="s">
        <v>4</v>
      </c>
      <c r="D43" s="419">
        <f t="array" ref="D43">IFERROR(IF($D$1="","",INDEX('Raw data'!$W$4:$W$267,MATCH('Feed conversion ratio'!D$1&amp;$A$1&amp;$A43,'Raw data'!$K$4:$K$267&amp;'Raw data'!$L$2&amp;'Raw data'!$L$4:$L$267,0))),"")</f>
        <v>1.1451169188445665</v>
      </c>
      <c r="E43" s="419">
        <f t="array" ref="E43">IFERROR(IF($E$1="","",INDEX('Raw data'!$W$4:$W$267,MATCH('Feed conversion ratio'!E$1&amp;$A$1&amp;$A43,'Raw data'!$K$4:$K$267&amp;'Raw data'!$L$2&amp;'Raw data'!$L$4:$L$267,0))),"")</f>
        <v>1.2965379494007989</v>
      </c>
      <c r="F43" s="419">
        <f t="array" ref="F43">IFERROR(IF($F$1="","",INDEX('Raw data'!$W$4:$W$267,MATCH('Feed conversion ratio'!F$1&amp;$A$1&amp;$A43,'Raw data'!$K$4:$K$267&amp;'Raw data'!$L$2&amp;'Raw data'!$L$4:$L$267,0))),"")</f>
        <v>1.7962633451957293</v>
      </c>
      <c r="G43" s="442">
        <f t="array" ref="G43">IFERROR(IF($G$1="","",INDEX('Raw data'!$W$4:$W$267,MATCH('Feed conversion ratio'!G$1&amp;$A$1&amp;$A43,'Raw data'!$K$4:$K$267&amp;'Raw data'!$L$2&amp;'Raw data'!$L$4:$L$267,0))),"")</f>
        <v>1.7605797101449274</v>
      </c>
      <c r="H43" s="24"/>
    </row>
    <row r="44" spans="1:8" x14ac:dyDescent="0.25">
      <c r="A44" s="432">
        <f t="array" ref="A44">IFERROR(INDEX(Map!$V$2:$V$67,MATCH('Feed conversion ratio'!$B44&amp;'Feed conversion ratio'!$C44,Map!$W$2:$W$67&amp;Map!$X$2:$X$67,0)),"")</f>
        <v>30</v>
      </c>
      <c r="B44" s="418" t="str">
        <f>B41</f>
        <v>T4</v>
      </c>
      <c r="C44" s="436" t="s">
        <v>5</v>
      </c>
      <c r="D44" s="419">
        <f t="array" ref="D44">IFERROR(IF($D$1="","",INDEX('Raw data'!$W$4:$W$267,MATCH('Feed conversion ratio'!D$1&amp;$A$1&amp;$A44,'Raw data'!$K$4:$K$267&amp;'Raw data'!$L$2&amp;'Raw data'!$L$4:$L$267,0))),"")</f>
        <v>1.1557434813248768</v>
      </c>
      <c r="E44" s="419">
        <f t="array" ref="E44">IFERROR(IF($E$1="","",INDEX('Raw data'!$W$4:$W$267,MATCH('Feed conversion ratio'!E$1&amp;$A$1&amp;$A44,'Raw data'!$K$4:$K$267&amp;'Raw data'!$L$2&amp;'Raw data'!$L$4:$L$267,0))),"")</f>
        <v>1.2994116073816531</v>
      </c>
      <c r="F44" s="419">
        <f t="array" ref="F44">IFERROR(IF($F$1="","",INDEX('Raw data'!$W$4:$W$267,MATCH('Feed conversion ratio'!F$1&amp;$A$1&amp;$A44,'Raw data'!$K$4:$K$267&amp;'Raw data'!$L$2&amp;'Raw data'!$L$4:$L$267,0))),"")</f>
        <v>1.8132163323782233</v>
      </c>
      <c r="G44" s="442">
        <f t="array" ref="G44">IFERROR(IF($G$1="","",INDEX('Raw data'!$W$4:$W$267,MATCH('Feed conversion ratio'!G$1&amp;$A$1&amp;$A44,'Raw data'!$K$4:$K$267&amp;'Raw data'!$L$2&amp;'Raw data'!$L$4:$L$267,0))),"")</f>
        <v>1.7711562751176944</v>
      </c>
      <c r="H44" s="24"/>
    </row>
    <row r="45" spans="1:8" x14ac:dyDescent="0.25">
      <c r="A45" s="432">
        <f t="array" ref="A45">IFERROR(INDEX(Map!$V$2:$V$67,MATCH('Feed conversion ratio'!$B45&amp;'Feed conversion ratio'!$C45,Map!$W$2:$W$67&amp;Map!$X$2:$X$67,0)),"")</f>
        <v>36</v>
      </c>
      <c r="B45" s="418" t="str">
        <f>B41</f>
        <v>T4</v>
      </c>
      <c r="C45" s="436" t="s">
        <v>6</v>
      </c>
      <c r="D45" s="419">
        <f t="array" ref="D45">IFERROR(IF($D$1="","",INDEX('Raw data'!$W$4:$W$267,MATCH('Feed conversion ratio'!D$1&amp;$A$1&amp;$A45,'Raw data'!$K$4:$K$267&amp;'Raw data'!$L$2&amp;'Raw data'!$L$4:$L$267,0))),"")</f>
        <v>1.2043600884213734</v>
      </c>
      <c r="E45" s="419">
        <f t="array" ref="E45">IFERROR(IF($E$1="","",INDEX('Raw data'!$W$4:$W$267,MATCH('Feed conversion ratio'!E$1&amp;$A$1&amp;$A45,'Raw data'!$K$4:$K$267&amp;'Raw data'!$L$2&amp;'Raw data'!$L$4:$L$267,0))),"")</f>
        <v>1.2777976305011134</v>
      </c>
      <c r="F45" s="419">
        <f t="array" ref="F45">IFERROR(IF($F$1="","",INDEX('Raw data'!$W$4:$W$267,MATCH('Feed conversion ratio'!F$1&amp;$A$1&amp;$A45,'Raw data'!$K$4:$K$267&amp;'Raw data'!$L$2&amp;'Raw data'!$L$4:$L$267,0))),"")</f>
        <v>1.9021794531998613</v>
      </c>
      <c r="G45" s="442">
        <f t="array" ref="G45">IFERROR(IF($G$1="","",INDEX('Raw data'!$W$4:$W$267,MATCH('Feed conversion ratio'!G$1&amp;$A$1&amp;$A45,'Raw data'!$K$4:$K$267&amp;'Raw data'!$L$2&amp;'Raw data'!$L$4:$L$267,0))),"")</f>
        <v>1.8331691297208543</v>
      </c>
      <c r="H45" s="24"/>
    </row>
    <row r="46" spans="1:8" x14ac:dyDescent="0.25">
      <c r="A46" s="432">
        <f t="array" ref="A46">IFERROR(INDEX(Map!$V$2:$V$67,MATCH('Feed conversion ratio'!$B46&amp;'Feed conversion ratio'!$C46,Map!$W$2:$W$67&amp;Map!$X$2:$X$67,0)),"")</f>
        <v>39</v>
      </c>
      <c r="B46" s="418" t="str">
        <f>B41</f>
        <v>T4</v>
      </c>
      <c r="C46" s="436" t="s">
        <v>7</v>
      </c>
      <c r="D46" s="419">
        <f t="array" ref="D46">IFERROR(IF($D$1="","",INDEX('Raw data'!$W$4:$W$267,MATCH('Feed conversion ratio'!D$1&amp;$A$1&amp;$A46,'Raw data'!$K$4:$K$267&amp;'Raw data'!$L$2&amp;'Raw data'!$L$4:$L$267,0))),"")</f>
        <v>1.1345570169099581</v>
      </c>
      <c r="E46" s="419">
        <f t="array" ref="E46">IFERROR(IF($E$1="","",INDEX('Raw data'!$W$4:$W$267,MATCH('Feed conversion ratio'!E$1&amp;$A$1&amp;$A46,'Raw data'!$K$4:$K$267&amp;'Raw data'!$L$2&amp;'Raw data'!$L$4:$L$267,0))),"")</f>
        <v>1.2671287024349105</v>
      </c>
      <c r="F46" s="419">
        <f t="array" ref="F46">IFERROR(IF($F$1="","",INDEX('Raw data'!$W$4:$W$267,MATCH('Feed conversion ratio'!F$1&amp;$A$1&amp;$A46,'Raw data'!$K$4:$K$267&amp;'Raw data'!$L$2&amp;'Raw data'!$L$4:$L$267,0))),"")</f>
        <v>1.8705323124931965</v>
      </c>
      <c r="G46" s="442">
        <f t="array" ref="G46">IFERROR(IF($G$1="","",INDEX('Raw data'!$W$4:$W$267,MATCH('Feed conversion ratio'!G$1&amp;$A$1&amp;$A46,'Raw data'!$K$4:$K$267&amp;'Raw data'!$L$2&amp;'Raw data'!$L$4:$L$267,0))),"")</f>
        <v>1.7999721474329216</v>
      </c>
      <c r="H46" s="24"/>
    </row>
    <row r="47" spans="1:8" x14ac:dyDescent="0.25">
      <c r="A47" s="432">
        <f t="array" ref="A47">IFERROR(INDEX(Map!$V$2:$V$67,MATCH('Feed conversion ratio'!$B47&amp;'Feed conversion ratio'!$C47,Map!$W$2:$W$67&amp;Map!$X$2:$X$67,0)),"")</f>
        <v>48</v>
      </c>
      <c r="B47" s="418" t="str">
        <f>B41</f>
        <v>T4</v>
      </c>
      <c r="C47" s="436" t="s">
        <v>8</v>
      </c>
      <c r="D47" s="419">
        <f t="array" ref="D47">IFERROR(IF($D$1="","",INDEX('Raw data'!$W$4:$W$267,MATCH('Feed conversion ratio'!D$1&amp;$A$1&amp;$A47,'Raw data'!$K$4:$K$267&amp;'Raw data'!$L$2&amp;'Raw data'!$L$4:$L$267,0))),"")</f>
        <v>1.1656891495601174</v>
      </c>
      <c r="E47" s="419">
        <f t="array" ref="E47">IFERROR(IF($E$1="","",INDEX('Raw data'!$W$4:$W$267,MATCH('Feed conversion ratio'!E$1&amp;$A$1&amp;$A47,'Raw data'!$K$4:$K$267&amp;'Raw data'!$L$2&amp;'Raw data'!$L$4:$L$267,0))),"")</f>
        <v>1.2893530997304585</v>
      </c>
      <c r="F47" s="419">
        <f t="array" ref="F47">IFERROR(IF($F$1="","",INDEX('Raw data'!$W$4:$W$267,MATCH('Feed conversion ratio'!F$1&amp;$A$1&amp;$A47,'Raw data'!$K$4:$K$267&amp;'Raw data'!$L$2&amp;'Raw data'!$L$4:$L$267,0))),"")</f>
        <v>1.8486238532110093</v>
      </c>
      <c r="G47" s="442">
        <f t="array" ref="G47">IFERROR(IF($G$1="","",INDEX('Raw data'!$W$4:$W$267,MATCH('Feed conversion ratio'!G$1&amp;$A$1&amp;$A47,'Raw data'!$K$4:$K$267&amp;'Raw data'!$L$2&amp;'Raw data'!$L$4:$L$267,0))),"")</f>
        <v>1.7995436111472392</v>
      </c>
      <c r="H47" s="24"/>
    </row>
    <row r="48" spans="1:8" x14ac:dyDescent="0.25">
      <c r="A48" s="432">
        <f t="array" ref="A48">IFERROR(INDEX(Map!$V$2:$V$67,MATCH('Feed conversion ratio'!$B48&amp;'Feed conversion ratio'!$C48,Map!$W$2:$W$67&amp;Map!$X$2:$X$67,0)),"")</f>
        <v>54</v>
      </c>
      <c r="B48" s="418" t="str">
        <f>B41</f>
        <v>T4</v>
      </c>
      <c r="C48" s="436" t="s">
        <v>9</v>
      </c>
      <c r="D48" s="419">
        <f t="array" ref="D48">IFERROR(IF($D$1="","",INDEX('Raw data'!$W$4:$W$267,MATCH('Feed conversion ratio'!D$1&amp;$A$1&amp;$A48,'Raw data'!$K$4:$K$267&amp;'Raw data'!$L$2&amp;'Raw data'!$L$4:$L$267,0))),"")</f>
        <v>1.1126662001399583</v>
      </c>
      <c r="E48" s="419">
        <f t="array" ref="E48">IFERROR(IF($E$1="","",INDEX('Raw data'!$W$4:$W$267,MATCH('Feed conversion ratio'!E$1&amp;$A$1&amp;$A48,'Raw data'!$K$4:$K$267&amp;'Raw data'!$L$2&amp;'Raw data'!$L$4:$L$267,0))),"")</f>
        <v>1.2572763684913222</v>
      </c>
      <c r="F48" s="419">
        <f t="array" ref="F48">IFERROR(IF($F$1="","",INDEX('Raw data'!$W$4:$W$267,MATCH('Feed conversion ratio'!F$1&amp;$A$1&amp;$A48,'Raw data'!$K$4:$K$267&amp;'Raw data'!$L$2&amp;'Raw data'!$L$4:$L$267,0))),"")</f>
        <v>1.7695769576957696</v>
      </c>
      <c r="G48" s="442">
        <f t="array" ref="G48">IFERROR(IF($G$1="","",INDEX('Raw data'!$W$4:$W$267,MATCH('Feed conversion ratio'!G$1&amp;$A$1&amp;$A48,'Raw data'!$K$4:$K$267&amp;'Raw data'!$L$2&amp;'Raw data'!$L$4:$L$267,0))),"")</f>
        <v>1.747663551401869</v>
      </c>
      <c r="H48" s="24"/>
    </row>
    <row r="49" spans="1:8" x14ac:dyDescent="0.25">
      <c r="A49" s="432">
        <f t="array" ref="A49">IFERROR(INDEX(Map!$V$2:$V$67,MATCH('Feed conversion ratio'!$B49&amp;'Feed conversion ratio'!$C49,Map!$W$2:$W$67&amp;Map!$X$2:$X$67,0)),"")</f>
        <v>64</v>
      </c>
      <c r="B49" s="418" t="str">
        <f>B41</f>
        <v>T4</v>
      </c>
      <c r="C49" s="436" t="s">
        <v>22</v>
      </c>
      <c r="D49" s="419">
        <f t="array" ref="D49">IFERROR(IF($D$1="","",INDEX('Raw data'!$W$4:$W$267,MATCH('Feed conversion ratio'!D$1&amp;$A$1&amp;$A49,'Raw data'!$K$4:$K$267&amp;'Raw data'!$L$2&amp;'Raw data'!$L$4:$L$267,0))),"")</f>
        <v>1.1226685796269726</v>
      </c>
      <c r="E49" s="419">
        <f t="array" ref="E49">IFERROR(IF($E$1="","",INDEX('Raw data'!$W$4:$W$267,MATCH('Feed conversion ratio'!E$1&amp;$A$1&amp;$A49,'Raw data'!$K$4:$K$267&amp;'Raw data'!$L$2&amp;'Raw data'!$L$4:$L$267,0))),"")</f>
        <v>1.2578392621870882</v>
      </c>
      <c r="F49" s="419">
        <f t="array" ref="F49">IFERROR(IF($F$1="","",INDEX('Raw data'!$W$4:$W$267,MATCH('Feed conversion ratio'!F$1&amp;$A$1&amp;$A49,'Raw data'!$K$4:$K$267&amp;'Raw data'!$L$2&amp;'Raw data'!$L$4:$L$267,0))),"")</f>
        <v>1.795600366636114</v>
      </c>
      <c r="G49" s="442">
        <f t="array" ref="G49">IFERROR(IF($G$1="","",INDEX('Raw data'!$W$4:$W$267,MATCH('Feed conversion ratio'!G$1&amp;$A$1&amp;$A49,'Raw data'!$K$4:$K$267&amp;'Raw data'!$L$2&amp;'Raw data'!$L$4:$L$267,0))),"")</f>
        <v>1.7301218804410912</v>
      </c>
      <c r="H49" s="24"/>
    </row>
    <row r="50" spans="1:8" s="417" customFormat="1" x14ac:dyDescent="0.25">
      <c r="A50" s="432">
        <f t="array" ref="A50">IFERROR(INDEX(Map!$V$2:$V$67,MATCH('Feed conversion ratio'!$B50&amp;'Feed conversion ratio'!$C50,Map!$W$2:$W$67&amp;Map!$X$2:$X$67,0)),"")</f>
        <v>24</v>
      </c>
      <c r="B50" s="418" t="str">
        <f>B41</f>
        <v>T4</v>
      </c>
      <c r="C50" s="436" t="s">
        <v>101</v>
      </c>
      <c r="D50" s="419">
        <f t="array" ref="D50">IFERROR(IF($D$1="","",INDEX('Raw data'!$W$4:$W$267,MATCH('Feed conversion ratio'!D$1&amp;$A$1&amp;$A50,'Raw data'!$K$4:$K$267&amp;'Raw data'!$L$2&amp;'Raw data'!$L$4:$L$267,0))),"")</f>
        <v>1.1581525542337296</v>
      </c>
      <c r="E50" s="419">
        <f t="array" ref="E50">IFERROR(IF($E$1="","",INDEX('Raw data'!$W$4:$W$267,MATCH('Feed conversion ratio'!E$1&amp;$A$1&amp;$A50,'Raw data'!$K$4:$K$267&amp;'Raw data'!$L$2&amp;'Raw data'!$L$4:$L$267,0))),"")</f>
        <v>1.2930501930501932</v>
      </c>
      <c r="F50" s="419">
        <f t="array" ref="F50">IFERROR(IF($F$1="","",INDEX('Raw data'!$W$4:$W$267,MATCH('Feed conversion ratio'!F$1&amp;$A$1&amp;$A50,'Raw data'!$K$4:$K$267&amp;'Raw data'!$L$2&amp;'Raw data'!$L$4:$L$267,0))),"")</f>
        <v>1.7829787234042556</v>
      </c>
      <c r="G50" s="442">
        <f t="array" ref="G50">IFERROR(IF($G$1="","",INDEX('Raw data'!$W$4:$W$267,MATCH('Feed conversion ratio'!G$1&amp;$A$1&amp;$A50,'Raw data'!$K$4:$K$267&amp;'Raw data'!$L$2&amp;'Raw data'!$L$4:$L$267,0))),"")</f>
        <v>1.7543956043956044</v>
      </c>
      <c r="H50" s="418"/>
    </row>
    <row r="51" spans="1:8" s="417" customFormat="1" x14ac:dyDescent="0.25">
      <c r="A51" s="446">
        <f t="array" ref="A51">IFERROR(INDEX(Map!$V$2:$V$67,MATCH('Feed conversion ratio'!$B51&amp;'Feed conversion ratio'!$C51,Map!$W$2:$W$67&amp;Map!$X$2:$X$67,0)),"")</f>
        <v>44</v>
      </c>
      <c r="B51" s="418" t="str">
        <f>B41</f>
        <v>T4</v>
      </c>
      <c r="C51" s="436" t="s">
        <v>102</v>
      </c>
      <c r="D51" s="435">
        <f t="array" ref="D51">IFERROR(IF($D$1="","",INDEX('Raw data'!$W$4:$W$267,MATCH('Feed conversion ratio'!D$1&amp;$A$1&amp;$A51,'Raw data'!$K$4:$K$267&amp;'Raw data'!$L$2&amp;'Raw data'!$L$4:$L$267,0))),"")</f>
        <v>1.1236702127659575</v>
      </c>
      <c r="E51" s="435">
        <f t="array" ref="E51">IFERROR(IF($E$1="","",INDEX('Raw data'!$W$4:$W$267,MATCH('Feed conversion ratio'!E$1&amp;$A$1&amp;$A51,'Raw data'!$K$4:$K$267&amp;'Raw data'!$L$2&amp;'Raw data'!$L$4:$L$267,0))),"")</f>
        <v>1.2629813664596277</v>
      </c>
      <c r="F51" s="435">
        <f t="array" ref="F51">IFERROR(IF($F$1="","",INDEX('Raw data'!$W$4:$W$267,MATCH('Feed conversion ratio'!F$1&amp;$A$1&amp;$A51,'Raw data'!$K$4:$K$267&amp;'Raw data'!$L$2&amp;'Raw data'!$L$4:$L$267,0))),"")</f>
        <v>1.7584780810587266</v>
      </c>
      <c r="G51" s="443">
        <f t="array" ref="G51">IFERROR(IF($G$1="","",INDEX('Raw data'!$W$4:$W$267,MATCH('Feed conversion ratio'!G$1&amp;$A$1&amp;$A51,'Raw data'!$K$4:$K$267&amp;'Raw data'!$L$2&amp;'Raw data'!$L$4:$L$267,0))),"")</f>
        <v>1.7423345884884347</v>
      </c>
      <c r="H51" s="418"/>
    </row>
    <row r="52" spans="1:8" s="417" customFormat="1" x14ac:dyDescent="0.25">
      <c r="A52" s="432"/>
      <c r="B52" s="565" t="s">
        <v>82</v>
      </c>
      <c r="C52" s="566"/>
      <c r="D52" s="437" t="str">
        <f>IF($D$1="","",(ROUND(AVERAGE(D41:D51),3)&amp;" ± "&amp;(ROUND(STDEV(D41:D51),3))))</f>
        <v>1,147 ± 0,025</v>
      </c>
      <c r="E52" s="437" t="str">
        <f>IF($E$1="","",(ROUND(AVERAGE(E41:E51),3)&amp;" ± "&amp;(ROUND(STDEV(E41:E51),3))))</f>
        <v>1,281 ± 0,017</v>
      </c>
      <c r="F52" s="437" t="str">
        <f>IF($F$1="","",(ROUND(AVERAGE(F41:F51),3)&amp;" ± "&amp;(ROUND(STDEV(F41:F51),3))))</f>
        <v>1,819 ± 0,045</v>
      </c>
      <c r="G52" s="444" t="str">
        <f>IF($G$1="","",(ROUND(AVERAGE(G41:G51),3)&amp;" ± "&amp;(ROUND(STDEV(G41:G51),3))))</f>
        <v>1,775 ± 0,031</v>
      </c>
      <c r="H52" s="418"/>
    </row>
    <row r="53" spans="1:8" s="417" customFormat="1" ht="15.75" thickBot="1" x14ac:dyDescent="0.3">
      <c r="A53" s="433"/>
      <c r="B53" s="567" t="s">
        <v>83</v>
      </c>
      <c r="C53" s="568"/>
      <c r="D53" s="438">
        <f>IF($D$1="","",STDEV(D41:D51)/(AVERAGE(D41:D51)))</f>
        <v>2.2072223549863455E-2</v>
      </c>
      <c r="E53" s="438">
        <f>IF($E$1="","",STDEV(E41:E51)/(AVERAGE(E41:E51)))</f>
        <v>1.3358435286955447E-2</v>
      </c>
      <c r="F53" s="438">
        <f>IF($F$1="","",STDEV(F41:F49)/(AVERAGE(F41:F49)))</f>
        <v>2.2887136398964485E-2</v>
      </c>
      <c r="G53" s="445">
        <f>IF($G$1="","",STDEV(G41:G51)/(AVERAGE(G41:G51)))</f>
        <v>1.7557069870994181E-2</v>
      </c>
      <c r="H53" s="418"/>
    </row>
    <row r="54" spans="1:8" x14ac:dyDescent="0.25">
      <c r="A54" s="431">
        <f t="array" ref="A54">IFERROR(INDEX(Map!$V$2:$V$67,MATCH('Feed conversion ratio'!$B54&amp;'Feed conversion ratio'!$C54,Map!$W$2:$W$67&amp;Map!$X$2:$X$67,0)),"")</f>
        <v>3</v>
      </c>
      <c r="B54" s="420" t="s">
        <v>14</v>
      </c>
      <c r="C54" s="439" t="s">
        <v>2</v>
      </c>
      <c r="D54" s="440">
        <f t="array" ref="D54">IFERROR(IF($D$1="","",INDEX('Raw data'!$W$4:$W$267,MATCH('Feed conversion ratio'!D$1&amp;$A$1&amp;$A54,'Raw data'!$K$4:$K$267&amp;'Raw data'!$L$2&amp;'Raw data'!$L$4:$L$267,0))),"")</f>
        <v>1.1405417573347338</v>
      </c>
      <c r="E54" s="440">
        <f t="array" ref="E54">IFERROR(IF($E$1="","",INDEX('Raw data'!$W$4:$W$267,MATCH('Feed conversion ratio'!E$1&amp;$A$1&amp;$A54,'Raw data'!$K$4:$K$267&amp;'Raw data'!$L$2&amp;'Raw data'!$L$4:$L$267,0))),"")</f>
        <v>1.3029909339961028</v>
      </c>
      <c r="F54" s="440">
        <f t="array" ref="F54">IFERROR(IF($F$1="","",INDEX('Raw data'!$W$4:$W$267,MATCH('Feed conversion ratio'!F$1&amp;$A$1&amp;$A54,'Raw data'!$K$4:$K$267&amp;'Raw data'!$L$2&amp;'Raw data'!$L$4:$L$267,0))),"")</f>
        <v>1.8343508420435859</v>
      </c>
      <c r="G54" s="441">
        <f t="array" ref="G54">IFERROR(IF($G$1="","",INDEX('Raw data'!$W$4:$W$267,MATCH('Feed conversion ratio'!G$1&amp;$A$1&amp;$A54,'Raw data'!$K$4:$K$267&amp;'Raw data'!$L$2&amp;'Raw data'!$L$4:$L$267,0))),"")</f>
        <v>1.7686928198495953</v>
      </c>
      <c r="H54" s="24"/>
    </row>
    <row r="55" spans="1:8" x14ac:dyDescent="0.25">
      <c r="A55" s="432">
        <f t="array" ref="A55">IFERROR(INDEX(Map!$V$2:$V$67,MATCH('Feed conversion ratio'!$B55&amp;'Feed conversion ratio'!$C55,Map!$W$2:$W$67&amp;Map!$X$2:$X$67,0)),"")</f>
        <v>14</v>
      </c>
      <c r="B55" s="418" t="str">
        <f>B54</f>
        <v>T5</v>
      </c>
      <c r="C55" s="436" t="s">
        <v>3</v>
      </c>
      <c r="D55" s="419">
        <f t="array" ref="D55">IFERROR(IF($D$1="","",INDEX('Raw data'!$W$4:$W$267,MATCH('Feed conversion ratio'!D$1&amp;$A$1&amp;$A55,'Raw data'!$K$4:$K$267&amp;'Raw data'!$L$2&amp;'Raw data'!$L$4:$L$267,0))),"")</f>
        <v>1.129963390594199</v>
      </c>
      <c r="E55" s="419">
        <f t="array" ref="E55">IFERROR(IF($E$1="","",INDEX('Raw data'!$W$4:$W$267,MATCH('Feed conversion ratio'!E$1&amp;$A$1&amp;$A55,'Raw data'!$K$4:$K$267&amp;'Raw data'!$L$2&amp;'Raw data'!$L$4:$L$267,0))),"")</f>
        <v>1.2797650405647456</v>
      </c>
      <c r="F55" s="419">
        <f t="array" ref="F55">IFERROR(IF($F$1="","",INDEX('Raw data'!$W$4:$W$267,MATCH('Feed conversion ratio'!F$1&amp;$A$1&amp;$A55,'Raw data'!$K$4:$K$267&amp;'Raw data'!$L$2&amp;'Raw data'!$L$4:$L$267,0))),"")</f>
        <v>1.7717973697028737</v>
      </c>
      <c r="G55" s="442">
        <f t="array" ref="G55">IFERROR(IF($G$1="","",INDEX('Raw data'!$W$4:$W$267,MATCH('Feed conversion ratio'!G$1&amp;$A$1&amp;$A55,'Raw data'!$K$4:$K$267&amp;'Raw data'!$L$2&amp;'Raw data'!$L$4:$L$267,0))),"")</f>
        <v>1.7307342990781529</v>
      </c>
      <c r="H55" s="24"/>
    </row>
    <row r="56" spans="1:8" x14ac:dyDescent="0.25">
      <c r="A56" s="432">
        <f t="array" ref="A56">IFERROR(INDEX(Map!$V$2:$V$67,MATCH('Feed conversion ratio'!$B56&amp;'Feed conversion ratio'!$C56,Map!$W$2:$W$67&amp;Map!$X$2:$X$67,0)),"")</f>
        <v>18</v>
      </c>
      <c r="B56" s="418" t="str">
        <f>B54</f>
        <v>T5</v>
      </c>
      <c r="C56" s="436" t="s">
        <v>4</v>
      </c>
      <c r="D56" s="419">
        <f t="array" ref="D56">IFERROR(IF($D$1="","",INDEX('Raw data'!$W$4:$W$267,MATCH('Feed conversion ratio'!D$1&amp;$A$1&amp;$A56,'Raw data'!$K$4:$K$267&amp;'Raw data'!$L$2&amp;'Raw data'!$L$4:$L$267,0))),"")</f>
        <v>1.1306179775280898</v>
      </c>
      <c r="E56" s="419">
        <f t="array" ref="E56">IFERROR(IF($E$1="","",INDEX('Raw data'!$W$4:$W$267,MATCH('Feed conversion ratio'!E$1&amp;$A$1&amp;$A56,'Raw data'!$K$4:$K$267&amp;'Raw data'!$L$2&amp;'Raw data'!$L$4:$L$267,0))),"")</f>
        <v>1.2762337662337659</v>
      </c>
      <c r="F56" s="419">
        <f t="array" ref="F56">IFERROR(IF($F$1="","",INDEX('Raw data'!$W$4:$W$267,MATCH('Feed conversion ratio'!F$1&amp;$A$1&amp;$A56,'Raw data'!$K$4:$K$267&amp;'Raw data'!$L$2&amp;'Raw data'!$L$4:$L$267,0))),"")</f>
        <v>1.7644110275689224</v>
      </c>
      <c r="G56" s="442">
        <f t="array" ref="G56">IFERROR(IF($G$1="","",INDEX('Raw data'!$W$4:$W$267,MATCH('Feed conversion ratio'!G$1&amp;$A$1&amp;$A56,'Raw data'!$K$4:$K$267&amp;'Raw data'!$L$2&amp;'Raw data'!$L$4:$L$267,0))),"")</f>
        <v>1.7325146823278161</v>
      </c>
      <c r="H56" s="24"/>
    </row>
    <row r="57" spans="1:8" x14ac:dyDescent="0.25">
      <c r="A57" s="432">
        <f t="array" ref="A57">IFERROR(INDEX(Map!$V$2:$V$67,MATCH('Feed conversion ratio'!$B57&amp;'Feed conversion ratio'!$C57,Map!$W$2:$W$67&amp;Map!$X$2:$X$67,0)),"")</f>
        <v>28</v>
      </c>
      <c r="B57" s="418" t="str">
        <f>B54</f>
        <v>T5</v>
      </c>
      <c r="C57" s="436" t="s">
        <v>5</v>
      </c>
      <c r="D57" s="419">
        <f t="array" ref="D57">IFERROR(IF($D$1="","",INDEX('Raw data'!$W$4:$W$267,MATCH('Feed conversion ratio'!D$1&amp;$A$1&amp;$A57,'Raw data'!$K$4:$K$267&amp;'Raw data'!$L$2&amp;'Raw data'!$L$4:$L$267,0))),"")</f>
        <v>1.113861386138614</v>
      </c>
      <c r="E57" s="419">
        <f t="array" ref="E57">IFERROR(IF($E$1="","",INDEX('Raw data'!$W$4:$W$267,MATCH('Feed conversion ratio'!E$1&amp;$A$1&amp;$A57,'Raw data'!$K$4:$K$267&amp;'Raw data'!$L$2&amp;'Raw data'!$L$4:$L$267,0))),"")</f>
        <v>1.2575603557814488</v>
      </c>
      <c r="F57" s="419">
        <f t="array" ref="F57">IFERROR(IF($F$1="","",INDEX('Raw data'!$W$4:$W$267,MATCH('Feed conversion ratio'!F$1&amp;$A$1&amp;$A57,'Raw data'!$K$4:$K$267&amp;'Raw data'!$L$2&amp;'Raw data'!$L$4:$L$267,0))),"")</f>
        <v>1.7632241813602016</v>
      </c>
      <c r="G57" s="442">
        <f t="array" ref="G57">IFERROR(IF($G$1="","",INDEX('Raw data'!$W$4:$W$267,MATCH('Feed conversion ratio'!G$1&amp;$A$1&amp;$A57,'Raw data'!$K$4:$K$267&amp;'Raw data'!$L$2&amp;'Raw data'!$L$4:$L$267,0))),"")</f>
        <v>1.7623528086089353</v>
      </c>
      <c r="H57" s="24"/>
    </row>
    <row r="58" spans="1:8" x14ac:dyDescent="0.25">
      <c r="A58" s="432">
        <f t="array" ref="A58">IFERROR(INDEX(Map!$V$2:$V$67,MATCH('Feed conversion ratio'!$B58&amp;'Feed conversion ratio'!$C58,Map!$W$2:$W$67&amp;Map!$X$2:$X$67,0)),"")</f>
        <v>35</v>
      </c>
      <c r="B58" s="418" t="str">
        <f>B54</f>
        <v>T5</v>
      </c>
      <c r="C58" s="436" t="s">
        <v>6</v>
      </c>
      <c r="D58" s="419">
        <f t="array" ref="D58">IFERROR(IF($D$1="","",INDEX('Raw data'!$W$4:$W$267,MATCH('Feed conversion ratio'!D$1&amp;$A$1&amp;$A58,'Raw data'!$K$4:$K$267&amp;'Raw data'!$L$2&amp;'Raw data'!$L$4:$L$267,0))),"")</f>
        <v>1.1594940389648154</v>
      </c>
      <c r="E58" s="419">
        <f t="array" ref="E58">IFERROR(IF($E$1="","",INDEX('Raw data'!$W$4:$W$267,MATCH('Feed conversion ratio'!E$1&amp;$A$1&amp;$A58,'Raw data'!$K$4:$K$267&amp;'Raw data'!$L$2&amp;'Raw data'!$L$4:$L$267,0))),"")</f>
        <v>1.2435990275694411</v>
      </c>
      <c r="F58" s="419">
        <f t="array" ref="F58">IFERROR(IF($F$1="","",INDEX('Raw data'!$W$4:$W$267,MATCH('Feed conversion ratio'!F$1&amp;$A$1&amp;$A58,'Raw data'!$K$4:$K$267&amp;'Raw data'!$L$2&amp;'Raw data'!$L$4:$L$267,0))),"")</f>
        <v>1.8500531466480958</v>
      </c>
      <c r="G58" s="442">
        <f t="array" ref="G58">IFERROR(IF($G$1="","",INDEX('Raw data'!$W$4:$W$267,MATCH('Feed conversion ratio'!G$1&amp;$A$1&amp;$A58,'Raw data'!$K$4:$K$267&amp;'Raw data'!$L$2&amp;'Raw data'!$L$4:$L$267,0))),"")</f>
        <v>1.8104511599221971</v>
      </c>
      <c r="H58" s="24"/>
    </row>
    <row r="59" spans="1:8" x14ac:dyDescent="0.25">
      <c r="A59" s="432">
        <f t="array" ref="A59">IFERROR(INDEX(Map!$V$2:$V$67,MATCH('Feed conversion ratio'!$B59&amp;'Feed conversion ratio'!$C59,Map!$W$2:$W$67&amp;Map!$X$2:$X$67,0)),"")</f>
        <v>42</v>
      </c>
      <c r="B59" s="418" t="str">
        <f>B54</f>
        <v>T5</v>
      </c>
      <c r="C59" s="436" t="s">
        <v>7</v>
      </c>
      <c r="D59" s="419">
        <f t="array" ref="D59">IFERROR(IF($D$1="","",INDEX('Raw data'!$W$4:$W$267,MATCH('Feed conversion ratio'!D$1&amp;$A$1&amp;$A59,'Raw data'!$K$4:$K$267&amp;'Raw data'!$L$2&amp;'Raw data'!$L$4:$L$267,0))),"")</f>
        <v>1.0592623873873876</v>
      </c>
      <c r="E59" s="419">
        <f t="array" ref="E59">IFERROR(IF($E$1="","",INDEX('Raw data'!$W$4:$W$267,MATCH('Feed conversion ratio'!E$1&amp;$A$1&amp;$A59,'Raw data'!$K$4:$K$267&amp;'Raw data'!$L$2&amp;'Raw data'!$L$4:$L$267,0))),"")</f>
        <v>1.2556190173991222</v>
      </c>
      <c r="F59" s="419">
        <f t="array" ref="F59">IFERROR(IF($F$1="","",INDEX('Raw data'!$W$4:$W$267,MATCH('Feed conversion ratio'!F$1&amp;$A$1&amp;$A59,'Raw data'!$K$4:$K$267&amp;'Raw data'!$L$2&amp;'Raw data'!$L$4:$L$267,0))),"")</f>
        <v>1.773160715528642</v>
      </c>
      <c r="G59" s="442">
        <f t="array" ref="G59">IFERROR(IF($G$1="","",INDEX('Raw data'!$W$4:$W$267,MATCH('Feed conversion ratio'!G$1&amp;$A$1&amp;$A59,'Raw data'!$K$4:$K$267&amp;'Raw data'!$L$2&amp;'Raw data'!$L$4:$L$267,0))),"")</f>
        <v>1.7582003697870303</v>
      </c>
      <c r="H59" s="24"/>
    </row>
    <row r="60" spans="1:8" x14ac:dyDescent="0.25">
      <c r="A60" s="432">
        <f t="array" ref="A60">IFERROR(INDEX(Map!$V$2:$V$67,MATCH('Feed conversion ratio'!$B60&amp;'Feed conversion ratio'!$C60,Map!$W$2:$W$67&amp;Map!$X$2:$X$67,0)),"")</f>
        <v>49</v>
      </c>
      <c r="B60" s="418" t="str">
        <f>B54</f>
        <v>T5</v>
      </c>
      <c r="C60" s="436" t="s">
        <v>8</v>
      </c>
      <c r="D60" s="419">
        <f t="array" ref="D60">IFERROR(IF($D$1="","",INDEX('Raw data'!$W$4:$W$267,MATCH('Feed conversion ratio'!D$1&amp;$A$1&amp;$A60,'Raw data'!$K$4:$K$267&amp;'Raw data'!$L$2&amp;'Raw data'!$L$4:$L$267,0))),"")</f>
        <v>1.1600758791770027</v>
      </c>
      <c r="E60" s="419">
        <f t="array" ref="E60">IFERROR(IF($E$1="","",INDEX('Raw data'!$W$4:$W$267,MATCH('Feed conversion ratio'!E$1&amp;$A$1&amp;$A60,'Raw data'!$K$4:$K$267&amp;'Raw data'!$L$2&amp;'Raw data'!$L$4:$L$267,0))),"")</f>
        <v>1.2904464332997934</v>
      </c>
      <c r="F60" s="419">
        <f t="array" ref="F60">IFERROR(IF($F$1="","",INDEX('Raw data'!$W$4:$W$267,MATCH('Feed conversion ratio'!F$1&amp;$A$1&amp;$A60,'Raw data'!$K$4:$K$267&amp;'Raw data'!$L$2&amp;'Raw data'!$L$4:$L$267,0))),"")</f>
        <v>1.8420957997698504</v>
      </c>
      <c r="G60" s="442">
        <f t="array" ref="G60">IFERROR(IF($G$1="","",INDEX('Raw data'!$W$4:$W$267,MATCH('Feed conversion ratio'!G$1&amp;$A$1&amp;$A60,'Raw data'!$K$4:$K$267&amp;'Raw data'!$L$2&amp;'Raw data'!$L$4:$L$267,0))),"")</f>
        <v>1.7906352036681101</v>
      </c>
      <c r="H60" s="24"/>
    </row>
    <row r="61" spans="1:8" x14ac:dyDescent="0.25">
      <c r="A61" s="432">
        <f t="array" ref="A61">IFERROR(INDEX(Map!$V$2:$V$67,MATCH('Feed conversion ratio'!$B61&amp;'Feed conversion ratio'!$C61,Map!$W$2:$W$67&amp;Map!$X$2:$X$67,0)),"")</f>
        <v>53</v>
      </c>
      <c r="B61" s="418" t="str">
        <f>B54</f>
        <v>T5</v>
      </c>
      <c r="C61" s="436" t="s">
        <v>9</v>
      </c>
      <c r="D61" s="419">
        <f t="array" ref="D61">IFERROR(IF($D$1="","",INDEX('Raw data'!$W$4:$W$267,MATCH('Feed conversion ratio'!D$1&amp;$A$1&amp;$A61,'Raw data'!$K$4:$K$267&amp;'Raw data'!$L$2&amp;'Raw data'!$L$4:$L$267,0))),"")</f>
        <v>1.1348803480783176</v>
      </c>
      <c r="E61" s="419">
        <f t="array" ref="E61">IFERROR(IF($E$1="","",INDEX('Raw data'!$W$4:$W$267,MATCH('Feed conversion ratio'!E$1&amp;$A$1&amp;$A61,'Raw data'!$K$4:$K$267&amp;'Raw data'!$L$2&amp;'Raw data'!$L$4:$L$267,0))),"")</f>
        <v>1.2711258278145696</v>
      </c>
      <c r="F61" s="419">
        <f t="array" ref="F61">IFERROR(IF($F$1="","",INDEX('Raw data'!$W$4:$W$267,MATCH('Feed conversion ratio'!F$1&amp;$A$1&amp;$A61,'Raw data'!$K$4:$K$267&amp;'Raw data'!$L$2&amp;'Raw data'!$L$4:$L$267,0))),"")</f>
        <v>1.8026431718061675</v>
      </c>
      <c r="G61" s="442">
        <f t="array" ref="G61">IFERROR(IF($G$1="","",INDEX('Raw data'!$W$4:$W$267,MATCH('Feed conversion ratio'!G$1&amp;$A$1&amp;$A61,'Raw data'!$K$4:$K$267&amp;'Raw data'!$L$2&amp;'Raw data'!$L$4:$L$267,0))),"")</f>
        <v>1.7402095973524543</v>
      </c>
      <c r="H61" s="24"/>
    </row>
    <row r="62" spans="1:8" x14ac:dyDescent="0.25">
      <c r="A62" s="432">
        <f t="array" ref="A62">IFERROR(INDEX(Map!$V$2:$V$67,MATCH('Feed conversion ratio'!$B62&amp;'Feed conversion ratio'!$C62,Map!$W$2:$W$67&amp;Map!$X$2:$X$67,0)),"")</f>
        <v>60</v>
      </c>
      <c r="B62" s="418" t="str">
        <f>B54</f>
        <v>T5</v>
      </c>
      <c r="C62" s="436" t="s">
        <v>22</v>
      </c>
      <c r="D62" s="419">
        <f t="array" ref="D62">IFERROR(IF($D$1="","",INDEX('Raw data'!$W$4:$W$267,MATCH('Feed conversion ratio'!D$1&amp;$A$1&amp;$A62,'Raw data'!$K$4:$K$267&amp;'Raw data'!$L$2&amp;'Raw data'!$L$4:$L$267,0))),"")</f>
        <v>1.1164057181756297</v>
      </c>
      <c r="E62" s="419">
        <f t="array" ref="E62">IFERROR(IF($E$1="","",INDEX('Raw data'!$W$4:$W$267,MATCH('Feed conversion ratio'!E$1&amp;$A$1&amp;$A62,'Raw data'!$K$4:$K$267&amp;'Raw data'!$L$2&amp;'Raw data'!$L$4:$L$267,0))),"")</f>
        <v>1.2738520408163265</v>
      </c>
      <c r="F62" s="419">
        <f t="array" ref="F62">IFERROR(IF($F$1="","",INDEX('Raw data'!$W$4:$W$267,MATCH('Feed conversion ratio'!F$1&amp;$A$1&amp;$A62,'Raw data'!$K$4:$K$267&amp;'Raw data'!$L$2&amp;'Raw data'!$L$4:$L$267,0))),"")</f>
        <v>1.8088618592528236</v>
      </c>
      <c r="G62" s="442">
        <f t="array" ref="G62">IFERROR(IF($G$1="","",INDEX('Raw data'!$W$4:$W$267,MATCH('Feed conversion ratio'!G$1&amp;$A$1&amp;$A62,'Raw data'!$K$4:$K$267&amp;'Raw data'!$L$2&amp;'Raw data'!$L$4:$L$267,0))),"")</f>
        <v>1.7541436464088396</v>
      </c>
      <c r="H62" s="24"/>
    </row>
    <row r="63" spans="1:8" s="417" customFormat="1" x14ac:dyDescent="0.25">
      <c r="A63" s="432">
        <f t="array" ref="A63">IFERROR(INDEX(Map!$V$2:$V$67,MATCH('Feed conversion ratio'!$B63&amp;'Feed conversion ratio'!$C63,Map!$W$2:$W$67&amp;Map!$X$2:$X$67,0)),"")</f>
        <v>23</v>
      </c>
      <c r="B63" s="418" t="str">
        <f>B54</f>
        <v>T5</v>
      </c>
      <c r="C63" s="436" t="s">
        <v>101</v>
      </c>
      <c r="D63" s="419">
        <f t="array" ref="D63">IFERROR(IF($D$1="","",INDEX('Raw data'!$W$4:$W$267,MATCH('Feed conversion ratio'!D$1&amp;$A$1&amp;$A63,'Raw data'!$K$4:$K$267&amp;'Raw data'!$L$2&amp;'Raw data'!$L$4:$L$267,0))),"")</f>
        <v>1.1355571327182401</v>
      </c>
      <c r="E63" s="419">
        <f t="array" ref="E63">IFERROR(IF($E$1="","",INDEX('Raw data'!$W$4:$W$267,MATCH('Feed conversion ratio'!E$1&amp;$A$1&amp;$A63,'Raw data'!$K$4:$K$267&amp;'Raw data'!$L$2&amp;'Raw data'!$L$4:$L$267,0))),"")</f>
        <v>1.2909214092140917</v>
      </c>
      <c r="F63" s="419">
        <f t="array" ref="F63">IFERROR(IF($F$1="","",INDEX('Raw data'!$W$4:$W$267,MATCH('Feed conversion ratio'!F$1&amp;$A$1&amp;$A63,'Raw data'!$K$4:$K$267&amp;'Raw data'!$L$2&amp;'Raw data'!$L$4:$L$267,0))),"")</f>
        <v>1.7954345917471468</v>
      </c>
      <c r="G63" s="442">
        <f t="array" ref="G63">IFERROR(IF($G$1="","",INDEX('Raw data'!$W$4:$W$267,MATCH('Feed conversion ratio'!G$1&amp;$A$1&amp;$A63,'Raw data'!$K$4:$K$267&amp;'Raw data'!$L$2&amp;'Raw data'!$L$4:$L$267,0))),"")</f>
        <v>1.749295774647887</v>
      </c>
      <c r="H63" s="418"/>
    </row>
    <row r="64" spans="1:8" s="417" customFormat="1" x14ac:dyDescent="0.25">
      <c r="A64" s="446">
        <f t="array" ref="A64">IFERROR(INDEX(Map!$V$2:$V$67,MATCH('Feed conversion ratio'!$B64&amp;'Feed conversion ratio'!$C64,Map!$W$2:$W$67&amp;Map!$X$2:$X$67,0)),"")</f>
        <v>22</v>
      </c>
      <c r="B64" s="418" t="str">
        <f>B54</f>
        <v>T5</v>
      </c>
      <c r="C64" s="436" t="s">
        <v>102</v>
      </c>
      <c r="D64" s="435">
        <f t="array" ref="D64">IFERROR(IF($D$1="","",INDEX('Raw data'!$W$4:$W$267,MATCH('Feed conversion ratio'!D$1&amp;$A$1&amp;$A64,'Raw data'!$K$4:$K$267&amp;'Raw data'!$L$2&amp;'Raw data'!$L$4:$L$267,0))),"")</f>
        <v>1.152141802067947</v>
      </c>
      <c r="E64" s="435">
        <f t="array" ref="E64">IFERROR(IF($E$1="","",INDEX('Raw data'!$W$4:$W$267,MATCH('Feed conversion ratio'!E$1&amp;$A$1&amp;$A64,'Raw data'!$K$4:$K$267&amp;'Raw data'!$L$2&amp;'Raw data'!$L$4:$L$267,0))),"")</f>
        <v>1.2555244755244754</v>
      </c>
      <c r="F64" s="435">
        <f t="array" ref="F64">IFERROR(IF($F$1="","",INDEX('Raw data'!$W$4:$W$267,MATCH('Feed conversion ratio'!F$1&amp;$A$1&amp;$A64,'Raw data'!$K$4:$K$267&amp;'Raw data'!$L$2&amp;'Raw data'!$L$4:$L$267,0))),"")</f>
        <v>1.8487070629100737</v>
      </c>
      <c r="G64" s="443">
        <f t="array" ref="G64">IFERROR(IF($G$1="","",INDEX('Raw data'!$W$4:$W$267,MATCH('Feed conversion ratio'!G$1&amp;$A$1&amp;$A64,'Raw data'!$K$4:$K$267&amp;'Raw data'!$L$2&amp;'Raw data'!$L$4:$L$267,0))),"")</f>
        <v>1.7535010681224783</v>
      </c>
      <c r="H64" s="418"/>
    </row>
    <row r="65" spans="1:8" s="417" customFormat="1" x14ac:dyDescent="0.25">
      <c r="A65" s="432"/>
      <c r="B65" s="565" t="s">
        <v>82</v>
      </c>
      <c r="C65" s="566"/>
      <c r="D65" s="437" t="str">
        <f>IF($D$1="","",(ROUND(AVERAGE(D54:D64),3)&amp;" ± "&amp;(ROUND(STDEV(D54:D64),3))))</f>
        <v>1,13 ± 0,028</v>
      </c>
      <c r="E65" s="437" t="str">
        <f>IF($E$1="","",(ROUND(AVERAGE(E54:E64),3)&amp;" ± "&amp;(ROUND(STDEV(E54:E64),3))))</f>
        <v>1,273 ± 0,018</v>
      </c>
      <c r="F65" s="437" t="str">
        <f>IF($F$1="","",(ROUND(AVERAGE(F54:F64),3)&amp;" ± "&amp;(ROUND(STDEV(F54:F64),3))))</f>
        <v>1,805 ± 0,034</v>
      </c>
      <c r="G65" s="444" t="str">
        <f>IF($G$1="","",(ROUND(AVERAGE(G54:G64),3)&amp;" ± "&amp;(ROUND(STDEV(G54:G64),3))))</f>
        <v>1,759 ± 0,024</v>
      </c>
      <c r="H65" s="418"/>
    </row>
    <row r="66" spans="1:8" s="417" customFormat="1" ht="15.75" thickBot="1" x14ac:dyDescent="0.3">
      <c r="A66" s="433"/>
      <c r="B66" s="567" t="s">
        <v>83</v>
      </c>
      <c r="C66" s="568"/>
      <c r="D66" s="438">
        <f>IF($D$1="","",STDEV(D54:D64)/(AVERAGE(D54:D64)))</f>
        <v>2.4835163817938443E-2</v>
      </c>
      <c r="E66" s="438">
        <f>IF($E$1="","",STDEV(E54:E64)/(AVERAGE(E54:E64)))</f>
        <v>1.4260796108207642E-2</v>
      </c>
      <c r="F66" s="438">
        <f>IF($F$1="","",STDEV(F54:F62)/(AVERAGE(F54:F62)))</f>
        <v>1.9297591136420471E-2</v>
      </c>
      <c r="G66" s="445">
        <f>IF($G$1="","",STDEV(G54:G64)/(AVERAGE(G54:G64)))</f>
        <v>1.3637046486068677E-2</v>
      </c>
      <c r="H66" s="418"/>
    </row>
    <row r="67" spans="1:8" x14ac:dyDescent="0.25">
      <c r="A67" s="431">
        <f t="array" ref="A67">IFERROR(INDEX(Map!$V$2:$V$67,MATCH('Feed conversion ratio'!$B67&amp;'Feed conversion ratio'!$C67,Map!$W$2:$W$67&amp;Map!$X$2:$X$67,0)),"")</f>
        <v>5</v>
      </c>
      <c r="B67" s="41" t="s">
        <v>16</v>
      </c>
      <c r="C67" s="219" t="s">
        <v>2</v>
      </c>
      <c r="D67" s="440">
        <f t="array" ref="D67">IFERROR(IF($D$1="","",INDEX('Raw data'!$W$4:$W$267,MATCH('Feed conversion ratio'!D$1&amp;$A$1&amp;$A67,'Raw data'!$K$4:$K$267&amp;'Raw data'!$L$2&amp;'Raw data'!$L$4:$L$267,0))),"")</f>
        <v>1.1535662299854441</v>
      </c>
      <c r="E67" s="440">
        <f t="array" ref="E67">IFERROR(IF($E$1="","",INDEX('Raw data'!$W$4:$W$267,MATCH('Feed conversion ratio'!E$1&amp;$A$1&amp;$A67,'Raw data'!$K$4:$K$267&amp;'Raw data'!$L$2&amp;'Raw data'!$L$4:$L$267,0))),"")</f>
        <v>1.2842173350582144</v>
      </c>
      <c r="F67" s="440">
        <f t="array" ref="F67">IFERROR(IF($F$1="","",INDEX('Raw data'!$W$4:$W$267,MATCH('Feed conversion ratio'!F$1&amp;$A$1&amp;$A67,'Raw data'!$K$4:$K$267&amp;'Raw data'!$L$2&amp;'Raw data'!$L$4:$L$267,0))),"")</f>
        <v>1.7880341880341879</v>
      </c>
      <c r="G67" s="441">
        <f t="array" ref="G67">IFERROR(IF($G$1="","",INDEX('Raw data'!$W$4:$W$267,MATCH('Feed conversion ratio'!G$1&amp;$A$1&amp;$A67,'Raw data'!$K$4:$K$267&amp;'Raw data'!$L$2&amp;'Raw data'!$L$4:$L$267,0))),"")</f>
        <v>1.7351206434316353</v>
      </c>
      <c r="H67" s="24"/>
    </row>
    <row r="68" spans="1:8" x14ac:dyDescent="0.25">
      <c r="A68" s="432">
        <f t="array" ref="A68">IFERROR(INDEX(Map!$V$2:$V$67,MATCH('Feed conversion ratio'!$B68&amp;'Feed conversion ratio'!$C68,Map!$W$2:$W$67&amp;Map!$X$2:$X$67,0)),"")</f>
        <v>10</v>
      </c>
      <c r="B68" s="24" t="str">
        <f>B67</f>
        <v>T6</v>
      </c>
      <c r="C68" s="216" t="s">
        <v>3</v>
      </c>
      <c r="D68" s="419">
        <f t="array" ref="D68">IFERROR(IF($D$1="","",INDEX('Raw data'!$W$4:$W$267,MATCH('Feed conversion ratio'!D$1&amp;$A$1&amp;$A68,'Raw data'!$K$4:$K$267&amp;'Raw data'!$L$2&amp;'Raw data'!$L$4:$L$267,0))),"")</f>
        <v>1.1213321694755929</v>
      </c>
      <c r="E68" s="419">
        <f t="array" ref="E68">IFERROR(IF($E$1="","",INDEX('Raw data'!$W$4:$W$267,MATCH('Feed conversion ratio'!E$1&amp;$A$1&amp;$A68,'Raw data'!$K$4:$K$267&amp;'Raw data'!$L$2&amp;'Raw data'!$L$4:$L$267,0))),"")</f>
        <v>1.2806697408329841</v>
      </c>
      <c r="F68" s="419">
        <f t="array" ref="F68">IFERROR(IF($F$1="","",INDEX('Raw data'!$W$4:$W$267,MATCH('Feed conversion ratio'!F$1&amp;$A$1&amp;$A68,'Raw data'!$K$4:$K$267&amp;'Raw data'!$L$2&amp;'Raw data'!$L$4:$L$267,0))),"")</f>
        <v>1.7568881169027775</v>
      </c>
      <c r="G68" s="442">
        <f t="array" ref="G68">IFERROR(IF($G$1="","",INDEX('Raw data'!$W$4:$W$267,MATCH('Feed conversion ratio'!G$1&amp;$A$1&amp;$A68,'Raw data'!$K$4:$K$267&amp;'Raw data'!$L$2&amp;'Raw data'!$L$4:$L$267,0))),"")</f>
        <v>1.7519874156733986</v>
      </c>
      <c r="H68" s="24"/>
    </row>
    <row r="69" spans="1:8" x14ac:dyDescent="0.25">
      <c r="A69" s="432">
        <f t="array" ref="A69">IFERROR(INDEX(Map!$V$2:$V$67,MATCH('Feed conversion ratio'!$B69&amp;'Feed conversion ratio'!$C69,Map!$W$2:$W$67&amp;Map!$X$2:$X$67,0)),"")</f>
        <v>17</v>
      </c>
      <c r="B69" s="24" t="str">
        <f>B67</f>
        <v>T6</v>
      </c>
      <c r="C69" s="216" t="s">
        <v>4</v>
      </c>
      <c r="D69" s="419">
        <f t="array" ref="D69">IFERROR(IF($D$1="","",INDEX('Raw data'!$W$4:$W$267,MATCH('Feed conversion ratio'!D$1&amp;$A$1&amp;$A69,'Raw data'!$K$4:$K$267&amp;'Raw data'!$L$2&amp;'Raw data'!$L$4:$L$267,0))),"")</f>
        <v>1.143674052894925</v>
      </c>
      <c r="E69" s="419">
        <f t="array" ref="E69">IFERROR(IF($E$1="","",INDEX('Raw data'!$W$4:$W$267,MATCH('Feed conversion ratio'!E$1&amp;$A$1&amp;$A69,'Raw data'!$K$4:$K$267&amp;'Raw data'!$L$2&amp;'Raw data'!$L$4:$L$267,0))),"")</f>
        <v>1.3001366120218583</v>
      </c>
      <c r="F69" s="419">
        <f t="array" ref="F69">IFERROR(IF($F$1="","",INDEX('Raw data'!$W$4:$W$267,MATCH('Feed conversion ratio'!F$1&amp;$A$1&amp;$A69,'Raw data'!$K$4:$K$267&amp;'Raw data'!$L$2&amp;'Raw data'!$L$4:$L$267,0))),"")</f>
        <v>1.8055555555555556</v>
      </c>
      <c r="G69" s="442">
        <f t="array" ref="G69">IFERROR(IF($G$1="","",INDEX('Raw data'!$W$4:$W$267,MATCH('Feed conversion ratio'!G$1&amp;$A$1&amp;$A69,'Raw data'!$K$4:$K$267&amp;'Raw data'!$L$2&amp;'Raw data'!$L$4:$L$267,0))),"")</f>
        <v>1.7492957746478877</v>
      </c>
      <c r="H69" s="24"/>
    </row>
    <row r="70" spans="1:8" x14ac:dyDescent="0.25">
      <c r="A70" s="432">
        <f t="array" ref="A70">IFERROR(INDEX(Map!$V$2:$V$67,MATCH('Feed conversion ratio'!$B70&amp;'Feed conversion ratio'!$C70,Map!$W$2:$W$67&amp;Map!$X$2:$X$67,0)),"")</f>
        <v>29</v>
      </c>
      <c r="B70" s="24" t="str">
        <f>B67</f>
        <v>T6</v>
      </c>
      <c r="C70" s="216" t="s">
        <v>5</v>
      </c>
      <c r="D70" s="419">
        <f t="array" ref="D70">IFERROR(IF($D$1="","",INDEX('Raw data'!$W$4:$W$267,MATCH('Feed conversion ratio'!D$1&amp;$A$1&amp;$A70,'Raw data'!$K$4:$K$267&amp;'Raw data'!$L$2&amp;'Raw data'!$L$4:$L$267,0))),"")</f>
        <v>1.1159107271418287</v>
      </c>
      <c r="E70" s="419">
        <f t="array" ref="E70">IFERROR(IF($E$1="","",INDEX('Raw data'!$W$4:$W$267,MATCH('Feed conversion ratio'!E$1&amp;$A$1&amp;$A70,'Raw data'!$K$4:$K$267&amp;'Raw data'!$L$2&amp;'Raw data'!$L$4:$L$267,0))),"")</f>
        <v>1.2712807244501938</v>
      </c>
      <c r="F70" s="419">
        <f t="array" ref="F70">IFERROR(IF($F$1="","",INDEX('Raw data'!$W$4:$W$267,MATCH('Feed conversion ratio'!F$1&amp;$A$1&amp;$A70,'Raw data'!$K$4:$K$267&amp;'Raw data'!$L$2&amp;'Raw data'!$L$4:$L$267,0))),"")</f>
        <v>1.8197068691506273</v>
      </c>
      <c r="G70" s="442">
        <f t="array" ref="G70">IFERROR(IF($G$1="","",INDEX('Raw data'!$W$4:$W$267,MATCH('Feed conversion ratio'!G$1&amp;$A$1&amp;$A70,'Raw data'!$K$4:$K$267&amp;'Raw data'!$L$2&amp;'Raw data'!$L$4:$L$267,0))),"")</f>
        <v>1.7776105579995369</v>
      </c>
      <c r="H70" s="24"/>
    </row>
    <row r="71" spans="1:8" x14ac:dyDescent="0.25">
      <c r="A71" s="432">
        <f t="array" ref="A71">IFERROR(INDEX(Map!$V$2:$V$67,MATCH('Feed conversion ratio'!$B71&amp;'Feed conversion ratio'!$C71,Map!$W$2:$W$67&amp;Map!$X$2:$X$67,0)),"")</f>
        <v>32</v>
      </c>
      <c r="B71" s="24" t="str">
        <f>B67</f>
        <v>T6</v>
      </c>
      <c r="C71" s="216" t="s">
        <v>6</v>
      </c>
      <c r="D71" s="419">
        <f t="array" ref="D71">IFERROR(IF($D$1="","",INDEX('Raw data'!$W$4:$W$267,MATCH('Feed conversion ratio'!D$1&amp;$A$1&amp;$A71,'Raw data'!$K$4:$K$267&amp;'Raw data'!$L$2&amp;'Raw data'!$L$4:$L$267,0))),"")</f>
        <v>1.1244377811094453</v>
      </c>
      <c r="E71" s="419">
        <f t="array" ref="E71">IFERROR(IF($E$1="","",INDEX('Raw data'!$W$4:$W$267,MATCH('Feed conversion ratio'!E$1&amp;$A$1&amp;$A71,'Raw data'!$K$4:$K$267&amp;'Raw data'!$L$2&amp;'Raw data'!$L$4:$L$267,0))),"")</f>
        <v>1.2704851752021564</v>
      </c>
      <c r="F71" s="419">
        <f t="array" ref="F71">IFERROR(IF($F$1="","",INDEX('Raw data'!$W$4:$W$267,MATCH('Feed conversion ratio'!F$1&amp;$A$1&amp;$A71,'Raw data'!$K$4:$K$267&amp;'Raw data'!$L$2&amp;'Raw data'!$L$4:$L$267,0))),"")</f>
        <v>1.7912186379928314</v>
      </c>
      <c r="G71" s="442">
        <f t="array" ref="G71">IFERROR(IF($G$1="","",INDEX('Raw data'!$W$4:$W$267,MATCH('Feed conversion ratio'!G$1&amp;$A$1&amp;$A71,'Raw data'!$K$4:$K$267&amp;'Raw data'!$L$2&amp;'Raw data'!$L$4:$L$267,0))),"")</f>
        <v>1.7420824841420686</v>
      </c>
      <c r="H71" s="24"/>
    </row>
    <row r="72" spans="1:8" x14ac:dyDescent="0.25">
      <c r="A72" s="432">
        <f t="array" ref="A72">IFERROR(INDEX(Map!$V$2:$V$67,MATCH('Feed conversion ratio'!$B72&amp;'Feed conversion ratio'!$C72,Map!$W$2:$W$67&amp;Map!$X$2:$X$67,0)),"")</f>
        <v>38</v>
      </c>
      <c r="B72" s="24" t="str">
        <f>B67</f>
        <v>T6</v>
      </c>
      <c r="C72" s="216" t="s">
        <v>7</v>
      </c>
      <c r="D72" s="419">
        <f t="array" ref="D72">IFERROR(IF($D$1="","",INDEX('Raw data'!$W$4:$W$267,MATCH('Feed conversion ratio'!D$1&amp;$A$1&amp;$A72,'Raw data'!$K$4:$K$267&amp;'Raw data'!$L$2&amp;'Raw data'!$L$4:$L$267,0))),"")</f>
        <v>1.1178247734138971</v>
      </c>
      <c r="E72" s="419">
        <f t="array" ref="E72">IFERROR(IF($E$1="","",INDEX('Raw data'!$W$4:$W$267,MATCH('Feed conversion ratio'!E$1&amp;$A$1&amp;$A72,'Raw data'!$K$4:$K$267&amp;'Raw data'!$L$2&amp;'Raw data'!$L$4:$L$267,0))),"")</f>
        <v>1.2212628865979382</v>
      </c>
      <c r="F72" s="419">
        <f t="array" ref="F72">IFERROR(IF($F$1="","",INDEX('Raw data'!$W$4:$W$267,MATCH('Feed conversion ratio'!F$1&amp;$A$1&amp;$A72,'Raw data'!$K$4:$K$267&amp;'Raw data'!$L$2&amp;'Raw data'!$L$4:$L$267,0))),"")</f>
        <v>1.760600706713781</v>
      </c>
      <c r="G72" s="442">
        <f t="array" ref="G72">IFERROR(IF($G$1="","",INDEX('Raw data'!$W$4:$W$267,MATCH('Feed conversion ratio'!G$1&amp;$A$1&amp;$A72,'Raw data'!$K$4:$K$267&amp;'Raw data'!$L$2&amp;'Raw data'!$L$4:$L$267,0))),"")</f>
        <v>1.6882259041118515</v>
      </c>
      <c r="H72" s="24"/>
    </row>
    <row r="73" spans="1:8" x14ac:dyDescent="0.25">
      <c r="A73" s="432">
        <f t="array" ref="A73">IFERROR(INDEX(Map!$V$2:$V$67,MATCH('Feed conversion ratio'!$B73&amp;'Feed conversion ratio'!$C73,Map!$W$2:$W$67&amp;Map!$X$2:$X$67,0)),"")</f>
        <v>47</v>
      </c>
      <c r="B73" s="24" t="str">
        <f>B67</f>
        <v>T6</v>
      </c>
      <c r="C73" s="216" t="s">
        <v>8</v>
      </c>
      <c r="D73" s="419">
        <f t="array" ref="D73">IFERROR(IF($D$1="","",INDEX('Raw data'!$W$4:$W$267,MATCH('Feed conversion ratio'!D$1&amp;$A$1&amp;$A73,'Raw data'!$K$4:$K$267&amp;'Raw data'!$L$2&amp;'Raw data'!$L$4:$L$267,0))),"")</f>
        <v>1.1489992587101556</v>
      </c>
      <c r="E73" s="419">
        <f t="array" ref="E73">IFERROR(IF($E$1="","",INDEX('Raw data'!$W$4:$W$267,MATCH('Feed conversion ratio'!E$1&amp;$A$1&amp;$A73,'Raw data'!$K$4:$K$267&amp;'Raw data'!$L$2&amp;'Raw data'!$L$4:$L$267,0))),"")</f>
        <v>1.2662666666666667</v>
      </c>
      <c r="F73" s="419">
        <f t="array" ref="F73">IFERROR(IF($F$1="","",INDEX('Raw data'!$W$4:$W$267,MATCH('Feed conversion ratio'!F$1&amp;$A$1&amp;$A73,'Raw data'!$K$4:$K$267&amp;'Raw data'!$L$2&amp;'Raw data'!$L$4:$L$267,0))),"")</f>
        <v>1.7835232252410167</v>
      </c>
      <c r="G73" s="442">
        <f t="array" ref="G73">IFERROR(IF($G$1="","",INDEX('Raw data'!$W$4:$W$267,MATCH('Feed conversion ratio'!G$1&amp;$A$1&amp;$A73,'Raw data'!$K$4:$K$267&amp;'Raw data'!$L$2&amp;'Raw data'!$L$4:$L$267,0))),"")</f>
        <v>1.7414904444193147</v>
      </c>
      <c r="H73" s="24"/>
    </row>
    <row r="74" spans="1:8" x14ac:dyDescent="0.25">
      <c r="A74" s="432">
        <f t="array" ref="A74">IFERROR(INDEX(Map!$V$2:$V$67,MATCH('Feed conversion ratio'!$B74&amp;'Feed conversion ratio'!$C74,Map!$W$2:$W$67&amp;Map!$X$2:$X$67,0)),"")</f>
        <v>55</v>
      </c>
      <c r="B74" s="24" t="str">
        <f>B67</f>
        <v>T6</v>
      </c>
      <c r="C74" s="216" t="s">
        <v>9</v>
      </c>
      <c r="D74" s="419">
        <f t="array" ref="D74">IFERROR(IF($D$1="","",INDEX('Raw data'!$W$4:$W$267,MATCH('Feed conversion ratio'!D$1&amp;$A$1&amp;$A74,'Raw data'!$K$4:$K$267&amp;'Raw data'!$L$2&amp;'Raw data'!$L$4:$L$267,0))),"")</f>
        <v>1.1598302687411601</v>
      </c>
      <c r="E74" s="419">
        <f t="array" ref="E74">IFERROR(IF($E$1="","",INDEX('Raw data'!$W$4:$W$267,MATCH('Feed conversion ratio'!E$1&amp;$A$1&amp;$A74,'Raw data'!$K$4:$K$267&amp;'Raw data'!$L$2&amp;'Raw data'!$L$4:$L$267,0))),"")</f>
        <v>1.2976871101871104</v>
      </c>
      <c r="F74" s="419">
        <f t="array" ref="F74">IFERROR(IF($F$1="","",INDEX('Raw data'!$W$4:$W$267,MATCH('Feed conversion ratio'!F$1&amp;$A$1&amp;$A74,'Raw data'!$K$4:$K$267&amp;'Raw data'!$L$2&amp;'Raw data'!$L$4:$L$267,0))),"")</f>
        <v>1.8196342978874491</v>
      </c>
      <c r="G74" s="442">
        <f t="array" ref="G74">IFERROR(IF($G$1="","",INDEX('Raw data'!$W$4:$W$267,MATCH('Feed conversion ratio'!G$1&amp;$A$1&amp;$A74,'Raw data'!$K$4:$K$267&amp;'Raw data'!$L$2&amp;'Raw data'!$L$4:$L$267,0))),"")</f>
        <v>1.7738918912716715</v>
      </c>
      <c r="H74" s="24"/>
    </row>
    <row r="75" spans="1:8" x14ac:dyDescent="0.25">
      <c r="A75" s="432">
        <f t="array" ref="A75">IFERROR(INDEX(Map!$V$2:$V$67,MATCH('Feed conversion ratio'!$B75&amp;'Feed conversion ratio'!$C75,Map!$W$2:$W$67&amp;Map!$X$2:$X$67,0)),"")</f>
        <v>62</v>
      </c>
      <c r="B75" s="418" t="str">
        <f>B67</f>
        <v>T6</v>
      </c>
      <c r="C75" s="436" t="s">
        <v>22</v>
      </c>
      <c r="D75" s="419">
        <f t="array" ref="D75">IFERROR(IF($D$1="","",INDEX('Raw data'!$W$4:$W$267,MATCH('Feed conversion ratio'!D$1&amp;$A$1&amp;$A75,'Raw data'!$K$4:$K$267&amp;'Raw data'!$L$2&amp;'Raw data'!$L$4:$L$267,0))),"")</f>
        <v>1.1225997045790252</v>
      </c>
      <c r="E75" s="419">
        <f t="array" ref="E75">IFERROR(IF($E$1="","",INDEX('Raw data'!$W$4:$W$267,MATCH('Feed conversion ratio'!E$1&amp;$A$1&amp;$A75,'Raw data'!$K$4:$K$267&amp;'Raw data'!$L$2&amp;'Raw data'!$L$4:$L$267,0))),"")</f>
        <v>1.2315911431513904</v>
      </c>
      <c r="F75" s="419">
        <f t="array" ref="F75">IFERROR(IF($F$1="","",INDEX('Raw data'!$W$4:$W$267,MATCH('Feed conversion ratio'!F$1&amp;$A$1&amp;$A75,'Raw data'!$K$4:$K$267&amp;'Raw data'!$L$2&amp;'Raw data'!$L$4:$L$267,0))),"")</f>
        <v>1.7961863644540386</v>
      </c>
      <c r="G75" s="442">
        <f t="array" ref="G75">IFERROR(IF($G$1="","",INDEX('Raw data'!$W$4:$W$267,MATCH('Feed conversion ratio'!G$1&amp;$A$1&amp;$A75,'Raw data'!$K$4:$K$267&amp;'Raw data'!$L$2&amp;'Raw data'!$L$4:$L$267,0))),"")</f>
        <v>1.7524775031324753</v>
      </c>
      <c r="H75" s="24"/>
    </row>
    <row r="76" spans="1:8" s="417" customFormat="1" x14ac:dyDescent="0.25">
      <c r="A76" s="432">
        <f t="array" ref="A76">IFERROR(INDEX(Map!$V$2:$V$67,MATCH('Feed conversion ratio'!$B76&amp;'Feed conversion ratio'!$C76,Map!$W$2:$W$67&amp;Map!$X$2:$X$67,0)),"")</f>
        <v>1</v>
      </c>
      <c r="B76" s="418" t="str">
        <f>B67</f>
        <v>T6</v>
      </c>
      <c r="C76" s="436" t="s">
        <v>101</v>
      </c>
      <c r="D76" s="419">
        <f t="array" ref="D76">IFERROR(IF($D$1="","",INDEX('Raw data'!$W$4:$W$267,MATCH('Feed conversion ratio'!D$1&amp;$A$1&amp;$A76,'Raw data'!$K$4:$K$267&amp;'Raw data'!$L$2&amp;'Raw data'!$L$4:$L$267,0))),"")</f>
        <v>1.1284599006387512</v>
      </c>
      <c r="E76" s="419">
        <f t="array" ref="E76">IFERROR(IF($E$1="","",INDEX('Raw data'!$W$4:$W$267,MATCH('Feed conversion ratio'!E$1&amp;$A$1&amp;$A76,'Raw data'!$K$4:$K$267&amp;'Raw data'!$L$2&amp;'Raw data'!$L$4:$L$267,0))),"")</f>
        <v>1.3044117647058822</v>
      </c>
      <c r="F76" s="419">
        <f t="array" ref="F76">IFERROR(IF($F$1="","",INDEX('Raw data'!$W$4:$W$267,MATCH('Feed conversion ratio'!F$1&amp;$A$1&amp;$A76,'Raw data'!$K$4:$K$267&amp;'Raw data'!$L$2&amp;'Raw data'!$L$4:$L$267,0))),"")</f>
        <v>1.7989835261128639</v>
      </c>
      <c r="G76" s="442">
        <f t="array" ref="G76">IFERROR(IF($G$1="","",INDEX('Raw data'!$W$4:$W$267,MATCH('Feed conversion ratio'!G$1&amp;$A$1&amp;$A76,'Raw data'!$K$4:$K$267&amp;'Raw data'!$L$2&amp;'Raw data'!$L$4:$L$267,0))),"")</f>
        <v>1.744622173193602</v>
      </c>
      <c r="H76" s="418"/>
    </row>
    <row r="77" spans="1:8" s="417" customFormat="1" x14ac:dyDescent="0.25">
      <c r="A77" s="446">
        <f t="array" ref="A77">IFERROR(INDEX(Map!$V$2:$V$67,MATCH('Feed conversion ratio'!$B77&amp;'Feed conversion ratio'!$C77,Map!$W$2:$W$67&amp;Map!$X$2:$X$67,0)),"")</f>
        <v>43</v>
      </c>
      <c r="B77" s="418" t="str">
        <f>B67</f>
        <v>T6</v>
      </c>
      <c r="C77" s="436" t="s">
        <v>102</v>
      </c>
      <c r="D77" s="435">
        <f t="array" ref="D77">IFERROR(IF($D$1="","",INDEX('Raw data'!$W$4:$W$267,MATCH('Feed conversion ratio'!D$1&amp;$A$1&amp;$A77,'Raw data'!$K$4:$K$267&amp;'Raw data'!$L$2&amp;'Raw data'!$L$4:$L$267,0))),"")</f>
        <v>1.1364456309979074</v>
      </c>
      <c r="E77" s="435">
        <f t="array" ref="E77">IFERROR(IF($E$1="","",INDEX('Raw data'!$W$4:$W$267,MATCH('Feed conversion ratio'!E$1&amp;$A$1&amp;$A77,'Raw data'!$K$4:$K$267&amp;'Raw data'!$L$2&amp;'Raw data'!$L$4:$L$267,0))),"")</f>
        <v>1.2852306617587792</v>
      </c>
      <c r="F77" s="435">
        <f t="array" ref="F77">IFERROR(IF($F$1="","",INDEX('Raw data'!$W$4:$W$267,MATCH('Feed conversion ratio'!F$1&amp;$A$1&amp;$A77,'Raw data'!$K$4:$K$267&amp;'Raw data'!$L$2&amp;'Raw data'!$L$4:$L$267,0))),"")</f>
        <v>1.7836624299528012</v>
      </c>
      <c r="G77" s="443">
        <f t="array" ref="G77">IFERROR(IF($G$1="","",INDEX('Raw data'!$W$4:$W$267,MATCH('Feed conversion ratio'!G$1&amp;$A$1&amp;$A77,'Raw data'!$K$4:$K$267&amp;'Raw data'!$L$2&amp;'Raw data'!$L$4:$L$267,0))),"")</f>
        <v>1.7526329692542697</v>
      </c>
      <c r="H77" s="418"/>
    </row>
    <row r="78" spans="1:8" s="417" customFormat="1" x14ac:dyDescent="0.25">
      <c r="A78" s="432"/>
      <c r="B78" s="565" t="s">
        <v>82</v>
      </c>
      <c r="C78" s="566"/>
      <c r="D78" s="437" t="str">
        <f>IF($D$1="","",(ROUND(AVERAGE(D67:D77),3)&amp;" ± "&amp;(ROUND(STDEV(D67:D77),3))))</f>
        <v>1,134 ± 0,015</v>
      </c>
      <c r="E78" s="437" t="str">
        <f>IF($E$1="","",(ROUND(AVERAGE(E67:E77),3)&amp;" ± "&amp;(ROUND(STDEV(E67:E77),3))))</f>
        <v>1,274 ± 0,027</v>
      </c>
      <c r="F78" s="437" t="str">
        <f>IF($F$1="","",(ROUND(AVERAGE(F67:F77),3)&amp;" ± "&amp;(ROUND(STDEV(F67:F77),3))))</f>
        <v>1,791 ± 0,02</v>
      </c>
      <c r="G78" s="444" t="str">
        <f>IF($G$1="","",(ROUND(AVERAGE(G67:G77),3)&amp;" ± "&amp;(ROUND(STDEV(G67:G77),3))))</f>
        <v>1,746 ± 0,023</v>
      </c>
      <c r="H78" s="418"/>
    </row>
    <row r="79" spans="1:8" s="417" customFormat="1" ht="15.75" thickBot="1" x14ac:dyDescent="0.3">
      <c r="A79" s="433"/>
      <c r="B79" s="567" t="s">
        <v>83</v>
      </c>
      <c r="C79" s="568"/>
      <c r="D79" s="438">
        <f>IF($D$1="","",STDEV(D67:D77)/(AVERAGE(D67:D77)))</f>
        <v>1.3593665093735623E-2</v>
      </c>
      <c r="E79" s="438">
        <f>IF($E$1="","",STDEV(E67:E77)/(AVERAGE(E67:E77)))</f>
        <v>2.0921083605746842E-2</v>
      </c>
      <c r="F79" s="438">
        <f>IF($F$1="","",STDEV(F67:F75)/(AVERAGE(F67:F75)))</f>
        <v>1.2537143936286058E-2</v>
      </c>
      <c r="G79" s="445">
        <f>IF($G$1="","",STDEV(G67:G77)/(AVERAGE(G67:G77)))</f>
        <v>1.3309998266851981E-2</v>
      </c>
      <c r="H79" s="418"/>
    </row>
    <row r="80" spans="1:8" s="417" customFormat="1" hidden="1" x14ac:dyDescent="0.25">
      <c r="A80" s="431" t="str">
        <f t="array" ref="A80">IFERROR(INDEX(Map!$V$2:$V$67,MATCH('Feed conversion ratio'!$B80&amp;'Feed conversion ratio'!$C80,Map!$W$2:$W$67&amp;Map!$X$2:$X$67,0)),"")</f>
        <v/>
      </c>
      <c r="B80" s="420" t="s">
        <v>15</v>
      </c>
      <c r="C80" s="439" t="s">
        <v>2</v>
      </c>
      <c r="D80" s="440" t="str">
        <f t="array" ref="D80">IFERROR(IF($D$1="","",INDEX('Raw data'!$W$4:$W$267,MATCH('Feed conversion ratio'!D$1&amp;$A$1&amp;$A80,'Raw data'!$K$4:$K$267&amp;'Raw data'!$L$2&amp;'Raw data'!$L$4:$L$267,0))),"")</f>
        <v/>
      </c>
      <c r="E80" s="440" t="str">
        <f t="array" ref="E80">IFERROR(IF($E$1="","",INDEX('Raw data'!$W$4:$W$267,MATCH('Feed conversion ratio'!E$1&amp;$A$1&amp;$A80,'Raw data'!$K$4:$K$267&amp;'Raw data'!$L$2&amp;'Raw data'!$L$4:$L$267,0))),"")</f>
        <v/>
      </c>
      <c r="F80" s="440" t="str">
        <f t="array" ref="F80">IFERROR(IF($F$1="","",INDEX('Raw data'!$W$4:$W$267,MATCH('Feed conversion ratio'!F$1&amp;$A$1&amp;$A80,'Raw data'!$K$4:$K$267&amp;'Raw data'!$L$2&amp;'Raw data'!$L$4:$L$267,0))),"")</f>
        <v/>
      </c>
      <c r="G80" s="441" t="str">
        <f t="array" ref="G80">IFERROR(IF($G$1="","",INDEX('Raw data'!$W$4:$W$267,MATCH('Feed conversion ratio'!G$1&amp;$A$1&amp;$A80,'Raw data'!$K$4:$K$267&amp;'Raw data'!$L$2&amp;'Raw data'!$L$4:$L$267,0))),"")</f>
        <v/>
      </c>
      <c r="H80" s="418"/>
    </row>
    <row r="81" spans="1:8" s="417" customFormat="1" hidden="1" x14ac:dyDescent="0.25">
      <c r="A81" s="432" t="str">
        <f t="array" ref="A81">IFERROR(INDEX(Map!$V$2:$V$67,MATCH('Feed conversion ratio'!$B81&amp;'Feed conversion ratio'!$C81,Map!$W$2:$W$67&amp;Map!$X$2:$X$67,0)),"")</f>
        <v/>
      </c>
      <c r="B81" s="418" t="s">
        <v>15</v>
      </c>
      <c r="C81" s="436" t="s">
        <v>3</v>
      </c>
      <c r="D81" s="419" t="str">
        <f t="array" ref="D81">IFERROR(IF($D$1="","",INDEX('Raw data'!$W$4:$W$267,MATCH('Feed conversion ratio'!D$1&amp;$A$1&amp;$A81,'Raw data'!$K$4:$K$267&amp;'Raw data'!$L$2&amp;'Raw data'!$L$4:$L$267,0))),"")</f>
        <v/>
      </c>
      <c r="E81" s="419" t="str">
        <f t="array" ref="E81">IFERROR(IF($E$1="","",INDEX('Raw data'!$W$4:$W$267,MATCH('Feed conversion ratio'!E$1&amp;$A$1&amp;$A81,'Raw data'!$K$4:$K$267&amp;'Raw data'!$L$2&amp;'Raw data'!$L$4:$L$267,0))),"")</f>
        <v/>
      </c>
      <c r="F81" s="419" t="str">
        <f t="array" ref="F81">IFERROR(IF($F$1="","",INDEX('Raw data'!$W$4:$W$267,MATCH('Feed conversion ratio'!F$1&amp;$A$1&amp;$A81,'Raw data'!$K$4:$K$267&amp;'Raw data'!$L$2&amp;'Raw data'!$L$4:$L$267,0))),"")</f>
        <v/>
      </c>
      <c r="G81" s="442" t="str">
        <f t="array" ref="G81">IFERROR(IF($G$1="","",INDEX('Raw data'!$W$4:$W$267,MATCH('Feed conversion ratio'!G$1&amp;$A$1&amp;$A81,'Raw data'!$K$4:$K$267&amp;'Raw data'!$L$2&amp;'Raw data'!$L$4:$L$267,0))),"")</f>
        <v/>
      </c>
      <c r="H81" s="418"/>
    </row>
    <row r="82" spans="1:8" s="417" customFormat="1" hidden="1" x14ac:dyDescent="0.25">
      <c r="A82" s="432" t="str">
        <f t="array" ref="A82">IFERROR(INDEX(Map!$V$2:$V$67,MATCH('Feed conversion ratio'!$B82&amp;'Feed conversion ratio'!$C82,Map!$W$2:$W$67&amp;Map!$X$2:$X$67,0)),"")</f>
        <v/>
      </c>
      <c r="B82" s="418" t="s">
        <v>15</v>
      </c>
      <c r="C82" s="436" t="s">
        <v>4</v>
      </c>
      <c r="D82" s="419" t="str">
        <f t="array" ref="D82">IFERROR(IF($D$1="","",INDEX('Raw data'!$W$4:$W$267,MATCH('Feed conversion ratio'!D$1&amp;$A$1&amp;$A82,'Raw data'!$K$4:$K$267&amp;'Raw data'!$L$2&amp;'Raw data'!$L$4:$L$267,0))),"")</f>
        <v/>
      </c>
      <c r="E82" s="419" t="str">
        <f t="array" ref="E82">IFERROR(IF($E$1="","",INDEX('Raw data'!$W$4:$W$267,MATCH('Feed conversion ratio'!E$1&amp;$A$1&amp;$A82,'Raw data'!$K$4:$K$267&amp;'Raw data'!$L$2&amp;'Raw data'!$L$4:$L$267,0))),"")</f>
        <v/>
      </c>
      <c r="F82" s="419" t="str">
        <f t="array" ref="F82">IFERROR(IF($F$1="","",INDEX('Raw data'!$W$4:$W$267,MATCH('Feed conversion ratio'!F$1&amp;$A$1&amp;$A82,'Raw data'!$K$4:$K$267&amp;'Raw data'!$L$2&amp;'Raw data'!$L$4:$L$267,0))),"")</f>
        <v/>
      </c>
      <c r="G82" s="442" t="str">
        <f t="array" ref="G82">IFERROR(IF($G$1="","",INDEX('Raw data'!$W$4:$W$267,MATCH('Feed conversion ratio'!G$1&amp;$A$1&amp;$A82,'Raw data'!$K$4:$K$267&amp;'Raw data'!$L$2&amp;'Raw data'!$L$4:$L$267,0))),"")</f>
        <v/>
      </c>
      <c r="H82" s="418"/>
    </row>
    <row r="83" spans="1:8" s="417" customFormat="1" hidden="1" x14ac:dyDescent="0.25">
      <c r="A83" s="432" t="str">
        <f t="array" ref="A83">IFERROR(INDEX(Map!$V$2:$V$67,MATCH('Feed conversion ratio'!$B83&amp;'Feed conversion ratio'!$C83,Map!$W$2:$W$67&amp;Map!$X$2:$X$67,0)),"")</f>
        <v/>
      </c>
      <c r="B83" s="418" t="s">
        <v>15</v>
      </c>
      <c r="C83" s="436" t="s">
        <v>5</v>
      </c>
      <c r="D83" s="419" t="str">
        <f t="array" ref="D83">IFERROR(IF($D$1="","",INDEX('Raw data'!$W$4:$W$267,MATCH('Feed conversion ratio'!D$1&amp;$A$1&amp;$A83,'Raw data'!$K$4:$K$267&amp;'Raw data'!$L$2&amp;'Raw data'!$L$4:$L$267,0))),"")</f>
        <v/>
      </c>
      <c r="E83" s="419" t="str">
        <f t="array" ref="E83">IFERROR(IF($E$1="","",INDEX('Raw data'!$W$4:$W$267,MATCH('Feed conversion ratio'!E$1&amp;$A$1&amp;$A83,'Raw data'!$K$4:$K$267&amp;'Raw data'!$L$2&amp;'Raw data'!$L$4:$L$267,0))),"")</f>
        <v/>
      </c>
      <c r="F83" s="419" t="str">
        <f t="array" ref="F83">IFERROR(IF($F$1="","",INDEX('Raw data'!$W$4:$W$267,MATCH('Feed conversion ratio'!F$1&amp;$A$1&amp;$A83,'Raw data'!$K$4:$K$267&amp;'Raw data'!$L$2&amp;'Raw data'!$L$4:$L$267,0))),"")</f>
        <v/>
      </c>
      <c r="G83" s="442" t="str">
        <f t="array" ref="G83">IFERROR(IF($G$1="","",INDEX('Raw data'!$W$4:$W$267,MATCH('Feed conversion ratio'!G$1&amp;$A$1&amp;$A83,'Raw data'!$K$4:$K$267&amp;'Raw data'!$L$2&amp;'Raw data'!$L$4:$L$267,0))),"")</f>
        <v/>
      </c>
      <c r="H83" s="418"/>
    </row>
    <row r="84" spans="1:8" s="417" customFormat="1" hidden="1" x14ac:dyDescent="0.25">
      <c r="A84" s="432" t="str">
        <f t="array" ref="A84">IFERROR(INDEX(Map!$V$2:$V$67,MATCH('Feed conversion ratio'!$B84&amp;'Feed conversion ratio'!$C84,Map!$W$2:$W$67&amp;Map!$X$2:$X$67,0)),"")</f>
        <v/>
      </c>
      <c r="B84" s="418" t="s">
        <v>15</v>
      </c>
      <c r="C84" s="436" t="s">
        <v>6</v>
      </c>
      <c r="D84" s="419" t="str">
        <f t="array" ref="D84">IFERROR(IF($D$1="","",INDEX('Raw data'!$W$4:$W$267,MATCH('Feed conversion ratio'!D$1&amp;$A$1&amp;$A84,'Raw data'!$K$4:$K$267&amp;'Raw data'!$L$2&amp;'Raw data'!$L$4:$L$267,0))),"")</f>
        <v/>
      </c>
      <c r="E84" s="419" t="str">
        <f t="array" ref="E84">IFERROR(IF($E$1="","",INDEX('Raw data'!$W$4:$W$267,MATCH('Feed conversion ratio'!E$1&amp;$A$1&amp;$A84,'Raw data'!$K$4:$K$267&amp;'Raw data'!$L$2&amp;'Raw data'!$L$4:$L$267,0))),"")</f>
        <v/>
      </c>
      <c r="F84" s="419" t="str">
        <f t="array" ref="F84">IFERROR(IF($F$1="","",INDEX('Raw data'!$W$4:$W$267,MATCH('Feed conversion ratio'!F$1&amp;$A$1&amp;$A84,'Raw data'!$K$4:$K$267&amp;'Raw data'!$L$2&amp;'Raw data'!$L$4:$L$267,0))),"")</f>
        <v/>
      </c>
      <c r="G84" s="442" t="str">
        <f t="array" ref="G84">IFERROR(IF($G$1="","",INDEX('Raw data'!$W$4:$W$267,MATCH('Feed conversion ratio'!G$1&amp;$A$1&amp;$A84,'Raw data'!$K$4:$K$267&amp;'Raw data'!$L$2&amp;'Raw data'!$L$4:$L$267,0))),"")</f>
        <v/>
      </c>
      <c r="H84" s="418"/>
    </row>
    <row r="85" spans="1:8" s="417" customFormat="1" hidden="1" x14ac:dyDescent="0.25">
      <c r="A85" s="432" t="str">
        <f t="array" ref="A85">IFERROR(INDEX(Map!$V$2:$V$67,MATCH('Feed conversion ratio'!$B85&amp;'Feed conversion ratio'!$C85,Map!$W$2:$W$67&amp;Map!$X$2:$X$67,0)),"")</f>
        <v/>
      </c>
      <c r="B85" s="418" t="s">
        <v>15</v>
      </c>
      <c r="C85" s="436" t="s">
        <v>7</v>
      </c>
      <c r="D85" s="419" t="str">
        <f t="array" ref="D85">IFERROR(IF($D$1="","",INDEX('Raw data'!$W$4:$W$267,MATCH('Feed conversion ratio'!D$1&amp;$A$1&amp;$A85,'Raw data'!$K$4:$K$267&amp;'Raw data'!$L$2&amp;'Raw data'!$L$4:$L$267,0))),"")</f>
        <v/>
      </c>
      <c r="E85" s="419" t="str">
        <f t="array" ref="E85">IFERROR(IF($E$1="","",INDEX('Raw data'!$W$4:$W$267,MATCH('Feed conversion ratio'!E$1&amp;$A$1&amp;$A85,'Raw data'!$K$4:$K$267&amp;'Raw data'!$L$2&amp;'Raw data'!$L$4:$L$267,0))),"")</f>
        <v/>
      </c>
      <c r="F85" s="419" t="str">
        <f t="array" ref="F85">IFERROR(IF($F$1="","",INDEX('Raw data'!$W$4:$W$267,MATCH('Feed conversion ratio'!F$1&amp;$A$1&amp;$A85,'Raw data'!$K$4:$K$267&amp;'Raw data'!$L$2&amp;'Raw data'!$L$4:$L$267,0))),"")</f>
        <v/>
      </c>
      <c r="G85" s="442" t="str">
        <f t="array" ref="G85">IFERROR(IF($G$1="","",INDEX('Raw data'!$W$4:$W$267,MATCH('Feed conversion ratio'!G$1&amp;$A$1&amp;$A85,'Raw data'!$K$4:$K$267&amp;'Raw data'!$L$2&amp;'Raw data'!$L$4:$L$267,0))),"")</f>
        <v/>
      </c>
      <c r="H85" s="418"/>
    </row>
    <row r="86" spans="1:8" s="417" customFormat="1" hidden="1" x14ac:dyDescent="0.25">
      <c r="A86" s="432" t="str">
        <f t="array" ref="A86">IFERROR(INDEX(Map!$V$2:$V$67,MATCH('Feed conversion ratio'!$B86&amp;'Feed conversion ratio'!$C86,Map!$W$2:$W$67&amp;Map!$X$2:$X$67,0)),"")</f>
        <v/>
      </c>
      <c r="B86" s="418" t="s">
        <v>15</v>
      </c>
      <c r="C86" s="436" t="s">
        <v>8</v>
      </c>
      <c r="D86" s="419" t="str">
        <f t="array" ref="D86">IFERROR(IF($D$1="","",INDEX('Raw data'!$W$4:$W$267,MATCH('Feed conversion ratio'!D$1&amp;$A$1&amp;$A86,'Raw data'!$K$4:$K$267&amp;'Raw data'!$L$2&amp;'Raw data'!$L$4:$L$267,0))),"")</f>
        <v/>
      </c>
      <c r="E86" s="419" t="str">
        <f t="array" ref="E86">IFERROR(IF($E$1="","",INDEX('Raw data'!$W$4:$W$267,MATCH('Feed conversion ratio'!E$1&amp;$A$1&amp;$A86,'Raw data'!$K$4:$K$267&amp;'Raw data'!$L$2&amp;'Raw data'!$L$4:$L$267,0))),"")</f>
        <v/>
      </c>
      <c r="F86" s="419" t="str">
        <f t="array" ref="F86">IFERROR(IF($F$1="","",INDEX('Raw data'!$W$4:$W$267,MATCH('Feed conversion ratio'!F$1&amp;$A$1&amp;$A86,'Raw data'!$K$4:$K$267&amp;'Raw data'!$L$2&amp;'Raw data'!$L$4:$L$267,0))),"")</f>
        <v/>
      </c>
      <c r="G86" s="442" t="str">
        <f t="array" ref="G86">IFERROR(IF($G$1="","",INDEX('Raw data'!$W$4:$W$267,MATCH('Feed conversion ratio'!G$1&amp;$A$1&amp;$A86,'Raw data'!$K$4:$K$267&amp;'Raw data'!$L$2&amp;'Raw data'!$L$4:$L$267,0))),"")</f>
        <v/>
      </c>
      <c r="H86" s="418"/>
    </row>
    <row r="87" spans="1:8" s="417" customFormat="1" hidden="1" x14ac:dyDescent="0.25">
      <c r="A87" s="432" t="str">
        <f t="array" ref="A87">IFERROR(INDEX(Map!$V$2:$V$67,MATCH('Feed conversion ratio'!$B87&amp;'Feed conversion ratio'!$C87,Map!$W$2:$W$67&amp;Map!$X$2:$X$67,0)),"")</f>
        <v/>
      </c>
      <c r="B87" s="418" t="s">
        <v>15</v>
      </c>
      <c r="C87" s="436" t="s">
        <v>9</v>
      </c>
      <c r="D87" s="419" t="str">
        <f t="array" ref="D87">IFERROR(IF($D$1="","",INDEX('Raw data'!$W$4:$W$267,MATCH('Feed conversion ratio'!D$1&amp;$A$1&amp;$A87,'Raw data'!$K$4:$K$267&amp;'Raw data'!$L$2&amp;'Raw data'!$L$4:$L$267,0))),"")</f>
        <v/>
      </c>
      <c r="E87" s="419" t="str">
        <f t="array" ref="E87">IFERROR(IF($E$1="","",INDEX('Raw data'!$W$4:$W$267,MATCH('Feed conversion ratio'!E$1&amp;$A$1&amp;$A87,'Raw data'!$K$4:$K$267&amp;'Raw data'!$L$2&amp;'Raw data'!$L$4:$L$267,0))),"")</f>
        <v/>
      </c>
      <c r="F87" s="419" t="str">
        <f t="array" ref="F87">IFERROR(IF($F$1="","",INDEX('Raw data'!$W$4:$W$267,MATCH('Feed conversion ratio'!F$1&amp;$A$1&amp;$A87,'Raw data'!$K$4:$K$267&amp;'Raw data'!$L$2&amp;'Raw data'!$L$4:$L$267,0))),"")</f>
        <v/>
      </c>
      <c r="G87" s="442" t="str">
        <f t="array" ref="G87">IFERROR(IF($G$1="","",INDEX('Raw data'!$W$4:$W$267,MATCH('Feed conversion ratio'!G$1&amp;$A$1&amp;$A87,'Raw data'!$K$4:$K$267&amp;'Raw data'!$L$2&amp;'Raw data'!$L$4:$L$267,0))),"")</f>
        <v/>
      </c>
      <c r="H87" s="418"/>
    </row>
    <row r="88" spans="1:8" s="417" customFormat="1" hidden="1" x14ac:dyDescent="0.25">
      <c r="A88" s="432" t="str">
        <f t="array" ref="A88">IFERROR(INDEX(Map!$V$2:$V$67,MATCH('Feed conversion ratio'!$B88&amp;'Feed conversion ratio'!$C88,Map!$W$2:$W$67&amp;Map!$X$2:$X$67,0)),"")</f>
        <v/>
      </c>
      <c r="B88" s="418" t="s">
        <v>15</v>
      </c>
      <c r="C88" s="436" t="s">
        <v>22</v>
      </c>
      <c r="D88" s="419" t="str">
        <f t="array" ref="D88">IFERROR(IF($D$1="","",INDEX('Raw data'!$W$4:$W$267,MATCH('Feed conversion ratio'!D$1&amp;$A$1&amp;$A88,'Raw data'!$K$4:$K$267&amp;'Raw data'!$L$2&amp;'Raw data'!$L$4:$L$267,0))),"")</f>
        <v/>
      </c>
      <c r="E88" s="419" t="str">
        <f t="array" ref="E88">IFERROR(IF($E$1="","",INDEX('Raw data'!$W$4:$W$267,MATCH('Feed conversion ratio'!E$1&amp;$A$1&amp;$A88,'Raw data'!$K$4:$K$267&amp;'Raw data'!$L$2&amp;'Raw data'!$L$4:$L$267,0))),"")</f>
        <v/>
      </c>
      <c r="F88" s="419" t="str">
        <f t="array" ref="F88">IFERROR(IF($F$1="","",INDEX('Raw data'!$W$4:$W$267,MATCH('Feed conversion ratio'!F$1&amp;$A$1&amp;$A88,'Raw data'!$K$4:$K$267&amp;'Raw data'!$L$2&amp;'Raw data'!$L$4:$L$267,0))),"")</f>
        <v/>
      </c>
      <c r="G88" s="442" t="str">
        <f t="array" ref="G88">IFERROR(IF($G$1="","",INDEX('Raw data'!$W$4:$W$267,MATCH('Feed conversion ratio'!G$1&amp;$A$1&amp;$A88,'Raw data'!$K$4:$K$267&amp;'Raw data'!$L$2&amp;'Raw data'!$L$4:$L$267,0))),"")</f>
        <v/>
      </c>
      <c r="H88" s="418"/>
    </row>
    <row r="89" spans="1:8" s="417" customFormat="1" hidden="1" x14ac:dyDescent="0.25">
      <c r="A89" s="432" t="str">
        <f t="array" ref="A89">IFERROR(INDEX(Map!$V$2:$V$67,MATCH('Feed conversion ratio'!$B89&amp;'Feed conversion ratio'!$C89,Map!$W$2:$W$67&amp;Map!$X$2:$X$67,0)),"")</f>
        <v/>
      </c>
      <c r="B89" s="418" t="str">
        <f>B80</f>
        <v>T7</v>
      </c>
      <c r="C89" s="436" t="s">
        <v>101</v>
      </c>
      <c r="D89" s="419" t="str">
        <f t="array" ref="D89">IFERROR(IF($D$1="","",INDEX('Raw data'!$W$4:$W$267,MATCH('Feed conversion ratio'!D$1&amp;$A$1&amp;$A89,'Raw data'!$K$4:$K$267&amp;'Raw data'!$L$2&amp;'Raw data'!$L$4:$L$267,0))),"")</f>
        <v/>
      </c>
      <c r="E89" s="419" t="str">
        <f t="array" ref="E89">IFERROR(IF($E$1="","",INDEX('Raw data'!$W$4:$W$267,MATCH('Feed conversion ratio'!E$1&amp;$A$1&amp;$A89,'Raw data'!$K$4:$K$267&amp;'Raw data'!$L$2&amp;'Raw data'!$L$4:$L$267,0))),"")</f>
        <v/>
      </c>
      <c r="F89" s="419" t="str">
        <f t="array" ref="F89">IFERROR(IF($F$1="","",INDEX('Raw data'!$W$4:$W$267,MATCH('Feed conversion ratio'!F$1&amp;$A$1&amp;$A89,'Raw data'!$K$4:$K$267&amp;'Raw data'!$L$2&amp;'Raw data'!$L$4:$L$267,0))),"")</f>
        <v/>
      </c>
      <c r="G89" s="442" t="str">
        <f t="array" ref="G89">IFERROR(IF($G$1="","",INDEX('Raw data'!$W$4:$W$267,MATCH('Feed conversion ratio'!G$1&amp;$A$1&amp;$A89,'Raw data'!$K$4:$K$267&amp;'Raw data'!$L$2&amp;'Raw data'!$L$4:$L$267,0))),"")</f>
        <v/>
      </c>
      <c r="H89" s="418"/>
    </row>
    <row r="90" spans="1:8" s="417" customFormat="1" hidden="1" x14ac:dyDescent="0.25">
      <c r="A90" s="446" t="str">
        <f t="array" ref="A90">IFERROR(INDEX(Map!$V$2:$V$67,MATCH('Feed conversion ratio'!$B90&amp;'Feed conversion ratio'!$C90,Map!$W$2:$W$67&amp;Map!$X$2:$X$67,0)),"")</f>
        <v/>
      </c>
      <c r="B90" s="418" t="str">
        <f>B80</f>
        <v>T7</v>
      </c>
      <c r="C90" s="436" t="s">
        <v>102</v>
      </c>
      <c r="D90" s="435" t="str">
        <f t="array" ref="D90">IFERROR(IF($D$1="","",INDEX('Raw data'!$W$4:$W$267,MATCH('Feed conversion ratio'!D$1&amp;$A$1&amp;$A90,'Raw data'!$K$4:$K$267&amp;'Raw data'!$L$2&amp;'Raw data'!$L$4:$L$267,0))),"")</f>
        <v/>
      </c>
      <c r="E90" s="435" t="str">
        <f t="array" ref="E90">IFERROR(IF($E$1="","",INDEX('Raw data'!$W$4:$W$267,MATCH('Feed conversion ratio'!E$1&amp;$A$1&amp;$A90,'Raw data'!$K$4:$K$267&amp;'Raw data'!$L$2&amp;'Raw data'!$L$4:$L$267,0))),"")</f>
        <v/>
      </c>
      <c r="F90" s="435" t="str">
        <f t="array" ref="F90">IFERROR(IF($F$1="","",INDEX('Raw data'!$W$4:$W$267,MATCH('Feed conversion ratio'!F$1&amp;$A$1&amp;$A90,'Raw data'!$K$4:$K$267&amp;'Raw data'!$L$2&amp;'Raw data'!$L$4:$L$267,0))),"")</f>
        <v/>
      </c>
      <c r="G90" s="443" t="str">
        <f t="array" ref="G90">IFERROR(IF($G$1="","",INDEX('Raw data'!$W$4:$W$267,MATCH('Feed conversion ratio'!G$1&amp;$A$1&amp;$A90,'Raw data'!$K$4:$K$267&amp;'Raw data'!$L$2&amp;'Raw data'!$L$4:$L$267,0))),"")</f>
        <v/>
      </c>
      <c r="H90" s="418"/>
    </row>
    <row r="91" spans="1:8" s="417" customFormat="1" hidden="1" x14ac:dyDescent="0.25">
      <c r="A91" s="432"/>
      <c r="B91" s="565" t="s">
        <v>82</v>
      </c>
      <c r="C91" s="566"/>
      <c r="D91" s="437" t="e">
        <f t="shared" ref="D91" si="0">IF($D$1="","",(ROUND(AVERAGE(D80:D88),3)&amp;" ± "&amp;(ROUND(STDEV(D80:D88),3))))</f>
        <v>#DIV/0!</v>
      </c>
      <c r="E91" s="437" t="e">
        <f t="shared" ref="E91" si="1">IF($E$1="","",(ROUND(AVERAGE(E80:E88),3)&amp;" ± "&amp;(ROUND(STDEV(E80:E88),3))))</f>
        <v>#DIV/0!</v>
      </c>
      <c r="F91" s="437" t="e">
        <f t="shared" ref="F91" si="2">IF($F$1="","",(ROUND(AVERAGE(F80:F88),3)&amp;" ± "&amp;(ROUND(STDEV(F80:F88),3))))</f>
        <v>#DIV/0!</v>
      </c>
      <c r="G91" s="444" t="e">
        <f t="shared" ref="G91" si="3">IF($G$1="","",(ROUND(AVERAGE(G80:G88),3)&amp;" ± "&amp;(ROUND(STDEV(G80:G88),3))))</f>
        <v>#DIV/0!</v>
      </c>
      <c r="H91" s="418"/>
    </row>
    <row r="92" spans="1:8" s="417" customFormat="1" ht="15.75" hidden="1" thickBot="1" x14ac:dyDescent="0.3">
      <c r="A92" s="433"/>
      <c r="B92" s="567" t="s">
        <v>83</v>
      </c>
      <c r="C92" s="567"/>
      <c r="D92" s="438" t="e">
        <f t="shared" ref="D92" si="4">IF($D$1="","",STDEV(D80:D88)/(AVERAGE(D80:D88)))</f>
        <v>#DIV/0!</v>
      </c>
      <c r="E92" s="438" t="e">
        <f t="shared" ref="E92" si="5">IF($E$1="","",STDEV(E80:E88)/(AVERAGE(E80:E88)))</f>
        <v>#DIV/0!</v>
      </c>
      <c r="F92" s="438" t="e">
        <f t="shared" ref="F92" si="6">IF($F$1="","",STDEV(F80:F88)/(AVERAGE(F80:F88)))</f>
        <v>#DIV/0!</v>
      </c>
      <c r="G92" s="445" t="e">
        <f t="shared" ref="G92" si="7">IF($G$1="","",STDEV(G80:G88)/(AVERAGE(G80:G88)))</f>
        <v>#DIV/0!</v>
      </c>
      <c r="H92" s="418"/>
    </row>
    <row r="93" spans="1:8" x14ac:dyDescent="0.25">
      <c r="A93" s="24"/>
    </row>
  </sheetData>
  <mergeCells count="14">
    <mergeCell ref="B91:C91"/>
    <mergeCell ref="B92:C92"/>
    <mergeCell ref="B52:C52"/>
    <mergeCell ref="B53:C53"/>
    <mergeCell ref="B65:C65"/>
    <mergeCell ref="B66:C66"/>
    <mergeCell ref="B78:C78"/>
    <mergeCell ref="B79:C79"/>
    <mergeCell ref="B40:C40"/>
    <mergeCell ref="B13:C13"/>
    <mergeCell ref="B14:C14"/>
    <mergeCell ref="B26:C26"/>
    <mergeCell ref="B27:C27"/>
    <mergeCell ref="B39:C39"/>
  </mergeCells>
  <pageMargins left="0.511811024" right="0.511811024" top="0.78740157499999996" bottom="0.78740157499999996" header="0.31496062000000002" footer="0.31496062000000002"/>
  <pageSetup paperSize="9" orientation="portrait" horizontalDpi="429496729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O93"/>
  <sheetViews>
    <sheetView workbookViewId="0">
      <pane xSplit="3" ySplit="1" topLeftCell="D2" activePane="bottomRight" state="frozen"/>
      <selection pane="topRight" activeCell="C1" sqref="C1"/>
      <selection pane="bottomLeft" activeCell="A2" sqref="A2"/>
      <selection pane="bottomRight" activeCell="A92" sqref="A80:XFD92"/>
    </sheetView>
  </sheetViews>
  <sheetFormatPr defaultRowHeight="15" x14ac:dyDescent="0.25"/>
  <cols>
    <col min="1" max="1" width="4.7109375" style="291" bestFit="1" customWidth="1"/>
    <col min="2" max="2" width="11.7109375" style="291" bestFit="1" customWidth="1"/>
    <col min="3" max="3" width="10.140625" style="291" bestFit="1" customWidth="1"/>
    <col min="4" max="7" width="15.42578125" style="291" customWidth="1"/>
    <col min="8" max="8" width="9.140625" style="291"/>
    <col min="9" max="9" width="4.7109375" style="291" bestFit="1" customWidth="1"/>
    <col min="10" max="10" width="11.7109375" style="291" bestFit="1" customWidth="1"/>
    <col min="11" max="11" width="10.140625" style="291" bestFit="1" customWidth="1"/>
    <col min="12" max="15" width="15.42578125" style="291" customWidth="1"/>
    <col min="16" max="16384" width="9.140625" style="291"/>
  </cols>
  <sheetData>
    <row r="1" spans="1:15" ht="15.75" thickBot="1" x14ac:dyDescent="0.3">
      <c r="A1" s="347" t="s">
        <v>0</v>
      </c>
      <c r="B1" s="348" t="s">
        <v>30</v>
      </c>
      <c r="C1" s="348" t="s">
        <v>31</v>
      </c>
      <c r="D1" s="283" t="str">
        <f>IF('14 days'!$B$1="","","14 days")</f>
        <v>14 days</v>
      </c>
      <c r="E1" s="381" t="str">
        <f>IF('23 days'!$B$1="","","23 days")</f>
        <v>23 days</v>
      </c>
      <c r="F1" s="381" t="str">
        <f>IF('32 days'!$B$1="","","32 days")</f>
        <v>32 days</v>
      </c>
      <c r="G1" s="382" t="str">
        <f>IF('39 days'!$B$1="","","39 days")</f>
        <v>39 days</v>
      </c>
      <c r="H1" s="24"/>
      <c r="I1" s="347" t="s">
        <v>0</v>
      </c>
      <c r="J1" s="348" t="s">
        <v>30</v>
      </c>
      <c r="K1" s="348" t="s">
        <v>31</v>
      </c>
      <c r="L1" s="283" t="str">
        <f>IF('14 days'!$B$1="","","14 days")</f>
        <v>14 days</v>
      </c>
      <c r="M1" s="348" t="str">
        <f>IF('23 days'!$B$1="","","23 days")</f>
        <v>23 days</v>
      </c>
      <c r="N1" s="348" t="str">
        <f>IF('32 days'!$B$1="","","32 days")</f>
        <v>32 days</v>
      </c>
      <c r="O1" s="349" t="str">
        <f>IF('39 days'!$B$1="","","39 days")</f>
        <v>39 days</v>
      </c>
    </row>
    <row r="2" spans="1:15" x14ac:dyDescent="0.25">
      <c r="A2" s="130">
        <f t="array" ref="A2">IFERROR(INDEX(Map!$V$2:$V$67,MATCH(Mortality!$B2&amp;Mortality!$C2,Map!$W$2:$W$67&amp;Map!$X$2:$X$67,0)),"")</f>
        <v>8</v>
      </c>
      <c r="B2" s="41" t="s">
        <v>10</v>
      </c>
      <c r="C2" s="41" t="s">
        <v>2</v>
      </c>
      <c r="D2" s="360">
        <f t="array" ref="D2">IFERROR(IF(D$1="","",INDEX('Raw data'!$Z$4:$Z$267,MATCH(Mortality!D$1&amp;$A$1&amp;$A2,'Raw data'!$K$4:$K$267&amp;'Raw data'!$L$2&amp;'Raw data'!$L$4:$L$267,0))),"")</f>
        <v>1</v>
      </c>
      <c r="E2" s="355">
        <f t="array" ref="E2">IFERROR(IF(E$1="","",INDEX('Raw data'!$Z$4:$Z$267,MATCH(Mortality!E$1&amp;$A$1&amp;$A2,'Raw data'!$K$4:$K$267&amp;'Raw data'!$L$2&amp;'Raw data'!$L$4:$L$267,0))),"")</f>
        <v>0</v>
      </c>
      <c r="F2" s="355">
        <f t="array" ref="F2">IFERROR(IF(F$1="","",INDEX('Raw data'!$Z$4:$Z$267,MATCH(Mortality!F$1&amp;$A$1&amp;$A2,'Raw data'!$K$4:$K$267&amp;'Raw data'!$L$2&amp;'Raw data'!$L$4:$L$267,0))),"")</f>
        <v>0</v>
      </c>
      <c r="G2" s="357">
        <f t="array" ref="G2">IFERROR(IF(G$1="","",INDEX('Raw data'!$Z$4:$Z$267,MATCH(Mortality!G$1&amp;$A$1&amp;$A2,'Raw data'!$K$4:$K$267&amp;'Raw data'!$L$2&amp;'Raw data'!$L$4:$L$267,0))),"")</f>
        <v>2</v>
      </c>
      <c r="H2" s="24"/>
      <c r="I2" s="130">
        <f t="array" ref="I2">IFERROR(INDEX(Map!$V$2:$V$67,MATCH(Mortality!$B2&amp;Mortality!$C2,Map!$W$2:$W$67&amp;Map!$X$2:$X$67,0)),"")</f>
        <v>8</v>
      </c>
      <c r="J2" s="41" t="s">
        <v>10</v>
      </c>
      <c r="K2" s="41" t="s">
        <v>2</v>
      </c>
      <c r="L2" s="360">
        <f t="array" ref="L2">IFERROR(IF(L$1="","",INDEX('Raw data'!$AB$4:$AB$267,MATCH(Mortality!L$1&amp;$A$1&amp;$A2,'Raw data'!$K$4:$K$267&amp;'Raw data'!$L$2&amp;'Raw data'!$L$4:$L$267,0))),"")</f>
        <v>0</v>
      </c>
      <c r="M2" s="355">
        <f t="array" ref="M2">IFERROR(IF(M$1="","",INDEX('Raw data'!$AB$4:$AB$267,MATCH(Mortality!M$1&amp;$A$1&amp;$A2,'Raw data'!$K$4:$K$267&amp;'Raw data'!$L$2&amp;'Raw data'!$L$4:$L$267,0))),"")</f>
        <v>0</v>
      </c>
      <c r="N2" s="355">
        <f t="array" ref="N2">IFERROR(IF(N$1="","",INDEX('Raw data'!$AB$4:$AB$267,MATCH(Mortality!N$1&amp;$A$1&amp;$A2,'Raw data'!$K$4:$K$267&amp;'Raw data'!$L$2&amp;'Raw data'!$L$4:$L$267,0))),"")</f>
        <v>1</v>
      </c>
      <c r="O2" s="357">
        <f t="array" ref="O2">IFERROR(IF(O$1="","",INDEX('Raw data'!$AB$4:$AB$267,MATCH(Mortality!O$1&amp;$A$1&amp;$A2,'Raw data'!$K$4:$K$267&amp;'Raw data'!$L$2&amp;'Raw data'!$L$4:$L$267,0))),"")</f>
        <v>0</v>
      </c>
    </row>
    <row r="3" spans="1:15" x14ac:dyDescent="0.25">
      <c r="A3" s="131">
        <f t="array" ref="A3">IFERROR(INDEX(Map!$V$2:$V$67,MATCH(Mortality!$B3&amp;Mortality!$C3,Map!$W$2:$W$67&amp;Map!$X$2:$X$67,0)),"")</f>
        <v>12</v>
      </c>
      <c r="B3" s="24" t="str">
        <f>B2</f>
        <v>T1</v>
      </c>
      <c r="C3" s="24" t="s">
        <v>3</v>
      </c>
      <c r="D3" s="361">
        <f t="array" ref="D3">IFERROR(IF(D$1="","",INDEX('Raw data'!$Z$4:$Z$267,MATCH(Mortality!D$1&amp;$A$1&amp;$A3,'Raw data'!$K$4:$K$267&amp;'Raw data'!$L$2&amp;'Raw data'!$L$4:$L$267,0))),"")</f>
        <v>1</v>
      </c>
      <c r="E3" s="356">
        <f t="array" ref="E3">IFERROR(IF(E$1="","",INDEX('Raw data'!$Z$4:$Z$267,MATCH(Mortality!E$1&amp;$A$1&amp;$A3,'Raw data'!$K$4:$K$267&amp;'Raw data'!$L$2&amp;'Raw data'!$L$4:$L$267,0))),"")</f>
        <v>0</v>
      </c>
      <c r="F3" s="356">
        <f t="array" ref="F3">IFERROR(IF(F$1="","",INDEX('Raw data'!$Z$4:$Z$267,MATCH(Mortality!F$1&amp;$A$1&amp;$A3,'Raw data'!$K$4:$K$267&amp;'Raw data'!$L$2&amp;'Raw data'!$L$4:$L$267,0))),"")</f>
        <v>0</v>
      </c>
      <c r="G3" s="358">
        <f t="array" ref="G3">IFERROR(IF(G$1="","",INDEX('Raw data'!$Z$4:$Z$267,MATCH(Mortality!G$1&amp;$A$1&amp;$A3,'Raw data'!$K$4:$K$267&amp;'Raw data'!$L$2&amp;'Raw data'!$L$4:$L$267,0))),"")</f>
        <v>0</v>
      </c>
      <c r="H3" s="24"/>
      <c r="I3" s="131">
        <f t="array" ref="I3">IFERROR(INDEX(Map!$V$2:$V$67,MATCH(Mortality!$B3&amp;Mortality!$C3,Map!$W$2:$W$67&amp;Map!$X$2:$X$67,0)),"")</f>
        <v>12</v>
      </c>
      <c r="J3" s="24" t="str">
        <f>J2</f>
        <v>T1</v>
      </c>
      <c r="K3" s="24" t="s">
        <v>3</v>
      </c>
      <c r="L3" s="361">
        <f t="array" ref="L3">IFERROR(IF(L$1="","",INDEX('Raw data'!$AB$4:$AB$267,MATCH(Mortality!L$1&amp;$A$1&amp;$A3,'Raw data'!$K$4:$K$267&amp;'Raw data'!$L$2&amp;'Raw data'!$L$4:$L$267,0))),"")</f>
        <v>0</v>
      </c>
      <c r="M3" s="356">
        <f t="array" ref="M3">IFERROR(IF(M$1="","",INDEX('Raw data'!$AB$4:$AB$267,MATCH(Mortality!M$1&amp;$A$1&amp;$A3,'Raw data'!$K$4:$K$267&amp;'Raw data'!$L$2&amp;'Raw data'!$L$4:$L$267,0))),"")</f>
        <v>0</v>
      </c>
      <c r="N3" s="356">
        <f t="array" ref="N3">IFERROR(IF(N$1="","",INDEX('Raw data'!$AB$4:$AB$267,MATCH(Mortality!N$1&amp;$A$1&amp;$A3,'Raw data'!$K$4:$K$267&amp;'Raw data'!$L$2&amp;'Raw data'!$L$4:$L$267,0))),"")</f>
        <v>1</v>
      </c>
      <c r="O3" s="358">
        <f t="array" ref="O3">IFERROR(IF(O$1="","",INDEX('Raw data'!$AB$4:$AB$267,MATCH(Mortality!O$1&amp;$A$1&amp;$A3,'Raw data'!$K$4:$K$267&amp;'Raw data'!$L$2&amp;'Raw data'!$L$4:$L$267,0))),"")</f>
        <v>0</v>
      </c>
    </row>
    <row r="4" spans="1:15" x14ac:dyDescent="0.25">
      <c r="A4" s="131">
        <f t="array" ref="A4">IFERROR(INDEX(Map!$V$2:$V$67,MATCH(Mortality!$B4&amp;Mortality!$C4,Map!$W$2:$W$67&amp;Map!$X$2:$X$67,0)),"")</f>
        <v>20</v>
      </c>
      <c r="B4" s="24" t="str">
        <f>B2</f>
        <v>T1</v>
      </c>
      <c r="C4" s="24" t="s">
        <v>4</v>
      </c>
      <c r="D4" s="361">
        <f t="array" ref="D4">IFERROR(IF(D$1="","",INDEX('Raw data'!$Z$4:$Z$267,MATCH(Mortality!D$1&amp;$A$1&amp;$A4,'Raw data'!$K$4:$K$267&amp;'Raw data'!$L$2&amp;'Raw data'!$L$4:$L$267,0))),"")</f>
        <v>0</v>
      </c>
      <c r="E4" s="356">
        <f t="array" ref="E4">IFERROR(IF(E$1="","",INDEX('Raw data'!$Z$4:$Z$267,MATCH(Mortality!E$1&amp;$A$1&amp;$A4,'Raw data'!$K$4:$K$267&amp;'Raw data'!$L$2&amp;'Raw data'!$L$4:$L$267,0))),"")</f>
        <v>0</v>
      </c>
      <c r="F4" s="356">
        <f t="array" ref="F4">IFERROR(IF(F$1="","",INDEX('Raw data'!$Z$4:$Z$267,MATCH(Mortality!F$1&amp;$A$1&amp;$A4,'Raw data'!$K$4:$K$267&amp;'Raw data'!$L$2&amp;'Raw data'!$L$4:$L$267,0))),"")</f>
        <v>0</v>
      </c>
      <c r="G4" s="358">
        <f t="array" ref="G4">IFERROR(IF(G$1="","",INDEX('Raw data'!$Z$4:$Z$267,MATCH(Mortality!G$1&amp;$A$1&amp;$A4,'Raw data'!$K$4:$K$267&amp;'Raw data'!$L$2&amp;'Raw data'!$L$4:$L$267,0))),"")</f>
        <v>1</v>
      </c>
      <c r="H4" s="24"/>
      <c r="I4" s="131">
        <f t="array" ref="I4">IFERROR(INDEX(Map!$V$2:$V$67,MATCH(Mortality!$B4&amp;Mortality!$C4,Map!$W$2:$W$67&amp;Map!$X$2:$X$67,0)),"")</f>
        <v>20</v>
      </c>
      <c r="J4" s="24" t="str">
        <f>J2</f>
        <v>T1</v>
      </c>
      <c r="K4" s="24" t="s">
        <v>4</v>
      </c>
      <c r="L4" s="361">
        <f t="array" ref="L4">IFERROR(IF(L$1="","",INDEX('Raw data'!$AB$4:$AB$267,MATCH(Mortality!L$1&amp;$A$1&amp;$A4,'Raw data'!$K$4:$K$267&amp;'Raw data'!$L$2&amp;'Raw data'!$L$4:$L$267,0))),"")</f>
        <v>0</v>
      </c>
      <c r="M4" s="356">
        <f t="array" ref="M4">IFERROR(IF(M$1="","",INDEX('Raw data'!$AB$4:$AB$267,MATCH(Mortality!M$1&amp;$A$1&amp;$A4,'Raw data'!$K$4:$K$267&amp;'Raw data'!$L$2&amp;'Raw data'!$L$4:$L$267,0))),"")</f>
        <v>0</v>
      </c>
      <c r="N4" s="356">
        <f t="array" ref="N4">IFERROR(IF(N$1="","",INDEX('Raw data'!$AB$4:$AB$267,MATCH(Mortality!N$1&amp;$A$1&amp;$A4,'Raw data'!$K$4:$K$267&amp;'Raw data'!$L$2&amp;'Raw data'!$L$4:$L$267,0))),"")</f>
        <v>1</v>
      </c>
      <c r="O4" s="358">
        <f t="array" ref="O4">IFERROR(IF(O$1="","",INDEX('Raw data'!$AB$4:$AB$267,MATCH(Mortality!O$1&amp;$A$1&amp;$A4,'Raw data'!$K$4:$K$267&amp;'Raw data'!$L$2&amp;'Raw data'!$L$4:$L$267,0))),"")</f>
        <v>0</v>
      </c>
    </row>
    <row r="5" spans="1:15" x14ac:dyDescent="0.25">
      <c r="A5" s="131">
        <f t="array" ref="A5">IFERROR(INDEX(Map!$V$2:$V$67,MATCH(Mortality!$B5&amp;Mortality!$C5,Map!$W$2:$W$67&amp;Map!$X$2:$X$67,0)),"")</f>
        <v>27</v>
      </c>
      <c r="B5" s="24" t="str">
        <f>B2</f>
        <v>T1</v>
      </c>
      <c r="C5" s="24" t="s">
        <v>5</v>
      </c>
      <c r="D5" s="361">
        <f t="array" ref="D5">IFERROR(IF(D$1="","",INDEX('Raw data'!$Z$4:$Z$267,MATCH(Mortality!D$1&amp;$A$1&amp;$A5,'Raw data'!$K$4:$K$267&amp;'Raw data'!$L$2&amp;'Raw data'!$L$4:$L$267,0))),"")</f>
        <v>0</v>
      </c>
      <c r="E5" s="356">
        <f t="array" ref="E5">IFERROR(IF(E$1="","",INDEX('Raw data'!$Z$4:$Z$267,MATCH(Mortality!E$1&amp;$A$1&amp;$A5,'Raw data'!$K$4:$K$267&amp;'Raw data'!$L$2&amp;'Raw data'!$L$4:$L$267,0))),"")</f>
        <v>0</v>
      </c>
      <c r="F5" s="356">
        <f t="array" ref="F5">IFERROR(IF(F$1="","",INDEX('Raw data'!$Z$4:$Z$267,MATCH(Mortality!F$1&amp;$A$1&amp;$A5,'Raw data'!$K$4:$K$267&amp;'Raw data'!$L$2&amp;'Raw data'!$L$4:$L$267,0))),"")</f>
        <v>0</v>
      </c>
      <c r="G5" s="358">
        <f t="array" ref="G5">IFERROR(IF(G$1="","",INDEX('Raw data'!$Z$4:$Z$267,MATCH(Mortality!G$1&amp;$A$1&amp;$A5,'Raw data'!$K$4:$K$267&amp;'Raw data'!$L$2&amp;'Raw data'!$L$4:$L$267,0))),"")</f>
        <v>0</v>
      </c>
      <c r="H5" s="24"/>
      <c r="I5" s="131">
        <f t="array" ref="I5">IFERROR(INDEX(Map!$V$2:$V$67,MATCH(Mortality!$B5&amp;Mortality!$C5,Map!$W$2:$W$67&amp;Map!$X$2:$X$67,0)),"")</f>
        <v>27</v>
      </c>
      <c r="J5" s="24" t="str">
        <f>J2</f>
        <v>T1</v>
      </c>
      <c r="K5" s="24" t="s">
        <v>5</v>
      </c>
      <c r="L5" s="361">
        <f t="array" ref="L5">IFERROR(IF(L$1="","",INDEX('Raw data'!$AB$4:$AB$267,MATCH(Mortality!L$1&amp;$A$1&amp;$A5,'Raw data'!$K$4:$K$267&amp;'Raw data'!$L$2&amp;'Raw data'!$L$4:$L$267,0))),"")</f>
        <v>0</v>
      </c>
      <c r="M5" s="356">
        <f t="array" ref="M5">IFERROR(IF(M$1="","",INDEX('Raw data'!$AB$4:$AB$267,MATCH(Mortality!M$1&amp;$A$1&amp;$A5,'Raw data'!$K$4:$K$267&amp;'Raw data'!$L$2&amp;'Raw data'!$L$4:$L$267,0))),"")</f>
        <v>0</v>
      </c>
      <c r="N5" s="356">
        <f t="array" ref="N5">IFERROR(IF(N$1="","",INDEX('Raw data'!$AB$4:$AB$267,MATCH(Mortality!N$1&amp;$A$1&amp;$A5,'Raw data'!$K$4:$K$267&amp;'Raw data'!$L$2&amp;'Raw data'!$L$4:$L$267,0))),"")</f>
        <v>1</v>
      </c>
      <c r="O5" s="358">
        <f t="array" ref="O5">IFERROR(IF(O$1="","",INDEX('Raw data'!$AB$4:$AB$267,MATCH(Mortality!O$1&amp;$A$1&amp;$A5,'Raw data'!$K$4:$K$267&amp;'Raw data'!$L$2&amp;'Raw data'!$L$4:$L$267,0))),"")</f>
        <v>0</v>
      </c>
    </row>
    <row r="6" spans="1:15" x14ac:dyDescent="0.25">
      <c r="A6" s="131">
        <f t="array" ref="A6">IFERROR(INDEX(Map!$V$2:$V$67,MATCH(Mortality!$B6&amp;Mortality!$C6,Map!$W$2:$W$67&amp;Map!$X$2:$X$67,0)),"")</f>
        <v>31</v>
      </c>
      <c r="B6" s="24" t="str">
        <f>B2</f>
        <v>T1</v>
      </c>
      <c r="C6" s="24" t="s">
        <v>6</v>
      </c>
      <c r="D6" s="361">
        <f t="array" ref="D6">IFERROR(IF(D$1="","",INDEX('Raw data'!$Z$4:$Z$267,MATCH(Mortality!D$1&amp;$A$1&amp;$A6,'Raw data'!$K$4:$K$267&amp;'Raw data'!$L$2&amp;'Raw data'!$L$4:$L$267,0))),"")</f>
        <v>1</v>
      </c>
      <c r="E6" s="356">
        <f t="array" ref="E6">IFERROR(IF(E$1="","",INDEX('Raw data'!$Z$4:$Z$267,MATCH(Mortality!E$1&amp;$A$1&amp;$A6,'Raw data'!$K$4:$K$267&amp;'Raw data'!$L$2&amp;'Raw data'!$L$4:$L$267,0))),"")</f>
        <v>0</v>
      </c>
      <c r="F6" s="356">
        <f t="array" ref="F6">IFERROR(IF(F$1="","",INDEX('Raw data'!$Z$4:$Z$267,MATCH(Mortality!F$1&amp;$A$1&amp;$A6,'Raw data'!$K$4:$K$267&amp;'Raw data'!$L$2&amp;'Raw data'!$L$4:$L$267,0))),"")</f>
        <v>0</v>
      </c>
      <c r="G6" s="358">
        <f t="array" ref="G6">IFERROR(IF(G$1="","",INDEX('Raw data'!$Z$4:$Z$267,MATCH(Mortality!G$1&amp;$A$1&amp;$A6,'Raw data'!$K$4:$K$267&amp;'Raw data'!$L$2&amp;'Raw data'!$L$4:$L$267,0))),"")</f>
        <v>0</v>
      </c>
      <c r="H6" s="24"/>
      <c r="I6" s="131">
        <f t="array" ref="I6">IFERROR(INDEX(Map!$V$2:$V$67,MATCH(Mortality!$B6&amp;Mortality!$C6,Map!$W$2:$W$67&amp;Map!$X$2:$X$67,0)),"")</f>
        <v>31</v>
      </c>
      <c r="J6" s="24" t="str">
        <f>J2</f>
        <v>T1</v>
      </c>
      <c r="K6" s="24" t="s">
        <v>6</v>
      </c>
      <c r="L6" s="361">
        <f t="array" ref="L6">IFERROR(IF(L$1="","",INDEX('Raw data'!$AB$4:$AB$267,MATCH(Mortality!L$1&amp;$A$1&amp;$A6,'Raw data'!$K$4:$K$267&amp;'Raw data'!$L$2&amp;'Raw data'!$L$4:$L$267,0))),"")</f>
        <v>0</v>
      </c>
      <c r="M6" s="356">
        <f t="array" ref="M6">IFERROR(IF(M$1="","",INDEX('Raw data'!$AB$4:$AB$267,MATCH(Mortality!M$1&amp;$A$1&amp;$A6,'Raw data'!$K$4:$K$267&amp;'Raw data'!$L$2&amp;'Raw data'!$L$4:$L$267,0))),"")</f>
        <v>0</v>
      </c>
      <c r="N6" s="356">
        <f t="array" ref="N6">IFERROR(IF(N$1="","",INDEX('Raw data'!$AB$4:$AB$267,MATCH(Mortality!N$1&amp;$A$1&amp;$A6,'Raw data'!$K$4:$K$267&amp;'Raw data'!$L$2&amp;'Raw data'!$L$4:$L$267,0))),"")</f>
        <v>1</v>
      </c>
      <c r="O6" s="358">
        <f t="array" ref="O6">IFERROR(IF(O$1="","",INDEX('Raw data'!$AB$4:$AB$267,MATCH(Mortality!O$1&amp;$A$1&amp;$A6,'Raw data'!$K$4:$K$267&amp;'Raw data'!$L$2&amp;'Raw data'!$L$4:$L$267,0))),"")</f>
        <v>0</v>
      </c>
    </row>
    <row r="7" spans="1:15" x14ac:dyDescent="0.25">
      <c r="A7" s="131">
        <f t="array" ref="A7">IFERROR(INDEX(Map!$V$2:$V$67,MATCH(Mortality!$B7&amp;Mortality!$C7,Map!$W$2:$W$67&amp;Map!$X$2:$X$67,0)),"")</f>
        <v>41</v>
      </c>
      <c r="B7" s="24" t="str">
        <f>B2</f>
        <v>T1</v>
      </c>
      <c r="C7" s="24" t="s">
        <v>7</v>
      </c>
      <c r="D7" s="361">
        <f t="array" ref="D7">IFERROR(IF(D$1="","",INDEX('Raw data'!$Z$4:$Z$267,MATCH(Mortality!D$1&amp;$A$1&amp;$A7,'Raw data'!$K$4:$K$267&amp;'Raw data'!$L$2&amp;'Raw data'!$L$4:$L$267,0))),"")</f>
        <v>0</v>
      </c>
      <c r="E7" s="356">
        <f t="array" ref="E7">IFERROR(IF(E$1="","",INDEX('Raw data'!$Z$4:$Z$267,MATCH(Mortality!E$1&amp;$A$1&amp;$A7,'Raw data'!$K$4:$K$267&amp;'Raw data'!$L$2&amp;'Raw data'!$L$4:$L$267,0))),"")</f>
        <v>0</v>
      </c>
      <c r="F7" s="356">
        <f t="array" ref="F7">IFERROR(IF(F$1="","",INDEX('Raw data'!$Z$4:$Z$267,MATCH(Mortality!F$1&amp;$A$1&amp;$A7,'Raw data'!$K$4:$K$267&amp;'Raw data'!$L$2&amp;'Raw data'!$L$4:$L$267,0))),"")</f>
        <v>0</v>
      </c>
      <c r="G7" s="358">
        <f t="array" ref="G7">IFERROR(IF(G$1="","",INDEX('Raw data'!$Z$4:$Z$267,MATCH(Mortality!G$1&amp;$A$1&amp;$A7,'Raw data'!$K$4:$K$267&amp;'Raw data'!$L$2&amp;'Raw data'!$L$4:$L$267,0))),"")</f>
        <v>0</v>
      </c>
      <c r="H7" s="24"/>
      <c r="I7" s="131">
        <f t="array" ref="I7">IFERROR(INDEX(Map!$V$2:$V$67,MATCH(Mortality!$B7&amp;Mortality!$C7,Map!$W$2:$W$67&amp;Map!$X$2:$X$67,0)),"")</f>
        <v>41</v>
      </c>
      <c r="J7" s="24" t="str">
        <f>J2</f>
        <v>T1</v>
      </c>
      <c r="K7" s="24" t="s">
        <v>7</v>
      </c>
      <c r="L7" s="361">
        <f t="array" ref="L7">IFERROR(IF(L$1="","",INDEX('Raw data'!$AB$4:$AB$267,MATCH(Mortality!L$1&amp;$A$1&amp;$A7,'Raw data'!$K$4:$K$267&amp;'Raw data'!$L$2&amp;'Raw data'!$L$4:$L$267,0))),"")</f>
        <v>0</v>
      </c>
      <c r="M7" s="356">
        <f t="array" ref="M7">IFERROR(IF(M$1="","",INDEX('Raw data'!$AB$4:$AB$267,MATCH(Mortality!M$1&amp;$A$1&amp;$A7,'Raw data'!$K$4:$K$267&amp;'Raw data'!$L$2&amp;'Raw data'!$L$4:$L$267,0))),"")</f>
        <v>0</v>
      </c>
      <c r="N7" s="356">
        <f t="array" ref="N7">IFERROR(IF(N$1="","",INDEX('Raw data'!$AB$4:$AB$267,MATCH(Mortality!N$1&amp;$A$1&amp;$A7,'Raw data'!$K$4:$K$267&amp;'Raw data'!$L$2&amp;'Raw data'!$L$4:$L$267,0))),"")</f>
        <v>1</v>
      </c>
      <c r="O7" s="358">
        <f t="array" ref="O7">IFERROR(IF(O$1="","",INDEX('Raw data'!$AB$4:$AB$267,MATCH(Mortality!O$1&amp;$A$1&amp;$A7,'Raw data'!$K$4:$K$267&amp;'Raw data'!$L$2&amp;'Raw data'!$L$4:$L$267,0))),"")</f>
        <v>0</v>
      </c>
    </row>
    <row r="8" spans="1:15" x14ac:dyDescent="0.25">
      <c r="A8" s="131">
        <f t="array" ref="A8">IFERROR(INDEX(Map!$V$2:$V$67,MATCH(Mortality!$B8&amp;Mortality!$C8,Map!$W$2:$W$67&amp;Map!$X$2:$X$67,0)),"")</f>
        <v>50</v>
      </c>
      <c r="B8" s="24" t="str">
        <f>B2</f>
        <v>T1</v>
      </c>
      <c r="C8" s="24" t="s">
        <v>8</v>
      </c>
      <c r="D8" s="361">
        <f t="array" ref="D8">IFERROR(IF(D$1="","",INDEX('Raw data'!$Z$4:$Z$267,MATCH(Mortality!D$1&amp;$A$1&amp;$A8,'Raw data'!$K$4:$K$267&amp;'Raw data'!$L$2&amp;'Raw data'!$L$4:$L$267,0))),"")</f>
        <v>1</v>
      </c>
      <c r="E8" s="356">
        <f t="array" ref="E8">IFERROR(IF(E$1="","",INDEX('Raw data'!$Z$4:$Z$267,MATCH(Mortality!E$1&amp;$A$1&amp;$A8,'Raw data'!$K$4:$K$267&amp;'Raw data'!$L$2&amp;'Raw data'!$L$4:$L$267,0))),"")</f>
        <v>0</v>
      </c>
      <c r="F8" s="356">
        <f t="array" ref="F8">IFERROR(IF(F$1="","",INDEX('Raw data'!$Z$4:$Z$267,MATCH(Mortality!F$1&amp;$A$1&amp;$A8,'Raw data'!$K$4:$K$267&amp;'Raw data'!$L$2&amp;'Raw data'!$L$4:$L$267,0))),"")</f>
        <v>0</v>
      </c>
      <c r="G8" s="358">
        <f t="array" ref="G8">IFERROR(IF(G$1="","",INDEX('Raw data'!$Z$4:$Z$267,MATCH(Mortality!G$1&amp;$A$1&amp;$A8,'Raw data'!$K$4:$K$267&amp;'Raw data'!$L$2&amp;'Raw data'!$L$4:$L$267,0))),"")</f>
        <v>1</v>
      </c>
      <c r="H8" s="24"/>
      <c r="I8" s="131">
        <f t="array" ref="I8">IFERROR(INDEX(Map!$V$2:$V$67,MATCH(Mortality!$B8&amp;Mortality!$C8,Map!$W$2:$W$67&amp;Map!$X$2:$X$67,0)),"")</f>
        <v>50</v>
      </c>
      <c r="J8" s="24" t="str">
        <f>J2</f>
        <v>T1</v>
      </c>
      <c r="K8" s="24" t="s">
        <v>8</v>
      </c>
      <c r="L8" s="361">
        <f t="array" ref="L8">IFERROR(IF(L$1="","",INDEX('Raw data'!$AB$4:$AB$267,MATCH(Mortality!L$1&amp;$A$1&amp;$A8,'Raw data'!$K$4:$K$267&amp;'Raw data'!$L$2&amp;'Raw data'!$L$4:$L$267,0))),"")</f>
        <v>1</v>
      </c>
      <c r="M8" s="356">
        <f t="array" ref="M8">IFERROR(IF(M$1="","",INDEX('Raw data'!$AB$4:$AB$267,MATCH(Mortality!M$1&amp;$A$1&amp;$A8,'Raw data'!$K$4:$K$267&amp;'Raw data'!$L$2&amp;'Raw data'!$L$4:$L$267,0))),"")</f>
        <v>0</v>
      </c>
      <c r="N8" s="356">
        <f t="array" ref="N8">IFERROR(IF(N$1="","",INDEX('Raw data'!$AB$4:$AB$267,MATCH(Mortality!N$1&amp;$A$1&amp;$A8,'Raw data'!$K$4:$K$267&amp;'Raw data'!$L$2&amp;'Raw data'!$L$4:$L$267,0))),"")</f>
        <v>1</v>
      </c>
      <c r="O8" s="358">
        <f t="array" ref="O8">IFERROR(IF(O$1="","",INDEX('Raw data'!$AB$4:$AB$267,MATCH(Mortality!O$1&amp;$A$1&amp;$A8,'Raw data'!$K$4:$K$267&amp;'Raw data'!$L$2&amp;'Raw data'!$L$4:$L$267,0))),"")</f>
        <v>0</v>
      </c>
    </row>
    <row r="9" spans="1:15" x14ac:dyDescent="0.25">
      <c r="A9" s="131">
        <f t="array" ref="A9">IFERROR(INDEX(Map!$V$2:$V$67,MATCH(Mortality!$B9&amp;Mortality!$C9,Map!$W$2:$W$67&amp;Map!$X$2:$X$67,0)),"")</f>
        <v>58</v>
      </c>
      <c r="B9" s="24" t="str">
        <f>B2</f>
        <v>T1</v>
      </c>
      <c r="C9" s="24" t="s">
        <v>9</v>
      </c>
      <c r="D9" s="361">
        <f t="array" ref="D9">IFERROR(IF(D$1="","",INDEX('Raw data'!$Z$4:$Z$267,MATCH(Mortality!D$1&amp;$A$1&amp;$A9,'Raw data'!$K$4:$K$267&amp;'Raw data'!$L$2&amp;'Raw data'!$L$4:$L$267,0))),"")</f>
        <v>0</v>
      </c>
      <c r="E9" s="356">
        <f t="array" ref="E9">IFERROR(IF(E$1="","",INDEX('Raw data'!$Z$4:$Z$267,MATCH(Mortality!E$1&amp;$A$1&amp;$A9,'Raw data'!$K$4:$K$267&amp;'Raw data'!$L$2&amp;'Raw data'!$L$4:$L$267,0))),"")</f>
        <v>0</v>
      </c>
      <c r="F9" s="356">
        <f t="array" ref="F9">IFERROR(IF(F$1="","",INDEX('Raw data'!$Z$4:$Z$267,MATCH(Mortality!F$1&amp;$A$1&amp;$A9,'Raw data'!$K$4:$K$267&amp;'Raw data'!$L$2&amp;'Raw data'!$L$4:$L$267,0))),"")</f>
        <v>0</v>
      </c>
      <c r="G9" s="358">
        <f t="array" ref="G9">IFERROR(IF(G$1="","",INDEX('Raw data'!$Z$4:$Z$267,MATCH(Mortality!G$1&amp;$A$1&amp;$A9,'Raw data'!$K$4:$K$267&amp;'Raw data'!$L$2&amp;'Raw data'!$L$4:$L$267,0))),"")</f>
        <v>0</v>
      </c>
      <c r="H9" s="24"/>
      <c r="I9" s="131">
        <f t="array" ref="I9">IFERROR(INDEX(Map!$V$2:$V$67,MATCH(Mortality!$B9&amp;Mortality!$C9,Map!$W$2:$W$67&amp;Map!$X$2:$X$67,0)),"")</f>
        <v>58</v>
      </c>
      <c r="J9" s="24" t="str">
        <f>J2</f>
        <v>T1</v>
      </c>
      <c r="K9" s="24" t="s">
        <v>9</v>
      </c>
      <c r="L9" s="361">
        <f t="array" ref="L9">IFERROR(IF(L$1="","",INDEX('Raw data'!$AB$4:$AB$267,MATCH(Mortality!L$1&amp;$A$1&amp;$A9,'Raw data'!$K$4:$K$267&amp;'Raw data'!$L$2&amp;'Raw data'!$L$4:$L$267,0))),"")</f>
        <v>1</v>
      </c>
      <c r="M9" s="356">
        <f t="array" ref="M9">IFERROR(IF(M$1="","",INDEX('Raw data'!$AB$4:$AB$267,MATCH(Mortality!M$1&amp;$A$1&amp;$A9,'Raw data'!$K$4:$K$267&amp;'Raw data'!$L$2&amp;'Raw data'!$L$4:$L$267,0))),"")</f>
        <v>0</v>
      </c>
      <c r="N9" s="356">
        <f t="array" ref="N9">IFERROR(IF(N$1="","",INDEX('Raw data'!$AB$4:$AB$267,MATCH(Mortality!N$1&amp;$A$1&amp;$A9,'Raw data'!$K$4:$K$267&amp;'Raw data'!$L$2&amp;'Raw data'!$L$4:$L$267,0))),"")</f>
        <v>1</v>
      </c>
      <c r="O9" s="358">
        <f t="array" ref="O9">IFERROR(IF(O$1="","",INDEX('Raw data'!$AB$4:$AB$267,MATCH(Mortality!O$1&amp;$A$1&amp;$A9,'Raw data'!$K$4:$K$267&amp;'Raw data'!$L$2&amp;'Raw data'!$L$4:$L$267,0))),"")</f>
        <v>0</v>
      </c>
    </row>
    <row r="10" spans="1:15" s="417" customFormat="1" x14ac:dyDescent="0.25">
      <c r="A10" s="432">
        <f t="array" ref="A10">IFERROR(INDEX(Map!$V$2:$V$67,MATCH(Mortality!$B10&amp;Mortality!$C10,Map!$W$2:$W$67&amp;Map!$X$2:$X$67,0)),"")</f>
        <v>63</v>
      </c>
      <c r="B10" s="418" t="str">
        <f>B2</f>
        <v>T1</v>
      </c>
      <c r="C10" s="418" t="s">
        <v>22</v>
      </c>
      <c r="D10" s="455">
        <f t="array" ref="D10">IFERROR(IF(D$1="","",INDEX('Raw data'!$Z$4:$Z$267,MATCH(Mortality!D$1&amp;$A$1&amp;$A10,'Raw data'!$K$4:$K$267&amp;'Raw data'!$L$2&amp;'Raw data'!$L$4:$L$267,0))),"")</f>
        <v>0</v>
      </c>
      <c r="E10" s="448">
        <f t="array" ref="E10">IFERROR(IF(E$1="","",INDEX('Raw data'!$Z$4:$Z$267,MATCH(Mortality!E$1&amp;$A$1&amp;$A10,'Raw data'!$K$4:$K$267&amp;'Raw data'!$L$2&amp;'Raw data'!$L$4:$L$267,0))),"")</f>
        <v>0</v>
      </c>
      <c r="F10" s="448">
        <f t="array" ref="F10">IFERROR(IF(F$1="","",INDEX('Raw data'!$Z$4:$Z$267,MATCH(Mortality!F$1&amp;$A$1&amp;$A10,'Raw data'!$K$4:$K$267&amp;'Raw data'!$L$2&amp;'Raw data'!$L$4:$L$267,0))),"")</f>
        <v>0</v>
      </c>
      <c r="G10" s="451">
        <f t="array" ref="G10">IFERROR(IF(G$1="","",INDEX('Raw data'!$Z$4:$Z$267,MATCH(Mortality!G$1&amp;$A$1&amp;$A10,'Raw data'!$K$4:$K$267&amp;'Raw data'!$L$2&amp;'Raw data'!$L$4:$L$267,0))),"")</f>
        <v>1</v>
      </c>
      <c r="H10" s="418"/>
      <c r="I10" s="432">
        <f t="array" ref="I10">IFERROR(INDEX(Map!$V$2:$V$67,MATCH(Mortality!$B10&amp;Mortality!$C10,Map!$W$2:$W$67&amp;Map!$X$2:$X$67,0)),"")</f>
        <v>63</v>
      </c>
      <c r="J10" s="418" t="str">
        <f>J2</f>
        <v>T1</v>
      </c>
      <c r="K10" s="418" t="s">
        <v>22</v>
      </c>
      <c r="L10" s="455">
        <f t="array" ref="L10">IFERROR(IF(L$1="","",INDEX('Raw data'!$AB$4:$AB$267,MATCH(Mortality!L$1&amp;$A$1&amp;$A10,'Raw data'!$K$4:$K$267&amp;'Raw data'!$L$2&amp;'Raw data'!$L$4:$L$267,0))),"")</f>
        <v>1</v>
      </c>
      <c r="M10" s="448">
        <f t="array" ref="M10">IFERROR(IF(M$1="","",INDEX('Raw data'!$AB$4:$AB$267,MATCH(Mortality!M$1&amp;$A$1&amp;$A10,'Raw data'!$K$4:$K$267&amp;'Raw data'!$L$2&amp;'Raw data'!$L$4:$L$267,0))),"")</f>
        <v>0</v>
      </c>
      <c r="N10" s="448">
        <f t="array" ref="N10">IFERROR(IF(N$1="","",INDEX('Raw data'!$AB$4:$AB$267,MATCH(Mortality!N$1&amp;$A$1&amp;$A10,'Raw data'!$K$4:$K$267&amp;'Raw data'!$L$2&amp;'Raw data'!$L$4:$L$267,0))),"")</f>
        <v>1</v>
      </c>
      <c r="O10" s="451">
        <f t="array" ref="O10">IFERROR(IF(O$1="","",INDEX('Raw data'!$AB$4:$AB$267,MATCH(Mortality!O$1&amp;$A$1&amp;$A10,'Raw data'!$K$4:$K$267&amp;'Raw data'!$L$2&amp;'Raw data'!$L$4:$L$267,0))),"")</f>
        <v>0</v>
      </c>
    </row>
    <row r="11" spans="1:15" s="417" customFormat="1" x14ac:dyDescent="0.25">
      <c r="A11" s="432">
        <f t="array" ref="A11">IFERROR(INDEX(Map!$V$2:$V$67,MATCH(Mortality!$B11&amp;Mortality!$C11,Map!$W$2:$W$67&amp;Map!$X$2:$X$67,0)),"")</f>
        <v>46</v>
      </c>
      <c r="B11" s="418" t="str">
        <f>B2</f>
        <v>T1</v>
      </c>
      <c r="C11" s="418" t="s">
        <v>101</v>
      </c>
      <c r="D11" s="455">
        <f t="array" ref="D11">IFERROR(IF(D$1="","",INDEX('Raw data'!$Z$4:$Z$267,MATCH(Mortality!D$1&amp;$A$1&amp;$A11,'Raw data'!$K$4:$K$267&amp;'Raw data'!$L$2&amp;'Raw data'!$L$4:$L$267,0))),"")</f>
        <v>1</v>
      </c>
      <c r="E11" s="448">
        <f t="array" ref="E11">IFERROR(IF(E$1="","",INDEX('Raw data'!$Z$4:$Z$267,MATCH(Mortality!E$1&amp;$A$1&amp;$A11,'Raw data'!$K$4:$K$267&amp;'Raw data'!$L$2&amp;'Raw data'!$L$4:$L$267,0))),"")</f>
        <v>0</v>
      </c>
      <c r="F11" s="448">
        <f t="array" ref="F11">IFERROR(IF(F$1="","",INDEX('Raw data'!$Z$4:$Z$267,MATCH(Mortality!F$1&amp;$A$1&amp;$A11,'Raw data'!$K$4:$K$267&amp;'Raw data'!$L$2&amp;'Raw data'!$L$4:$L$267,0))),"")</f>
        <v>0</v>
      </c>
      <c r="G11" s="451">
        <f t="array" ref="G11">IFERROR(IF(G$1="","",INDEX('Raw data'!$Z$4:$Z$267,MATCH(Mortality!G$1&amp;$A$1&amp;$A11,'Raw data'!$K$4:$K$267&amp;'Raw data'!$L$2&amp;'Raw data'!$L$4:$L$267,0))),"")</f>
        <v>2</v>
      </c>
      <c r="H11" s="418"/>
      <c r="I11" s="432">
        <f t="array" ref="I11">IFERROR(INDEX(Map!$V$2:$V$67,MATCH(Mortality!$B11&amp;Mortality!$C11,Map!$W$2:$W$67&amp;Map!$X$2:$X$67,0)),"")</f>
        <v>46</v>
      </c>
      <c r="J11" s="418" t="str">
        <f>J2</f>
        <v>T1</v>
      </c>
      <c r="K11" s="418" t="s">
        <v>101</v>
      </c>
      <c r="L11" s="455">
        <f t="array" ref="L11">IFERROR(IF(L$1="","",INDEX('Raw data'!$AB$4:$AB$267,MATCH(Mortality!L$1&amp;$A$1&amp;$A11,'Raw data'!$K$4:$K$267&amp;'Raw data'!$L$2&amp;'Raw data'!$L$4:$L$267,0))),"")</f>
        <v>0</v>
      </c>
      <c r="M11" s="448">
        <f t="array" ref="M11">IFERROR(IF(M$1="","",INDEX('Raw data'!$AB$4:$AB$267,MATCH(Mortality!M$1&amp;$A$1&amp;$A11,'Raw data'!$K$4:$K$267&amp;'Raw data'!$L$2&amp;'Raw data'!$L$4:$L$267,0))),"")</f>
        <v>0</v>
      </c>
      <c r="N11" s="448">
        <f t="array" ref="N11">IFERROR(IF(N$1="","",INDEX('Raw data'!$AB$4:$AB$267,MATCH(Mortality!N$1&amp;$A$1&amp;$A11,'Raw data'!$K$4:$K$267&amp;'Raw data'!$L$2&amp;'Raw data'!$L$4:$L$267,0))),"")</f>
        <v>1</v>
      </c>
      <c r="O11" s="451">
        <f t="array" ref="O11">IFERROR(IF(O$1="","",INDEX('Raw data'!$AB$4:$AB$267,MATCH(Mortality!O$1&amp;$A$1&amp;$A11,'Raw data'!$K$4:$K$267&amp;'Raw data'!$L$2&amp;'Raw data'!$L$4:$L$267,0))),"")</f>
        <v>0</v>
      </c>
    </row>
    <row r="12" spans="1:15" s="417" customFormat="1" x14ac:dyDescent="0.25">
      <c r="A12" s="446">
        <f t="array" ref="A12">IFERROR(INDEX(Map!$V$2:$V$67,MATCH(Mortality!$B12&amp;Mortality!$C12,Map!$W$2:$W$67&amp;Map!$X$2:$X$67,0)),"")</f>
        <v>66</v>
      </c>
      <c r="B12" s="418" t="str">
        <f>B2</f>
        <v>T1</v>
      </c>
      <c r="C12" s="418" t="s">
        <v>102</v>
      </c>
      <c r="D12" s="456">
        <f t="array" ref="D12">IFERROR(IF(D$1="","",INDEX('Raw data'!$Z$4:$Z$267,MATCH(Mortality!D$1&amp;$A$1&amp;$A12,'Raw data'!$K$4:$K$267&amp;'Raw data'!$L$2&amp;'Raw data'!$L$4:$L$267,0))),"")</f>
        <v>0</v>
      </c>
      <c r="E12" s="449">
        <f t="array" ref="E12">IFERROR(IF(E$1="","",INDEX('Raw data'!$Z$4:$Z$267,MATCH(Mortality!E$1&amp;$A$1&amp;$A12,'Raw data'!$K$4:$K$267&amp;'Raw data'!$L$2&amp;'Raw data'!$L$4:$L$267,0))),"")</f>
        <v>1</v>
      </c>
      <c r="F12" s="449">
        <f t="array" ref="F12">IFERROR(IF(F$1="","",INDEX('Raw data'!$Z$4:$Z$267,MATCH(Mortality!F$1&amp;$A$1&amp;$A12,'Raw data'!$K$4:$K$267&amp;'Raw data'!$L$2&amp;'Raw data'!$L$4:$L$267,0))),"")</f>
        <v>2</v>
      </c>
      <c r="G12" s="452">
        <f t="array" ref="G12">IFERROR(IF(G$1="","",INDEX('Raw data'!$Z$4:$Z$267,MATCH(Mortality!G$1&amp;$A$1&amp;$A12,'Raw data'!$K$4:$K$267&amp;'Raw data'!$L$2&amp;'Raw data'!$L$4:$L$267,0))),"")</f>
        <v>0</v>
      </c>
      <c r="H12" s="418"/>
      <c r="I12" s="446">
        <f t="array" ref="I12">IFERROR(INDEX(Map!$V$2:$V$67,MATCH(Mortality!$B12&amp;Mortality!$C12,Map!$W$2:$W$67&amp;Map!$X$2:$X$67,0)),"")</f>
        <v>66</v>
      </c>
      <c r="J12" s="418" t="str">
        <f>J2</f>
        <v>T1</v>
      </c>
      <c r="K12" s="418" t="s">
        <v>102</v>
      </c>
      <c r="L12" s="456">
        <f t="array" ref="L12">IFERROR(IF(L$1="","",INDEX('Raw data'!$AB$4:$AB$267,MATCH(Mortality!L$1&amp;$A$1&amp;$A12,'Raw data'!$K$4:$K$267&amp;'Raw data'!$L$2&amp;'Raw data'!$L$4:$L$267,0))),"")</f>
        <v>1</v>
      </c>
      <c r="M12" s="449">
        <f t="array" ref="M12">IFERROR(IF(M$1="","",INDEX('Raw data'!$AB$4:$AB$267,MATCH(Mortality!M$1&amp;$A$1&amp;$A12,'Raw data'!$K$4:$K$267&amp;'Raw data'!$L$2&amp;'Raw data'!$L$4:$L$267,0))),"")</f>
        <v>0</v>
      </c>
      <c r="N12" s="449">
        <f t="array" ref="N12">IFERROR(IF(N$1="","",INDEX('Raw data'!$AB$4:$AB$267,MATCH(Mortality!N$1&amp;$A$1&amp;$A12,'Raw data'!$K$4:$K$267&amp;'Raw data'!$L$2&amp;'Raw data'!$L$4:$L$267,0))),"")</f>
        <v>1</v>
      </c>
      <c r="O12" s="452">
        <f t="array" ref="O12">IFERROR(IF(O$1="","",INDEX('Raw data'!$AB$4:$AB$267,MATCH(Mortality!O$1&amp;$A$1&amp;$A12,'Raw data'!$K$4:$K$267&amp;'Raw data'!$L$2&amp;'Raw data'!$L$4:$L$267,0))),"")</f>
        <v>0</v>
      </c>
    </row>
    <row r="13" spans="1:15" x14ac:dyDescent="0.25">
      <c r="A13" s="131"/>
      <c r="B13" s="565" t="s">
        <v>1</v>
      </c>
      <c r="C13" s="565"/>
      <c r="D13" s="362">
        <f>IF(D$1="","",(SUM(D2:D12)))</f>
        <v>5</v>
      </c>
      <c r="E13" s="383">
        <f>IF(E$1="","",(SUM(E2:E12)))</f>
        <v>1</v>
      </c>
      <c r="F13" s="383">
        <f>IF(F$1="","",(SUM(F2:F12)))</f>
        <v>2</v>
      </c>
      <c r="G13" s="384">
        <f>IF(G$1="","",(SUM(G2:G12)))</f>
        <v>7</v>
      </c>
      <c r="H13" s="24"/>
      <c r="I13" s="131"/>
      <c r="J13" s="565" t="s">
        <v>1</v>
      </c>
      <c r="K13" s="565"/>
      <c r="L13" s="362">
        <f>IF(L$1="","",(SUM(L2:L12)))</f>
        <v>4</v>
      </c>
      <c r="M13" s="383">
        <f>IF(M$1="","",(SUM(M2:M12)))</f>
        <v>0</v>
      </c>
      <c r="N13" s="383">
        <f>IF(N$1="","",(SUM(N2:N12)))</f>
        <v>11</v>
      </c>
      <c r="O13" s="384">
        <f>IF(O$1="","",(SUM(O2:O12)))</f>
        <v>0</v>
      </c>
    </row>
    <row r="14" spans="1:15" ht="15.75" thickBot="1" x14ac:dyDescent="0.3">
      <c r="A14" s="132"/>
      <c r="B14" s="567" t="s">
        <v>95</v>
      </c>
      <c r="C14" s="568"/>
      <c r="D14" s="359">
        <f>IF(D$1="","",Summary!B50)</f>
        <v>1.1494252873563218E-2</v>
      </c>
      <c r="E14" s="218">
        <f>IF(E$1="","",Summary!C50)</f>
        <v>2.3255813953488372E-3</v>
      </c>
      <c r="F14" s="218">
        <f>IF(F$1="","",Summary!D50)</f>
        <v>4.6728971962616819E-3</v>
      </c>
      <c r="G14" s="353">
        <f>IF(G$1="","",Summary!E50)</f>
        <v>1.7073170731707318E-2</v>
      </c>
      <c r="H14" s="24"/>
      <c r="I14" s="132"/>
      <c r="J14" s="567" t="s">
        <v>96</v>
      </c>
      <c r="K14" s="568"/>
      <c r="L14" s="359">
        <f>IF(L$1="","",Summary!I50)</f>
        <v>9.1743119266055051E-3</v>
      </c>
      <c r="M14" s="218">
        <f>IF(M$1="","",Summary!J50)</f>
        <v>0</v>
      </c>
      <c r="N14" s="218">
        <f>IF(N$1="","",Summary!K50)</f>
        <v>2.6252983293556086E-2</v>
      </c>
      <c r="O14" s="353">
        <f>IF(O$1="","",Summary!L50)</f>
        <v>0</v>
      </c>
    </row>
    <row r="15" spans="1:15" s="417" customFormat="1" x14ac:dyDescent="0.25">
      <c r="A15" s="431">
        <f t="array" ref="A15">IFERROR(INDEX(Map!$V$2:$V$67,MATCH(Mortality!$B15&amp;Mortality!$C15,Map!$W$2:$W$67&amp;Map!$X$2:$X$67,0)),"")</f>
        <v>7</v>
      </c>
      <c r="B15" s="420" t="s">
        <v>13</v>
      </c>
      <c r="C15" s="420" t="s">
        <v>2</v>
      </c>
      <c r="D15" s="454">
        <f t="array" ref="D15">IFERROR(IF(D$1="","",INDEX('Raw data'!$Z$4:$Z$267,MATCH(Mortality!D$1&amp;$A$1&amp;$A15,'Raw data'!$K$4:$K$267&amp;'Raw data'!$L$2&amp;'Raw data'!$L$4:$L$267,0))),"")</f>
        <v>1</v>
      </c>
      <c r="E15" s="447">
        <f t="array" ref="E15">IFERROR(IF(E$1="","",INDEX('Raw data'!$Z$4:$Z$267,MATCH(Mortality!E$1&amp;$A$1&amp;$A15,'Raw data'!$K$4:$K$267&amp;'Raw data'!$L$2&amp;'Raw data'!$L$4:$L$267,0))),"")</f>
        <v>0</v>
      </c>
      <c r="F15" s="447">
        <f t="array" ref="F15">IFERROR(IF(F$1="","",INDEX('Raw data'!$Z$4:$Z$267,MATCH(Mortality!F$1&amp;$A$1&amp;$A15,'Raw data'!$K$4:$K$267&amp;'Raw data'!$L$2&amp;'Raw data'!$L$4:$L$267,0))),"")</f>
        <v>0</v>
      </c>
      <c r="G15" s="450">
        <f t="array" ref="G15">IFERROR(IF(G$1="","",INDEX('Raw data'!$Z$4:$Z$267,MATCH(Mortality!G$1&amp;$A$1&amp;$A15,'Raw data'!$K$4:$K$267&amp;'Raw data'!$L$2&amp;'Raw data'!$L$4:$L$267,0))),"")</f>
        <v>0</v>
      </c>
      <c r="H15" s="418"/>
      <c r="I15" s="431">
        <f t="array" ref="I15">IFERROR(INDEX(Map!$V$2:$V$67,MATCH(Mortality!$B15&amp;Mortality!$C15,Map!$W$2:$W$67&amp;Map!$X$2:$X$67,0)),"")</f>
        <v>7</v>
      </c>
      <c r="J15" s="420" t="s">
        <v>13</v>
      </c>
      <c r="K15" s="420" t="s">
        <v>2</v>
      </c>
      <c r="L15" s="454">
        <f t="array" ref="L15">IFERROR(IF(L$1="","",INDEX('Raw data'!$AB$4:$AB$267,MATCH(Mortality!L$1&amp;$A$1&amp;$A15,'Raw data'!$K$4:$K$267&amp;'Raw data'!$L$2&amp;'Raw data'!$L$4:$L$267,0))),"")</f>
        <v>0</v>
      </c>
      <c r="M15" s="447">
        <f t="array" ref="M15">IFERROR(IF(M$1="","",INDEX('Raw data'!$AB$4:$AB$267,MATCH(Mortality!M$1&amp;$A$1&amp;$A15,'Raw data'!$K$4:$K$267&amp;'Raw data'!$L$2&amp;'Raw data'!$L$4:$L$267,0))),"")</f>
        <v>0</v>
      </c>
      <c r="N15" s="447">
        <f t="array" ref="N15">IFERROR(IF(N$1="","",INDEX('Raw data'!$AB$4:$AB$267,MATCH(Mortality!N$1&amp;$A$1&amp;$A15,'Raw data'!$K$4:$K$267&amp;'Raw data'!$L$2&amp;'Raw data'!$L$4:$L$267,0))),"")</f>
        <v>1</v>
      </c>
      <c r="O15" s="450">
        <f t="array" ref="O15">IFERROR(IF(O$1="","",INDEX('Raw data'!$AB$4:$AB$267,MATCH(Mortality!O$1&amp;$A$1&amp;$A15,'Raw data'!$K$4:$K$267&amp;'Raw data'!$L$2&amp;'Raw data'!$L$4:$L$267,0))),"")</f>
        <v>0</v>
      </c>
    </row>
    <row r="16" spans="1:15" x14ac:dyDescent="0.25">
      <c r="A16" s="432">
        <f t="array" ref="A16">IFERROR(INDEX(Map!$V$2:$V$67,MATCH(Mortality!$B16&amp;Mortality!$C16,Map!$W$2:$W$67&amp;Map!$X$2:$X$67,0)),"")</f>
        <v>11</v>
      </c>
      <c r="B16" s="418" t="str">
        <f>B15</f>
        <v>T2</v>
      </c>
      <c r="C16" s="418" t="s">
        <v>3</v>
      </c>
      <c r="D16" s="455">
        <f t="array" ref="D16">IFERROR(IF(D$1="","",INDEX('Raw data'!$Z$4:$Z$267,MATCH(Mortality!D$1&amp;$A$1&amp;$A16,'Raw data'!$K$4:$K$267&amp;'Raw data'!$L$2&amp;'Raw data'!$L$4:$L$267,0))),"")</f>
        <v>1</v>
      </c>
      <c r="E16" s="448">
        <f t="array" ref="E16">IFERROR(IF(E$1="","",INDEX('Raw data'!$Z$4:$Z$267,MATCH(Mortality!E$1&amp;$A$1&amp;$A16,'Raw data'!$K$4:$K$267&amp;'Raw data'!$L$2&amp;'Raw data'!$L$4:$L$267,0))),"")</f>
        <v>0</v>
      </c>
      <c r="F16" s="448">
        <f t="array" ref="F16">IFERROR(IF(F$1="","",INDEX('Raw data'!$Z$4:$Z$267,MATCH(Mortality!F$1&amp;$A$1&amp;$A16,'Raw data'!$K$4:$K$267&amp;'Raw data'!$L$2&amp;'Raw data'!$L$4:$L$267,0))),"")</f>
        <v>0</v>
      </c>
      <c r="G16" s="451">
        <f t="array" ref="G16">IFERROR(IF(G$1="","",INDEX('Raw data'!$Z$4:$Z$267,MATCH(Mortality!G$1&amp;$A$1&amp;$A16,'Raw data'!$K$4:$K$267&amp;'Raw data'!$L$2&amp;'Raw data'!$L$4:$L$267,0))),"")</f>
        <v>0</v>
      </c>
      <c r="H16" s="418"/>
      <c r="I16" s="432">
        <f t="array" ref="I16">IFERROR(INDEX(Map!$V$2:$V$67,MATCH(Mortality!$B16&amp;Mortality!$C16,Map!$W$2:$W$67&amp;Map!$X$2:$X$67,0)),"")</f>
        <v>11</v>
      </c>
      <c r="J16" s="418" t="str">
        <f>J15</f>
        <v>T2</v>
      </c>
      <c r="K16" s="418" t="s">
        <v>3</v>
      </c>
      <c r="L16" s="455">
        <f t="array" ref="L16">IFERROR(IF(L$1="","",INDEX('Raw data'!$AB$4:$AB$267,MATCH(Mortality!L$1&amp;$A$1&amp;$A16,'Raw data'!$K$4:$K$267&amp;'Raw data'!$L$2&amp;'Raw data'!$L$4:$L$267,0))),"")</f>
        <v>0</v>
      </c>
      <c r="M16" s="448">
        <f t="array" ref="M16">IFERROR(IF(M$1="","",INDEX('Raw data'!$AB$4:$AB$267,MATCH(Mortality!M$1&amp;$A$1&amp;$A16,'Raw data'!$K$4:$K$267&amp;'Raw data'!$L$2&amp;'Raw data'!$L$4:$L$267,0))),"")</f>
        <v>0</v>
      </c>
      <c r="N16" s="448">
        <f t="array" ref="N16">IFERROR(IF(N$1="","",INDEX('Raw data'!$AB$4:$AB$267,MATCH(Mortality!N$1&amp;$A$1&amp;$A16,'Raw data'!$K$4:$K$267&amp;'Raw data'!$L$2&amp;'Raw data'!$L$4:$L$267,0))),"")</f>
        <v>1</v>
      </c>
      <c r="O16" s="451">
        <f t="array" ref="O16">IFERROR(IF(O$1="","",INDEX('Raw data'!$AB$4:$AB$267,MATCH(Mortality!O$1&amp;$A$1&amp;$A16,'Raw data'!$K$4:$K$267&amp;'Raw data'!$L$2&amp;'Raw data'!$L$4:$L$267,0))),"")</f>
        <v>0</v>
      </c>
    </row>
    <row r="17" spans="1:15" x14ac:dyDescent="0.25">
      <c r="A17" s="432">
        <f t="array" ref="A17">IFERROR(INDEX(Map!$V$2:$V$67,MATCH(Mortality!$B17&amp;Mortality!$C17,Map!$W$2:$W$67&amp;Map!$X$2:$X$67,0)),"")</f>
        <v>16</v>
      </c>
      <c r="B17" s="418" t="str">
        <f>B15</f>
        <v>T2</v>
      </c>
      <c r="C17" s="418" t="s">
        <v>4</v>
      </c>
      <c r="D17" s="455">
        <f t="array" ref="D17">IFERROR(IF(D$1="","",INDEX('Raw data'!$Z$4:$Z$267,MATCH(Mortality!D$1&amp;$A$1&amp;$A17,'Raw data'!$K$4:$K$267&amp;'Raw data'!$L$2&amp;'Raw data'!$L$4:$L$267,0))),"")</f>
        <v>1</v>
      </c>
      <c r="E17" s="448">
        <f t="array" ref="E17">IFERROR(IF(E$1="","",INDEX('Raw data'!$Z$4:$Z$267,MATCH(Mortality!E$1&amp;$A$1&amp;$A17,'Raw data'!$K$4:$K$267&amp;'Raw data'!$L$2&amp;'Raw data'!$L$4:$L$267,0))),"")</f>
        <v>0</v>
      </c>
      <c r="F17" s="448">
        <f t="array" ref="F17">IFERROR(IF(F$1="","",INDEX('Raw data'!$Z$4:$Z$267,MATCH(Mortality!F$1&amp;$A$1&amp;$A17,'Raw data'!$K$4:$K$267&amp;'Raw data'!$L$2&amp;'Raw data'!$L$4:$L$267,0))),"")</f>
        <v>0</v>
      </c>
      <c r="G17" s="451">
        <f t="array" ref="G17">IFERROR(IF(G$1="","",INDEX('Raw data'!$Z$4:$Z$267,MATCH(Mortality!G$1&amp;$A$1&amp;$A17,'Raw data'!$K$4:$K$267&amp;'Raw data'!$L$2&amp;'Raw data'!$L$4:$L$267,0))),"")</f>
        <v>0</v>
      </c>
      <c r="H17" s="418"/>
      <c r="I17" s="432">
        <f t="array" ref="I17">IFERROR(INDEX(Map!$V$2:$V$67,MATCH(Mortality!$B17&amp;Mortality!$C17,Map!$W$2:$W$67&amp;Map!$X$2:$X$67,0)),"")</f>
        <v>16</v>
      </c>
      <c r="J17" s="418" t="str">
        <f>J15</f>
        <v>T2</v>
      </c>
      <c r="K17" s="418" t="s">
        <v>4</v>
      </c>
      <c r="L17" s="455">
        <f t="array" ref="L17">IFERROR(IF(L$1="","",INDEX('Raw data'!$AB$4:$AB$267,MATCH(Mortality!L$1&amp;$A$1&amp;$A17,'Raw data'!$K$4:$K$267&amp;'Raw data'!$L$2&amp;'Raw data'!$L$4:$L$267,0))),"")</f>
        <v>0</v>
      </c>
      <c r="M17" s="448">
        <f t="array" ref="M17">IFERROR(IF(M$1="","",INDEX('Raw data'!$AB$4:$AB$267,MATCH(Mortality!M$1&amp;$A$1&amp;$A17,'Raw data'!$K$4:$K$267&amp;'Raw data'!$L$2&amp;'Raw data'!$L$4:$L$267,0))),"")</f>
        <v>0</v>
      </c>
      <c r="N17" s="448">
        <f t="array" ref="N17">IFERROR(IF(N$1="","",INDEX('Raw data'!$AB$4:$AB$267,MATCH(Mortality!N$1&amp;$A$1&amp;$A17,'Raw data'!$K$4:$K$267&amp;'Raw data'!$L$2&amp;'Raw data'!$L$4:$L$267,0))),"")</f>
        <v>1</v>
      </c>
      <c r="O17" s="451">
        <f t="array" ref="O17">IFERROR(IF(O$1="","",INDEX('Raw data'!$AB$4:$AB$267,MATCH(Mortality!O$1&amp;$A$1&amp;$A17,'Raw data'!$K$4:$K$267&amp;'Raw data'!$L$2&amp;'Raw data'!$L$4:$L$267,0))),"")</f>
        <v>0</v>
      </c>
    </row>
    <row r="18" spans="1:15" x14ac:dyDescent="0.25">
      <c r="A18" s="432">
        <f t="array" ref="A18">IFERROR(INDEX(Map!$V$2:$V$67,MATCH(Mortality!$B18&amp;Mortality!$C18,Map!$W$2:$W$67&amp;Map!$X$2:$X$67,0)),"")</f>
        <v>25</v>
      </c>
      <c r="B18" s="418" t="str">
        <f>B15</f>
        <v>T2</v>
      </c>
      <c r="C18" s="418" t="s">
        <v>5</v>
      </c>
      <c r="D18" s="455">
        <f t="array" ref="D18">IFERROR(IF(D$1="","",INDEX('Raw data'!$Z$4:$Z$267,MATCH(Mortality!D$1&amp;$A$1&amp;$A18,'Raw data'!$K$4:$K$267&amp;'Raw data'!$L$2&amp;'Raw data'!$L$4:$L$267,0))),"")</f>
        <v>0</v>
      </c>
      <c r="E18" s="448">
        <f t="array" ref="E18">IFERROR(IF(E$1="","",INDEX('Raw data'!$Z$4:$Z$267,MATCH(Mortality!E$1&amp;$A$1&amp;$A18,'Raw data'!$K$4:$K$267&amp;'Raw data'!$L$2&amp;'Raw data'!$L$4:$L$267,0))),"")</f>
        <v>0</v>
      </c>
      <c r="F18" s="448">
        <f t="array" ref="F18">IFERROR(IF(F$1="","",INDEX('Raw data'!$Z$4:$Z$267,MATCH(Mortality!F$1&amp;$A$1&amp;$A18,'Raw data'!$K$4:$K$267&amp;'Raw data'!$L$2&amp;'Raw data'!$L$4:$L$267,0))),"")</f>
        <v>0</v>
      </c>
      <c r="G18" s="451">
        <f t="array" ref="G18">IFERROR(IF(G$1="","",INDEX('Raw data'!$Z$4:$Z$267,MATCH(Mortality!G$1&amp;$A$1&amp;$A18,'Raw data'!$K$4:$K$267&amp;'Raw data'!$L$2&amp;'Raw data'!$L$4:$L$267,0))),"")</f>
        <v>0</v>
      </c>
      <c r="H18" s="418"/>
      <c r="I18" s="432">
        <f t="array" ref="I18">IFERROR(INDEX(Map!$V$2:$V$67,MATCH(Mortality!$B18&amp;Mortality!$C18,Map!$W$2:$W$67&amp;Map!$X$2:$X$67,0)),"")</f>
        <v>25</v>
      </c>
      <c r="J18" s="418" t="str">
        <f>J15</f>
        <v>T2</v>
      </c>
      <c r="K18" s="418" t="s">
        <v>5</v>
      </c>
      <c r="L18" s="455">
        <f t="array" ref="L18">IFERROR(IF(L$1="","",INDEX('Raw data'!$AB$4:$AB$267,MATCH(Mortality!L$1&amp;$A$1&amp;$A18,'Raw data'!$K$4:$K$267&amp;'Raw data'!$L$2&amp;'Raw data'!$L$4:$L$267,0))),"")</f>
        <v>0</v>
      </c>
      <c r="M18" s="448">
        <f t="array" ref="M18">IFERROR(IF(M$1="","",INDEX('Raw data'!$AB$4:$AB$267,MATCH(Mortality!M$1&amp;$A$1&amp;$A18,'Raw data'!$K$4:$K$267&amp;'Raw data'!$L$2&amp;'Raw data'!$L$4:$L$267,0))),"")</f>
        <v>0</v>
      </c>
      <c r="N18" s="448">
        <f t="array" ref="N18">IFERROR(IF(N$1="","",INDEX('Raw data'!$AB$4:$AB$267,MATCH(Mortality!N$1&amp;$A$1&amp;$A18,'Raw data'!$K$4:$K$267&amp;'Raw data'!$L$2&amp;'Raw data'!$L$4:$L$267,0))),"")</f>
        <v>1</v>
      </c>
      <c r="O18" s="451">
        <f t="array" ref="O18">IFERROR(IF(O$1="","",INDEX('Raw data'!$AB$4:$AB$267,MATCH(Mortality!O$1&amp;$A$1&amp;$A18,'Raw data'!$K$4:$K$267&amp;'Raw data'!$L$2&amp;'Raw data'!$L$4:$L$267,0))),"")</f>
        <v>0</v>
      </c>
    </row>
    <row r="19" spans="1:15" x14ac:dyDescent="0.25">
      <c r="A19" s="432">
        <f t="array" ref="A19">IFERROR(INDEX(Map!$V$2:$V$67,MATCH(Mortality!$B19&amp;Mortality!$C19,Map!$W$2:$W$67&amp;Map!$X$2:$X$67,0)),"")</f>
        <v>34</v>
      </c>
      <c r="B19" s="418" t="str">
        <f>B15</f>
        <v>T2</v>
      </c>
      <c r="C19" s="418" t="s">
        <v>6</v>
      </c>
      <c r="D19" s="455">
        <f t="array" ref="D19">IFERROR(IF(D$1="","",INDEX('Raw data'!$Z$4:$Z$267,MATCH(Mortality!D$1&amp;$A$1&amp;$A19,'Raw data'!$K$4:$K$267&amp;'Raw data'!$L$2&amp;'Raw data'!$L$4:$L$267,0))),"")</f>
        <v>0</v>
      </c>
      <c r="E19" s="448">
        <f t="array" ref="E19">IFERROR(IF(E$1="","",INDEX('Raw data'!$Z$4:$Z$267,MATCH(Mortality!E$1&amp;$A$1&amp;$A19,'Raw data'!$K$4:$K$267&amp;'Raw data'!$L$2&amp;'Raw data'!$L$4:$L$267,0))),"")</f>
        <v>0</v>
      </c>
      <c r="F19" s="448">
        <f t="array" ref="F19">IFERROR(IF(F$1="","",INDEX('Raw data'!$Z$4:$Z$267,MATCH(Mortality!F$1&amp;$A$1&amp;$A19,'Raw data'!$K$4:$K$267&amp;'Raw data'!$L$2&amp;'Raw data'!$L$4:$L$267,0))),"")</f>
        <v>0</v>
      </c>
      <c r="G19" s="451">
        <f t="array" ref="G19">IFERROR(IF(G$1="","",INDEX('Raw data'!$Z$4:$Z$267,MATCH(Mortality!G$1&amp;$A$1&amp;$A19,'Raw data'!$K$4:$K$267&amp;'Raw data'!$L$2&amp;'Raw data'!$L$4:$L$267,0))),"")</f>
        <v>2</v>
      </c>
      <c r="H19" s="418"/>
      <c r="I19" s="432">
        <f t="array" ref="I19">IFERROR(INDEX(Map!$V$2:$V$67,MATCH(Mortality!$B19&amp;Mortality!$C19,Map!$W$2:$W$67&amp;Map!$X$2:$X$67,0)),"")</f>
        <v>34</v>
      </c>
      <c r="J19" s="418" t="str">
        <f>J15</f>
        <v>T2</v>
      </c>
      <c r="K19" s="418" t="s">
        <v>6</v>
      </c>
      <c r="L19" s="455">
        <f t="array" ref="L19">IFERROR(IF(L$1="","",INDEX('Raw data'!$AB$4:$AB$267,MATCH(Mortality!L$1&amp;$A$1&amp;$A19,'Raw data'!$K$4:$K$267&amp;'Raw data'!$L$2&amp;'Raw data'!$L$4:$L$267,0))),"")</f>
        <v>0</v>
      </c>
      <c r="M19" s="448">
        <f t="array" ref="M19">IFERROR(IF(M$1="","",INDEX('Raw data'!$AB$4:$AB$267,MATCH(Mortality!M$1&amp;$A$1&amp;$A19,'Raw data'!$K$4:$K$267&amp;'Raw data'!$L$2&amp;'Raw data'!$L$4:$L$267,0))),"")</f>
        <v>0</v>
      </c>
      <c r="N19" s="448">
        <f t="array" ref="N19">IFERROR(IF(N$1="","",INDEX('Raw data'!$AB$4:$AB$267,MATCH(Mortality!N$1&amp;$A$1&amp;$A19,'Raw data'!$K$4:$K$267&amp;'Raw data'!$L$2&amp;'Raw data'!$L$4:$L$267,0))),"")</f>
        <v>1</v>
      </c>
      <c r="O19" s="451">
        <f t="array" ref="O19">IFERROR(IF(O$1="","",INDEX('Raw data'!$AB$4:$AB$267,MATCH(Mortality!O$1&amp;$A$1&amp;$A19,'Raw data'!$K$4:$K$267&amp;'Raw data'!$L$2&amp;'Raw data'!$L$4:$L$267,0))),"")</f>
        <v>0</v>
      </c>
    </row>
    <row r="20" spans="1:15" x14ac:dyDescent="0.25">
      <c r="A20" s="432">
        <f t="array" ref="A20">IFERROR(INDEX(Map!$V$2:$V$67,MATCH(Mortality!$B20&amp;Mortality!$C20,Map!$W$2:$W$67&amp;Map!$X$2:$X$67,0)),"")</f>
        <v>37</v>
      </c>
      <c r="B20" s="418" t="str">
        <f>B15</f>
        <v>T2</v>
      </c>
      <c r="C20" s="418" t="s">
        <v>7</v>
      </c>
      <c r="D20" s="455">
        <f t="array" ref="D20">IFERROR(IF(D$1="","",INDEX('Raw data'!$Z$4:$Z$267,MATCH(Mortality!D$1&amp;$A$1&amp;$A20,'Raw data'!$K$4:$K$267&amp;'Raw data'!$L$2&amp;'Raw data'!$L$4:$L$267,0))),"")</f>
        <v>0</v>
      </c>
      <c r="E20" s="448">
        <f t="array" ref="E20">IFERROR(IF(E$1="","",INDEX('Raw data'!$Z$4:$Z$267,MATCH(Mortality!E$1&amp;$A$1&amp;$A20,'Raw data'!$K$4:$K$267&amp;'Raw data'!$L$2&amp;'Raw data'!$L$4:$L$267,0))),"")</f>
        <v>0</v>
      </c>
      <c r="F20" s="448">
        <f t="array" ref="F20">IFERROR(IF(F$1="","",INDEX('Raw data'!$Z$4:$Z$267,MATCH(Mortality!F$1&amp;$A$1&amp;$A20,'Raw data'!$K$4:$K$267&amp;'Raw data'!$L$2&amp;'Raw data'!$L$4:$L$267,0))),"")</f>
        <v>1</v>
      </c>
      <c r="G20" s="451">
        <f t="array" ref="G20">IFERROR(IF(G$1="","",INDEX('Raw data'!$Z$4:$Z$267,MATCH(Mortality!G$1&amp;$A$1&amp;$A20,'Raw data'!$K$4:$K$267&amp;'Raw data'!$L$2&amp;'Raw data'!$L$4:$L$267,0))),"")</f>
        <v>1</v>
      </c>
      <c r="H20" s="418"/>
      <c r="I20" s="432">
        <f t="array" ref="I20">IFERROR(INDEX(Map!$V$2:$V$67,MATCH(Mortality!$B20&amp;Mortality!$C20,Map!$W$2:$W$67&amp;Map!$X$2:$X$67,0)),"")</f>
        <v>37</v>
      </c>
      <c r="J20" s="418" t="str">
        <f>J15</f>
        <v>T2</v>
      </c>
      <c r="K20" s="418" t="s">
        <v>7</v>
      </c>
      <c r="L20" s="455">
        <f t="array" ref="L20">IFERROR(IF(L$1="","",INDEX('Raw data'!$AB$4:$AB$267,MATCH(Mortality!L$1&amp;$A$1&amp;$A20,'Raw data'!$K$4:$K$267&amp;'Raw data'!$L$2&amp;'Raw data'!$L$4:$L$267,0))),"")</f>
        <v>0</v>
      </c>
      <c r="M20" s="448">
        <f t="array" ref="M20">IFERROR(IF(M$1="","",INDEX('Raw data'!$AB$4:$AB$267,MATCH(Mortality!M$1&amp;$A$1&amp;$A20,'Raw data'!$K$4:$K$267&amp;'Raw data'!$L$2&amp;'Raw data'!$L$4:$L$267,0))),"")</f>
        <v>1</v>
      </c>
      <c r="N20" s="448">
        <f t="array" ref="N20">IFERROR(IF(N$1="","",INDEX('Raw data'!$AB$4:$AB$267,MATCH(Mortality!N$1&amp;$A$1&amp;$A20,'Raw data'!$K$4:$K$267&amp;'Raw data'!$L$2&amp;'Raw data'!$L$4:$L$267,0))),"")</f>
        <v>1</v>
      </c>
      <c r="O20" s="451">
        <f t="array" ref="O20">IFERROR(IF(O$1="","",INDEX('Raw data'!$AB$4:$AB$267,MATCH(Mortality!O$1&amp;$A$1&amp;$A20,'Raw data'!$K$4:$K$267&amp;'Raw data'!$L$2&amp;'Raw data'!$L$4:$L$267,0))),"")</f>
        <v>0</v>
      </c>
    </row>
    <row r="21" spans="1:15" x14ac:dyDescent="0.25">
      <c r="A21" s="432">
        <f t="array" ref="A21">IFERROR(INDEX(Map!$V$2:$V$67,MATCH(Mortality!$B21&amp;Mortality!$C21,Map!$W$2:$W$67&amp;Map!$X$2:$X$67,0)),"")</f>
        <v>52</v>
      </c>
      <c r="B21" s="418" t="str">
        <f>B15</f>
        <v>T2</v>
      </c>
      <c r="C21" s="418" t="s">
        <v>8</v>
      </c>
      <c r="D21" s="455">
        <f t="array" ref="D21">IFERROR(IF(D$1="","",INDEX('Raw data'!$Z$4:$Z$267,MATCH(Mortality!D$1&amp;$A$1&amp;$A21,'Raw data'!$K$4:$K$267&amp;'Raw data'!$L$2&amp;'Raw data'!$L$4:$L$267,0))),"")</f>
        <v>0</v>
      </c>
      <c r="E21" s="448">
        <f t="array" ref="E21">IFERROR(IF(E$1="","",INDEX('Raw data'!$Z$4:$Z$267,MATCH(Mortality!E$1&amp;$A$1&amp;$A21,'Raw data'!$K$4:$K$267&amp;'Raw data'!$L$2&amp;'Raw data'!$L$4:$L$267,0))),"")</f>
        <v>0</v>
      </c>
      <c r="F21" s="448">
        <f t="array" ref="F21">IFERROR(IF(F$1="","",INDEX('Raw data'!$Z$4:$Z$267,MATCH(Mortality!F$1&amp;$A$1&amp;$A21,'Raw data'!$K$4:$K$267&amp;'Raw data'!$L$2&amp;'Raw data'!$L$4:$L$267,0))),"")</f>
        <v>0</v>
      </c>
      <c r="G21" s="451">
        <f t="array" ref="G21">IFERROR(IF(G$1="","",INDEX('Raw data'!$Z$4:$Z$267,MATCH(Mortality!G$1&amp;$A$1&amp;$A21,'Raw data'!$K$4:$K$267&amp;'Raw data'!$L$2&amp;'Raw data'!$L$4:$L$267,0))),"")</f>
        <v>0</v>
      </c>
      <c r="H21" s="418"/>
      <c r="I21" s="432">
        <f t="array" ref="I21">IFERROR(INDEX(Map!$V$2:$V$67,MATCH(Mortality!$B21&amp;Mortality!$C21,Map!$W$2:$W$67&amp;Map!$X$2:$X$67,0)),"")</f>
        <v>52</v>
      </c>
      <c r="J21" s="418" t="str">
        <f>J15</f>
        <v>T2</v>
      </c>
      <c r="K21" s="418" t="s">
        <v>8</v>
      </c>
      <c r="L21" s="455">
        <f t="array" ref="L21">IFERROR(IF(L$1="","",INDEX('Raw data'!$AB$4:$AB$267,MATCH(Mortality!L$1&amp;$A$1&amp;$A21,'Raw data'!$K$4:$K$267&amp;'Raw data'!$L$2&amp;'Raw data'!$L$4:$L$267,0))),"")</f>
        <v>1</v>
      </c>
      <c r="M21" s="448">
        <f t="array" ref="M21">IFERROR(IF(M$1="","",INDEX('Raw data'!$AB$4:$AB$267,MATCH(Mortality!M$1&amp;$A$1&amp;$A21,'Raw data'!$K$4:$K$267&amp;'Raw data'!$L$2&amp;'Raw data'!$L$4:$L$267,0))),"")</f>
        <v>0</v>
      </c>
      <c r="N21" s="448">
        <f t="array" ref="N21">IFERROR(IF(N$1="","",INDEX('Raw data'!$AB$4:$AB$267,MATCH(Mortality!N$1&amp;$A$1&amp;$A21,'Raw data'!$K$4:$K$267&amp;'Raw data'!$L$2&amp;'Raw data'!$L$4:$L$267,0))),"")</f>
        <v>1</v>
      </c>
      <c r="O21" s="451">
        <f t="array" ref="O21">IFERROR(IF(O$1="","",INDEX('Raw data'!$AB$4:$AB$267,MATCH(Mortality!O$1&amp;$A$1&amp;$A21,'Raw data'!$K$4:$K$267&amp;'Raw data'!$L$2&amp;'Raw data'!$L$4:$L$267,0))),"")</f>
        <v>0</v>
      </c>
    </row>
    <row r="22" spans="1:15" x14ac:dyDescent="0.25">
      <c r="A22" s="432">
        <f t="array" ref="A22">IFERROR(INDEX(Map!$V$2:$V$67,MATCH(Mortality!$B22&amp;Mortality!$C22,Map!$W$2:$W$67&amp;Map!$X$2:$X$67,0)),"")</f>
        <v>57</v>
      </c>
      <c r="B22" s="418" t="str">
        <f>B15</f>
        <v>T2</v>
      </c>
      <c r="C22" s="418" t="s">
        <v>9</v>
      </c>
      <c r="D22" s="455">
        <f t="array" ref="D22">IFERROR(IF(D$1="","",INDEX('Raw data'!$Z$4:$Z$267,MATCH(Mortality!D$1&amp;$A$1&amp;$A22,'Raw data'!$K$4:$K$267&amp;'Raw data'!$L$2&amp;'Raw data'!$L$4:$L$267,0))),"")</f>
        <v>1</v>
      </c>
      <c r="E22" s="448">
        <f t="array" ref="E22">IFERROR(IF(E$1="","",INDEX('Raw data'!$Z$4:$Z$267,MATCH(Mortality!E$1&amp;$A$1&amp;$A22,'Raw data'!$K$4:$K$267&amp;'Raw data'!$L$2&amp;'Raw data'!$L$4:$L$267,0))),"")</f>
        <v>0</v>
      </c>
      <c r="F22" s="448">
        <f t="array" ref="F22">IFERROR(IF(F$1="","",INDEX('Raw data'!$Z$4:$Z$267,MATCH(Mortality!F$1&amp;$A$1&amp;$A22,'Raw data'!$K$4:$K$267&amp;'Raw data'!$L$2&amp;'Raw data'!$L$4:$L$267,0))),"")</f>
        <v>0</v>
      </c>
      <c r="G22" s="451">
        <f t="array" ref="G22">IFERROR(IF(G$1="","",INDEX('Raw data'!$Z$4:$Z$267,MATCH(Mortality!G$1&amp;$A$1&amp;$A22,'Raw data'!$K$4:$K$267&amp;'Raw data'!$L$2&amp;'Raw data'!$L$4:$L$267,0))),"")</f>
        <v>1</v>
      </c>
      <c r="H22" s="418"/>
      <c r="I22" s="432">
        <f t="array" ref="I22">IFERROR(INDEX(Map!$V$2:$V$67,MATCH(Mortality!$B22&amp;Mortality!$C22,Map!$W$2:$W$67&amp;Map!$X$2:$X$67,0)),"")</f>
        <v>57</v>
      </c>
      <c r="J22" s="418" t="str">
        <f>J15</f>
        <v>T2</v>
      </c>
      <c r="K22" s="418" t="s">
        <v>9</v>
      </c>
      <c r="L22" s="455">
        <f t="array" ref="L22">IFERROR(IF(L$1="","",INDEX('Raw data'!$AB$4:$AB$267,MATCH(Mortality!L$1&amp;$A$1&amp;$A22,'Raw data'!$K$4:$K$267&amp;'Raw data'!$L$2&amp;'Raw data'!$L$4:$L$267,0))),"")</f>
        <v>2</v>
      </c>
      <c r="M22" s="448">
        <f t="array" ref="M22">IFERROR(IF(M$1="","",INDEX('Raw data'!$AB$4:$AB$267,MATCH(Mortality!M$1&amp;$A$1&amp;$A22,'Raw data'!$K$4:$K$267&amp;'Raw data'!$L$2&amp;'Raw data'!$L$4:$L$267,0))),"")</f>
        <v>0</v>
      </c>
      <c r="N22" s="448">
        <f t="array" ref="N22">IFERROR(IF(N$1="","",INDEX('Raw data'!$AB$4:$AB$267,MATCH(Mortality!N$1&amp;$A$1&amp;$A22,'Raw data'!$K$4:$K$267&amp;'Raw data'!$L$2&amp;'Raw data'!$L$4:$L$267,0))),"")</f>
        <v>1</v>
      </c>
      <c r="O22" s="451">
        <f t="array" ref="O22">IFERROR(IF(O$1="","",INDEX('Raw data'!$AB$4:$AB$267,MATCH(Mortality!O$1&amp;$A$1&amp;$A22,'Raw data'!$K$4:$K$267&amp;'Raw data'!$L$2&amp;'Raw data'!$L$4:$L$267,0))),"")</f>
        <v>0</v>
      </c>
    </row>
    <row r="23" spans="1:15" x14ac:dyDescent="0.25">
      <c r="A23" s="432">
        <f t="array" ref="A23">IFERROR(INDEX(Map!$V$2:$V$67,MATCH(Mortality!$B23&amp;Mortality!$C23,Map!$W$2:$W$67&amp;Map!$X$2:$X$67,0)),"")</f>
        <v>61</v>
      </c>
      <c r="B23" s="418" t="str">
        <f>B15</f>
        <v>T2</v>
      </c>
      <c r="C23" s="418" t="s">
        <v>22</v>
      </c>
      <c r="D23" s="455">
        <f t="array" ref="D23">IFERROR(IF(D$1="","",INDEX('Raw data'!$Z$4:$Z$267,MATCH(Mortality!D$1&amp;$A$1&amp;$A23,'Raw data'!$K$4:$K$267&amp;'Raw data'!$L$2&amp;'Raw data'!$L$4:$L$267,0))),"")</f>
        <v>1</v>
      </c>
      <c r="E23" s="448">
        <f t="array" ref="E23">IFERROR(IF(E$1="","",INDEX('Raw data'!$Z$4:$Z$267,MATCH(Mortality!E$1&amp;$A$1&amp;$A23,'Raw data'!$K$4:$K$267&amp;'Raw data'!$L$2&amp;'Raw data'!$L$4:$L$267,0))),"")</f>
        <v>0</v>
      </c>
      <c r="F23" s="448">
        <f t="array" ref="F23">IFERROR(IF(F$1="","",INDEX('Raw data'!$Z$4:$Z$267,MATCH(Mortality!F$1&amp;$A$1&amp;$A23,'Raw data'!$K$4:$K$267&amp;'Raw data'!$L$2&amp;'Raw data'!$L$4:$L$267,0))),"")</f>
        <v>0</v>
      </c>
      <c r="G23" s="451">
        <f t="array" ref="G23">IFERROR(IF(G$1="","",INDEX('Raw data'!$Z$4:$Z$267,MATCH(Mortality!G$1&amp;$A$1&amp;$A23,'Raw data'!$K$4:$K$267&amp;'Raw data'!$L$2&amp;'Raw data'!$L$4:$L$267,0))),"")</f>
        <v>0</v>
      </c>
      <c r="H23" s="418"/>
      <c r="I23" s="432">
        <f t="array" ref="I23">IFERROR(INDEX(Map!$V$2:$V$67,MATCH(Mortality!$B23&amp;Mortality!$C23,Map!$W$2:$W$67&amp;Map!$X$2:$X$67,0)),"")</f>
        <v>61</v>
      </c>
      <c r="J23" s="418" t="str">
        <f>J15</f>
        <v>T2</v>
      </c>
      <c r="K23" s="418" t="s">
        <v>22</v>
      </c>
      <c r="L23" s="455">
        <f t="array" ref="L23">IFERROR(IF(L$1="","",INDEX('Raw data'!$AB$4:$AB$267,MATCH(Mortality!L$1&amp;$A$1&amp;$A23,'Raw data'!$K$4:$K$267&amp;'Raw data'!$L$2&amp;'Raw data'!$L$4:$L$267,0))),"")</f>
        <v>2</v>
      </c>
      <c r="M23" s="448">
        <f t="array" ref="M23">IFERROR(IF(M$1="","",INDEX('Raw data'!$AB$4:$AB$267,MATCH(Mortality!M$1&amp;$A$1&amp;$A23,'Raw data'!$K$4:$K$267&amp;'Raw data'!$L$2&amp;'Raw data'!$L$4:$L$267,0))),"")</f>
        <v>0</v>
      </c>
      <c r="N23" s="448">
        <f t="array" ref="N23">IFERROR(IF(N$1="","",INDEX('Raw data'!$AB$4:$AB$267,MATCH(Mortality!N$1&amp;$A$1&amp;$A23,'Raw data'!$K$4:$K$267&amp;'Raw data'!$L$2&amp;'Raw data'!$L$4:$L$267,0))),"")</f>
        <v>1</v>
      </c>
      <c r="O23" s="451">
        <f t="array" ref="O23">IFERROR(IF(O$1="","",INDEX('Raw data'!$AB$4:$AB$267,MATCH(Mortality!O$1&amp;$A$1&amp;$A23,'Raw data'!$K$4:$K$267&amp;'Raw data'!$L$2&amp;'Raw data'!$L$4:$L$267,0))),"")</f>
        <v>0</v>
      </c>
    </row>
    <row r="24" spans="1:15" s="417" customFormat="1" x14ac:dyDescent="0.25">
      <c r="A24" s="432">
        <f t="array" ref="A24">IFERROR(INDEX(Map!$V$2:$V$67,MATCH(Mortality!$B24&amp;Mortality!$C24,Map!$W$2:$W$67&amp;Map!$X$2:$X$67,0)),"")</f>
        <v>2</v>
      </c>
      <c r="B24" s="418" t="str">
        <f>B15</f>
        <v>T2</v>
      </c>
      <c r="C24" s="418" t="s">
        <v>101</v>
      </c>
      <c r="D24" s="455">
        <f t="array" ref="D24">IFERROR(IF(D$1="","",INDEX('Raw data'!$Z$4:$Z$267,MATCH(Mortality!D$1&amp;$A$1&amp;$A24,'Raw data'!$K$4:$K$267&amp;'Raw data'!$L$2&amp;'Raw data'!$L$4:$L$267,0))),"")</f>
        <v>0</v>
      </c>
      <c r="E24" s="448">
        <f t="array" ref="E24">IFERROR(IF(E$1="","",INDEX('Raw data'!$Z$4:$Z$267,MATCH(Mortality!E$1&amp;$A$1&amp;$A24,'Raw data'!$K$4:$K$267&amp;'Raw data'!$L$2&amp;'Raw data'!$L$4:$L$267,0))),"")</f>
        <v>0</v>
      </c>
      <c r="F24" s="448">
        <f t="array" ref="F24">IFERROR(IF(F$1="","",INDEX('Raw data'!$Z$4:$Z$267,MATCH(Mortality!F$1&amp;$A$1&amp;$A24,'Raw data'!$K$4:$K$267&amp;'Raw data'!$L$2&amp;'Raw data'!$L$4:$L$267,0))),"")</f>
        <v>0</v>
      </c>
      <c r="G24" s="451">
        <f t="array" ref="G24">IFERROR(IF(G$1="","",INDEX('Raw data'!$Z$4:$Z$267,MATCH(Mortality!G$1&amp;$A$1&amp;$A24,'Raw data'!$K$4:$K$267&amp;'Raw data'!$L$2&amp;'Raw data'!$L$4:$L$267,0))),"")</f>
        <v>1</v>
      </c>
      <c r="H24" s="418"/>
      <c r="I24" s="432">
        <f t="array" ref="I24">IFERROR(INDEX(Map!$V$2:$V$67,MATCH(Mortality!$B24&amp;Mortality!$C24,Map!$W$2:$W$67&amp;Map!$X$2:$X$67,0)),"")</f>
        <v>2</v>
      </c>
      <c r="J24" s="418" t="str">
        <f>J15</f>
        <v>T2</v>
      </c>
      <c r="K24" s="418" t="s">
        <v>101</v>
      </c>
      <c r="L24" s="455">
        <f t="array" ref="L24">IFERROR(IF(L$1="","",INDEX('Raw data'!$AB$4:$AB$267,MATCH(Mortality!L$1&amp;$A$1&amp;$A24,'Raw data'!$K$4:$K$267&amp;'Raw data'!$L$2&amp;'Raw data'!$L$4:$L$267,0))),"")</f>
        <v>0</v>
      </c>
      <c r="M24" s="448">
        <f t="array" ref="M24">IFERROR(IF(M$1="","",INDEX('Raw data'!$AB$4:$AB$267,MATCH(Mortality!M$1&amp;$A$1&amp;$A24,'Raw data'!$K$4:$K$267&amp;'Raw data'!$L$2&amp;'Raw data'!$L$4:$L$267,0))),"")</f>
        <v>0</v>
      </c>
      <c r="N24" s="448">
        <f t="array" ref="N24">IFERROR(IF(N$1="","",INDEX('Raw data'!$AB$4:$AB$267,MATCH(Mortality!N$1&amp;$A$1&amp;$A24,'Raw data'!$K$4:$K$267&amp;'Raw data'!$L$2&amp;'Raw data'!$L$4:$L$267,0))),"")</f>
        <v>1</v>
      </c>
      <c r="O24" s="451">
        <f t="array" ref="O24">IFERROR(IF(O$1="","",INDEX('Raw data'!$AB$4:$AB$267,MATCH(Mortality!O$1&amp;$A$1&amp;$A24,'Raw data'!$K$4:$K$267&amp;'Raw data'!$L$2&amp;'Raw data'!$L$4:$L$267,0))),"")</f>
        <v>0</v>
      </c>
    </row>
    <row r="25" spans="1:15" s="417" customFormat="1" x14ac:dyDescent="0.25">
      <c r="A25" s="446">
        <f t="array" ref="A25">IFERROR(INDEX(Map!$V$2:$V$67,MATCH(Mortality!$B25&amp;Mortality!$C25,Map!$W$2:$W$67&amp;Map!$X$2:$X$67,0)),"")</f>
        <v>21</v>
      </c>
      <c r="B25" s="418" t="str">
        <f>B15</f>
        <v>T2</v>
      </c>
      <c r="C25" s="418" t="s">
        <v>102</v>
      </c>
      <c r="D25" s="456">
        <f t="array" ref="D25">IFERROR(IF(D$1="","",INDEX('Raw data'!$Z$4:$Z$267,MATCH(Mortality!D$1&amp;$A$1&amp;$A25,'Raw data'!$K$4:$K$267&amp;'Raw data'!$L$2&amp;'Raw data'!$L$4:$L$267,0))),"")</f>
        <v>2</v>
      </c>
      <c r="E25" s="449">
        <f t="array" ref="E25">IFERROR(IF(E$1="","",INDEX('Raw data'!$Z$4:$Z$267,MATCH(Mortality!E$1&amp;$A$1&amp;$A25,'Raw data'!$K$4:$K$267&amp;'Raw data'!$L$2&amp;'Raw data'!$L$4:$L$267,0))),"")</f>
        <v>0</v>
      </c>
      <c r="F25" s="449">
        <f t="array" ref="F25">IFERROR(IF(F$1="","",INDEX('Raw data'!$Z$4:$Z$267,MATCH(Mortality!F$1&amp;$A$1&amp;$A25,'Raw data'!$K$4:$K$267&amp;'Raw data'!$L$2&amp;'Raw data'!$L$4:$L$267,0))),"")</f>
        <v>1</v>
      </c>
      <c r="G25" s="452">
        <f t="array" ref="G25">IFERROR(IF(G$1="","",INDEX('Raw data'!$Z$4:$Z$267,MATCH(Mortality!G$1&amp;$A$1&amp;$A25,'Raw data'!$K$4:$K$267&amp;'Raw data'!$L$2&amp;'Raw data'!$L$4:$L$267,0))),"")</f>
        <v>1</v>
      </c>
      <c r="H25" s="418"/>
      <c r="I25" s="446">
        <f t="array" ref="I25">IFERROR(INDEX(Map!$V$2:$V$67,MATCH(Mortality!$B25&amp;Mortality!$C25,Map!$W$2:$W$67&amp;Map!$X$2:$X$67,0)),"")</f>
        <v>21</v>
      </c>
      <c r="J25" s="418" t="str">
        <f>J15</f>
        <v>T2</v>
      </c>
      <c r="K25" s="418" t="s">
        <v>102</v>
      </c>
      <c r="L25" s="456">
        <f t="array" ref="L25">IFERROR(IF(L$1="","",INDEX('Raw data'!$AB$4:$AB$267,MATCH(Mortality!L$1&amp;$A$1&amp;$A25,'Raw data'!$K$4:$K$267&amp;'Raw data'!$L$2&amp;'Raw data'!$L$4:$L$267,0))),"")</f>
        <v>1</v>
      </c>
      <c r="M25" s="449">
        <f t="array" ref="M25">IFERROR(IF(M$1="","",INDEX('Raw data'!$AB$4:$AB$267,MATCH(Mortality!M$1&amp;$A$1&amp;$A25,'Raw data'!$K$4:$K$267&amp;'Raw data'!$L$2&amp;'Raw data'!$L$4:$L$267,0))),"")</f>
        <v>0</v>
      </c>
      <c r="N25" s="449">
        <f t="array" ref="N25">IFERROR(IF(N$1="","",INDEX('Raw data'!$AB$4:$AB$267,MATCH(Mortality!N$1&amp;$A$1&amp;$A25,'Raw data'!$K$4:$K$267&amp;'Raw data'!$L$2&amp;'Raw data'!$L$4:$L$267,0))),"")</f>
        <v>1</v>
      </c>
      <c r="O25" s="452">
        <f t="array" ref="O25">IFERROR(IF(O$1="","",INDEX('Raw data'!$AB$4:$AB$267,MATCH(Mortality!O$1&amp;$A$1&amp;$A25,'Raw data'!$K$4:$K$267&amp;'Raw data'!$L$2&amp;'Raw data'!$L$4:$L$267,0))),"")</f>
        <v>0</v>
      </c>
    </row>
    <row r="26" spans="1:15" s="417" customFormat="1" x14ac:dyDescent="0.25">
      <c r="A26" s="432"/>
      <c r="B26" s="565" t="s">
        <v>1</v>
      </c>
      <c r="C26" s="565"/>
      <c r="D26" s="457">
        <f>IF(D$1="","",(SUM(D15:D25)))</f>
        <v>7</v>
      </c>
      <c r="E26" s="458">
        <f>IF(E$1="","",(SUM(E15:E25)))</f>
        <v>0</v>
      </c>
      <c r="F26" s="458">
        <f>IF(F$1="","",(SUM(F15:F25)))</f>
        <v>2</v>
      </c>
      <c r="G26" s="459">
        <f>IF(G$1="","",(SUM(G15:G25)))</f>
        <v>6</v>
      </c>
      <c r="H26" s="418"/>
      <c r="I26" s="432"/>
      <c r="J26" s="565" t="s">
        <v>1</v>
      </c>
      <c r="K26" s="565"/>
      <c r="L26" s="457">
        <f>IF(L$1="","",(SUM(L15:L25)))</f>
        <v>6</v>
      </c>
      <c r="M26" s="458">
        <f>IF(M$1="","",(SUM(M15:M25)))</f>
        <v>1</v>
      </c>
      <c r="N26" s="458">
        <f>IF(N$1="","",(SUM(N15:N25)))</f>
        <v>11</v>
      </c>
      <c r="O26" s="459">
        <f>IF(O$1="","",(SUM(O15:O25)))</f>
        <v>0</v>
      </c>
    </row>
    <row r="27" spans="1:15" ht="15.75" thickBot="1" x14ac:dyDescent="0.3">
      <c r="A27" s="132"/>
      <c r="B27" s="567" t="s">
        <v>95</v>
      </c>
      <c r="C27" s="568"/>
      <c r="D27" s="359">
        <f>IF(D$1="","",Summary!B51)</f>
        <v>1.6166281755196306E-2</v>
      </c>
      <c r="E27" s="218">
        <f>IF(E$1="","",Summary!C51)</f>
        <v>0</v>
      </c>
      <c r="F27" s="218">
        <f>IF(F$1="","",Summary!D51)</f>
        <v>4.7169811320754715E-3</v>
      </c>
      <c r="G27" s="353">
        <f>IF(G$1="","",Summary!E51)</f>
        <v>1.4742014742014743E-2</v>
      </c>
      <c r="H27" s="24"/>
      <c r="I27" s="132"/>
      <c r="J27" s="567" t="s">
        <v>96</v>
      </c>
      <c r="K27" s="568"/>
      <c r="L27" s="359">
        <f>IF(L$1="","",Summary!I51)</f>
        <v>1.3824884792626729E-2</v>
      </c>
      <c r="M27" s="218">
        <f>IF(M$1="","",Summary!J51)</f>
        <v>2.3474178403755869E-3</v>
      </c>
      <c r="N27" s="218">
        <f>IF(N$1="","",Summary!K51)</f>
        <v>2.6506024096385541E-2</v>
      </c>
      <c r="O27" s="353">
        <f>IF(O$1="","",Summary!L51)</f>
        <v>0</v>
      </c>
    </row>
    <row r="28" spans="1:15" x14ac:dyDescent="0.25">
      <c r="A28" s="431">
        <f t="array" ref="A28">IFERROR(INDEX(Map!$V$2:$V$67,MATCH(Mortality!$B28&amp;Mortality!$C28,Map!$W$2:$W$67&amp;Map!$X$2:$X$67,0)),"")</f>
        <v>4</v>
      </c>
      <c r="B28" s="420" t="s">
        <v>12</v>
      </c>
      <c r="C28" s="420" t="s">
        <v>2</v>
      </c>
      <c r="D28" s="454">
        <f t="array" ref="D28">IFERROR(IF(D$1="","",INDEX('Raw data'!$Z$4:$Z$267,MATCH(Mortality!D$1&amp;$A$1&amp;$A28,'Raw data'!$K$4:$K$267&amp;'Raw data'!$L$2&amp;'Raw data'!$L$4:$L$267,0))),"")</f>
        <v>0</v>
      </c>
      <c r="E28" s="447">
        <f t="array" ref="E28">IFERROR(IF(E$1="","",INDEX('Raw data'!$Z$4:$Z$267,MATCH(Mortality!E$1&amp;$A$1&amp;$A28,'Raw data'!$K$4:$K$267&amp;'Raw data'!$L$2&amp;'Raw data'!$L$4:$L$267,0))),"")</f>
        <v>0</v>
      </c>
      <c r="F28" s="447">
        <f t="array" ref="F28">IFERROR(IF(F$1="","",INDEX('Raw data'!$Z$4:$Z$267,MATCH(Mortality!F$1&amp;$A$1&amp;$A28,'Raw data'!$K$4:$K$267&amp;'Raw data'!$L$2&amp;'Raw data'!$L$4:$L$267,0))),"")</f>
        <v>0</v>
      </c>
      <c r="G28" s="450">
        <f t="array" ref="G28">IFERROR(IF(G$1="","",INDEX('Raw data'!$Z$4:$Z$267,MATCH(Mortality!G$1&amp;$A$1&amp;$A28,'Raw data'!$K$4:$K$267&amp;'Raw data'!$L$2&amp;'Raw data'!$L$4:$L$267,0))),"")</f>
        <v>2</v>
      </c>
      <c r="H28" s="418"/>
      <c r="I28" s="431">
        <f t="array" ref="I28">IFERROR(INDEX(Map!$V$2:$V$67,MATCH(Mortality!$B28&amp;Mortality!$C28,Map!$W$2:$W$67&amp;Map!$X$2:$X$67,0)),"")</f>
        <v>4</v>
      </c>
      <c r="J28" s="420" t="s">
        <v>12</v>
      </c>
      <c r="K28" s="420" t="s">
        <v>2</v>
      </c>
      <c r="L28" s="454">
        <f t="array" ref="L28">IFERROR(IF(L$1="","",INDEX('Raw data'!$AB$4:$AB$267,MATCH(Mortality!L$1&amp;$A$1&amp;$A28,'Raw data'!$K$4:$K$267&amp;'Raw data'!$L$2&amp;'Raw data'!$L$4:$L$267,0))),"")</f>
        <v>1</v>
      </c>
      <c r="M28" s="447">
        <f t="array" ref="M28">IFERROR(IF(M$1="","",INDEX('Raw data'!$AB$4:$AB$267,MATCH(Mortality!M$1&amp;$A$1&amp;$A28,'Raw data'!$K$4:$K$267&amp;'Raw data'!$L$2&amp;'Raw data'!$L$4:$L$267,0))),"")</f>
        <v>0</v>
      </c>
      <c r="N28" s="447">
        <f t="array" ref="N28">IFERROR(IF(N$1="","",INDEX('Raw data'!$AB$4:$AB$267,MATCH(Mortality!N$1&amp;$A$1&amp;$A28,'Raw data'!$K$4:$K$267&amp;'Raw data'!$L$2&amp;'Raw data'!$L$4:$L$267,0))),"")</f>
        <v>0</v>
      </c>
      <c r="O28" s="450">
        <f t="array" ref="O28">IFERROR(IF(O$1="","",INDEX('Raw data'!$AB$4:$AB$267,MATCH(Mortality!O$1&amp;$A$1&amp;$A28,'Raw data'!$K$4:$K$267&amp;'Raw data'!$L$2&amp;'Raw data'!$L$4:$L$267,0))),"")</f>
        <v>0</v>
      </c>
    </row>
    <row r="29" spans="1:15" x14ac:dyDescent="0.25">
      <c r="A29" s="432">
        <f t="array" ref="A29">IFERROR(INDEX(Map!$V$2:$V$67,MATCH(Mortality!$B29&amp;Mortality!$C29,Map!$W$2:$W$67&amp;Map!$X$2:$X$67,0)),"")</f>
        <v>13</v>
      </c>
      <c r="B29" s="418" t="str">
        <f>B28</f>
        <v>T3</v>
      </c>
      <c r="C29" s="418" t="s">
        <v>3</v>
      </c>
      <c r="D29" s="455">
        <f t="array" ref="D29">IFERROR(IF(D$1="","",INDEX('Raw data'!$Z$4:$Z$267,MATCH(Mortality!D$1&amp;$A$1&amp;$A29,'Raw data'!$K$4:$K$267&amp;'Raw data'!$L$2&amp;'Raw data'!$L$4:$L$267,0))),"")</f>
        <v>0</v>
      </c>
      <c r="E29" s="448">
        <f t="array" ref="E29">IFERROR(IF(E$1="","",INDEX('Raw data'!$Z$4:$Z$267,MATCH(Mortality!E$1&amp;$A$1&amp;$A29,'Raw data'!$K$4:$K$267&amp;'Raw data'!$L$2&amp;'Raw data'!$L$4:$L$267,0))),"")</f>
        <v>1</v>
      </c>
      <c r="F29" s="448">
        <f t="array" ref="F29">IFERROR(IF(F$1="","",INDEX('Raw data'!$Z$4:$Z$267,MATCH(Mortality!F$1&amp;$A$1&amp;$A29,'Raw data'!$K$4:$K$267&amp;'Raw data'!$L$2&amp;'Raw data'!$L$4:$L$267,0))),"")</f>
        <v>0</v>
      </c>
      <c r="G29" s="451">
        <f t="array" ref="G29">IFERROR(IF(G$1="","",INDEX('Raw data'!$Z$4:$Z$267,MATCH(Mortality!G$1&amp;$A$1&amp;$A29,'Raw data'!$K$4:$K$267&amp;'Raw data'!$L$2&amp;'Raw data'!$L$4:$L$267,0))),"")</f>
        <v>0</v>
      </c>
      <c r="H29" s="418"/>
      <c r="I29" s="432">
        <f t="array" ref="I29">IFERROR(INDEX(Map!$V$2:$V$67,MATCH(Mortality!$B29&amp;Mortality!$C29,Map!$W$2:$W$67&amp;Map!$X$2:$X$67,0)),"")</f>
        <v>13</v>
      </c>
      <c r="J29" s="418" t="str">
        <f>J28</f>
        <v>T3</v>
      </c>
      <c r="K29" s="418" t="s">
        <v>3</v>
      </c>
      <c r="L29" s="455">
        <f t="array" ref="L29">IFERROR(IF(L$1="","",INDEX('Raw data'!$AB$4:$AB$267,MATCH(Mortality!L$1&amp;$A$1&amp;$A29,'Raw data'!$K$4:$K$267&amp;'Raw data'!$L$2&amp;'Raw data'!$L$4:$L$267,0))),"")</f>
        <v>1</v>
      </c>
      <c r="M29" s="448">
        <f t="array" ref="M29">IFERROR(IF(M$1="","",INDEX('Raw data'!$AB$4:$AB$267,MATCH(Mortality!M$1&amp;$A$1&amp;$A29,'Raw data'!$K$4:$K$267&amp;'Raw data'!$L$2&amp;'Raw data'!$L$4:$L$267,0))),"")</f>
        <v>0</v>
      </c>
      <c r="N29" s="448">
        <f t="array" ref="N29">IFERROR(IF(N$1="","",INDEX('Raw data'!$AB$4:$AB$267,MATCH(Mortality!N$1&amp;$A$1&amp;$A29,'Raw data'!$K$4:$K$267&amp;'Raw data'!$L$2&amp;'Raw data'!$L$4:$L$267,0))),"")</f>
        <v>0</v>
      </c>
      <c r="O29" s="451">
        <f t="array" ref="O29">IFERROR(IF(O$1="","",INDEX('Raw data'!$AB$4:$AB$267,MATCH(Mortality!O$1&amp;$A$1&amp;$A29,'Raw data'!$K$4:$K$267&amp;'Raw data'!$L$2&amp;'Raw data'!$L$4:$L$267,0))),"")</f>
        <v>0</v>
      </c>
    </row>
    <row r="30" spans="1:15" x14ac:dyDescent="0.25">
      <c r="A30" s="432">
        <f t="array" ref="A30">IFERROR(INDEX(Map!$V$2:$V$67,MATCH(Mortality!$B30&amp;Mortality!$C30,Map!$W$2:$W$67&amp;Map!$X$2:$X$67,0)),"")</f>
        <v>19</v>
      </c>
      <c r="B30" s="418" t="str">
        <f>B28</f>
        <v>T3</v>
      </c>
      <c r="C30" s="418" t="s">
        <v>4</v>
      </c>
      <c r="D30" s="455">
        <f t="array" ref="D30">IFERROR(IF(D$1="","",INDEX('Raw data'!$Z$4:$Z$267,MATCH(Mortality!D$1&amp;$A$1&amp;$A30,'Raw data'!$K$4:$K$267&amp;'Raw data'!$L$2&amp;'Raw data'!$L$4:$L$267,0))),"")</f>
        <v>1</v>
      </c>
      <c r="E30" s="448">
        <f t="array" ref="E30">IFERROR(IF(E$1="","",INDEX('Raw data'!$Z$4:$Z$267,MATCH(Mortality!E$1&amp;$A$1&amp;$A30,'Raw data'!$K$4:$K$267&amp;'Raw data'!$L$2&amp;'Raw data'!$L$4:$L$267,0))),"")</f>
        <v>1</v>
      </c>
      <c r="F30" s="448">
        <f t="array" ref="F30">IFERROR(IF(F$1="","",INDEX('Raw data'!$Z$4:$Z$267,MATCH(Mortality!F$1&amp;$A$1&amp;$A30,'Raw data'!$K$4:$K$267&amp;'Raw data'!$L$2&amp;'Raw data'!$L$4:$L$267,0))),"")</f>
        <v>0</v>
      </c>
      <c r="G30" s="451">
        <f t="array" ref="G30">IFERROR(IF(G$1="","",INDEX('Raw data'!$Z$4:$Z$267,MATCH(Mortality!G$1&amp;$A$1&amp;$A30,'Raw data'!$K$4:$K$267&amp;'Raw data'!$L$2&amp;'Raw data'!$L$4:$L$267,0))),"")</f>
        <v>0</v>
      </c>
      <c r="H30" s="418"/>
      <c r="I30" s="432">
        <f t="array" ref="I30">IFERROR(INDEX(Map!$V$2:$V$67,MATCH(Mortality!$B30&amp;Mortality!$C30,Map!$W$2:$W$67&amp;Map!$X$2:$X$67,0)),"")</f>
        <v>19</v>
      </c>
      <c r="J30" s="418" t="str">
        <f>J28</f>
        <v>T3</v>
      </c>
      <c r="K30" s="418" t="s">
        <v>4</v>
      </c>
      <c r="L30" s="455">
        <f t="array" ref="L30">IFERROR(IF(L$1="","",INDEX('Raw data'!$AB$4:$AB$267,MATCH(Mortality!L$1&amp;$A$1&amp;$A30,'Raw data'!$K$4:$K$267&amp;'Raw data'!$L$2&amp;'Raw data'!$L$4:$L$267,0))),"")</f>
        <v>3</v>
      </c>
      <c r="M30" s="448">
        <f t="array" ref="M30">IFERROR(IF(M$1="","",INDEX('Raw data'!$AB$4:$AB$267,MATCH(Mortality!M$1&amp;$A$1&amp;$A30,'Raw data'!$K$4:$K$267&amp;'Raw data'!$L$2&amp;'Raw data'!$L$4:$L$267,0))),"")</f>
        <v>1</v>
      </c>
      <c r="N30" s="448">
        <f t="array" ref="N30">IFERROR(IF(N$1="","",INDEX('Raw data'!$AB$4:$AB$267,MATCH(Mortality!N$1&amp;$A$1&amp;$A30,'Raw data'!$K$4:$K$267&amp;'Raw data'!$L$2&amp;'Raw data'!$L$4:$L$267,0))),"")</f>
        <v>0</v>
      </c>
      <c r="O30" s="451">
        <f t="array" ref="O30">IFERROR(IF(O$1="","",INDEX('Raw data'!$AB$4:$AB$267,MATCH(Mortality!O$1&amp;$A$1&amp;$A30,'Raw data'!$K$4:$K$267&amp;'Raw data'!$L$2&amp;'Raw data'!$L$4:$L$267,0))),"")</f>
        <v>0</v>
      </c>
    </row>
    <row r="31" spans="1:15" x14ac:dyDescent="0.25">
      <c r="A31" s="432">
        <f t="array" ref="A31">IFERROR(INDEX(Map!$V$2:$V$67,MATCH(Mortality!$B31&amp;Mortality!$C31,Map!$W$2:$W$67&amp;Map!$X$2:$X$67,0)),"")</f>
        <v>26</v>
      </c>
      <c r="B31" s="418" t="str">
        <f>B28</f>
        <v>T3</v>
      </c>
      <c r="C31" s="418" t="s">
        <v>5</v>
      </c>
      <c r="D31" s="455">
        <f t="array" ref="D31">IFERROR(IF(D$1="","",INDEX('Raw data'!$Z$4:$Z$267,MATCH(Mortality!D$1&amp;$A$1&amp;$A31,'Raw data'!$K$4:$K$267&amp;'Raw data'!$L$2&amp;'Raw data'!$L$4:$L$267,0))),"")</f>
        <v>0</v>
      </c>
      <c r="E31" s="448">
        <f t="array" ref="E31">IFERROR(IF(E$1="","",INDEX('Raw data'!$Z$4:$Z$267,MATCH(Mortality!E$1&amp;$A$1&amp;$A31,'Raw data'!$K$4:$K$267&amp;'Raw data'!$L$2&amp;'Raw data'!$L$4:$L$267,0))),"")</f>
        <v>0</v>
      </c>
      <c r="F31" s="448">
        <f t="array" ref="F31">IFERROR(IF(F$1="","",INDEX('Raw data'!$Z$4:$Z$267,MATCH(Mortality!F$1&amp;$A$1&amp;$A31,'Raw data'!$K$4:$K$267&amp;'Raw data'!$L$2&amp;'Raw data'!$L$4:$L$267,0))),"")</f>
        <v>0</v>
      </c>
      <c r="G31" s="451">
        <f t="array" ref="G31">IFERROR(IF(G$1="","",INDEX('Raw data'!$Z$4:$Z$267,MATCH(Mortality!G$1&amp;$A$1&amp;$A31,'Raw data'!$K$4:$K$267&amp;'Raw data'!$L$2&amp;'Raw data'!$L$4:$L$267,0))),"")</f>
        <v>0</v>
      </c>
      <c r="H31" s="418"/>
      <c r="I31" s="432">
        <f t="array" ref="I31">IFERROR(INDEX(Map!$V$2:$V$67,MATCH(Mortality!$B31&amp;Mortality!$C31,Map!$W$2:$W$67&amp;Map!$X$2:$X$67,0)),"")</f>
        <v>26</v>
      </c>
      <c r="J31" s="418" t="str">
        <f>J28</f>
        <v>T3</v>
      </c>
      <c r="K31" s="418" t="s">
        <v>5</v>
      </c>
      <c r="L31" s="455">
        <f t="array" ref="L31">IFERROR(IF(L$1="","",INDEX('Raw data'!$AB$4:$AB$267,MATCH(Mortality!L$1&amp;$A$1&amp;$A31,'Raw data'!$K$4:$K$267&amp;'Raw data'!$L$2&amp;'Raw data'!$L$4:$L$267,0))),"")</f>
        <v>1</v>
      </c>
      <c r="M31" s="448">
        <f t="array" ref="M31">IFERROR(IF(M$1="","",INDEX('Raw data'!$AB$4:$AB$267,MATCH(Mortality!M$1&amp;$A$1&amp;$A31,'Raw data'!$K$4:$K$267&amp;'Raw data'!$L$2&amp;'Raw data'!$L$4:$L$267,0))),"")</f>
        <v>0</v>
      </c>
      <c r="N31" s="448">
        <f t="array" ref="N31">IFERROR(IF(N$1="","",INDEX('Raw data'!$AB$4:$AB$267,MATCH(Mortality!N$1&amp;$A$1&amp;$A31,'Raw data'!$K$4:$K$267&amp;'Raw data'!$L$2&amp;'Raw data'!$L$4:$L$267,0))),"")</f>
        <v>0</v>
      </c>
      <c r="O31" s="451">
        <f t="array" ref="O31">IFERROR(IF(O$1="","",INDEX('Raw data'!$AB$4:$AB$267,MATCH(Mortality!O$1&amp;$A$1&amp;$A31,'Raw data'!$K$4:$K$267&amp;'Raw data'!$L$2&amp;'Raw data'!$L$4:$L$267,0))),"")</f>
        <v>0</v>
      </c>
    </row>
    <row r="32" spans="1:15" x14ac:dyDescent="0.25">
      <c r="A32" s="432">
        <f t="array" ref="A32">IFERROR(INDEX(Map!$V$2:$V$67,MATCH(Mortality!$B32&amp;Mortality!$C32,Map!$W$2:$W$67&amp;Map!$X$2:$X$67,0)),"")</f>
        <v>33</v>
      </c>
      <c r="B32" s="418" t="str">
        <f>B28</f>
        <v>T3</v>
      </c>
      <c r="C32" s="418" t="s">
        <v>6</v>
      </c>
      <c r="D32" s="455">
        <f t="array" ref="D32">IFERROR(IF(D$1="","",INDEX('Raw data'!$Z$4:$Z$267,MATCH(Mortality!D$1&amp;$A$1&amp;$A32,'Raw data'!$K$4:$K$267&amp;'Raw data'!$L$2&amp;'Raw data'!$L$4:$L$267,0))),"")</f>
        <v>0</v>
      </c>
      <c r="E32" s="448">
        <f t="array" ref="E32">IFERROR(IF(E$1="","",INDEX('Raw data'!$Z$4:$Z$267,MATCH(Mortality!E$1&amp;$A$1&amp;$A32,'Raw data'!$K$4:$K$267&amp;'Raw data'!$L$2&amp;'Raw data'!$L$4:$L$267,0))),"")</f>
        <v>0</v>
      </c>
      <c r="F32" s="448">
        <f t="array" ref="F32">IFERROR(IF(F$1="","",INDEX('Raw data'!$Z$4:$Z$267,MATCH(Mortality!F$1&amp;$A$1&amp;$A32,'Raw data'!$K$4:$K$267&amp;'Raw data'!$L$2&amp;'Raw data'!$L$4:$L$267,0))),"")</f>
        <v>0</v>
      </c>
      <c r="G32" s="451">
        <f t="array" ref="G32">IFERROR(IF(G$1="","",INDEX('Raw data'!$Z$4:$Z$267,MATCH(Mortality!G$1&amp;$A$1&amp;$A32,'Raw data'!$K$4:$K$267&amp;'Raw data'!$L$2&amp;'Raw data'!$L$4:$L$267,0))),"")</f>
        <v>0</v>
      </c>
      <c r="H32" s="418"/>
      <c r="I32" s="432">
        <f t="array" ref="I32">IFERROR(INDEX(Map!$V$2:$V$67,MATCH(Mortality!$B32&amp;Mortality!$C32,Map!$W$2:$W$67&amp;Map!$X$2:$X$67,0)),"")</f>
        <v>33</v>
      </c>
      <c r="J32" s="418" t="str">
        <f>J28</f>
        <v>T3</v>
      </c>
      <c r="K32" s="418" t="s">
        <v>6</v>
      </c>
      <c r="L32" s="455">
        <f t="array" ref="L32">IFERROR(IF(L$1="","",INDEX('Raw data'!$AB$4:$AB$267,MATCH(Mortality!L$1&amp;$A$1&amp;$A32,'Raw data'!$K$4:$K$267&amp;'Raw data'!$L$2&amp;'Raw data'!$L$4:$L$267,0))),"")</f>
        <v>0</v>
      </c>
      <c r="M32" s="448">
        <f t="array" ref="M32">IFERROR(IF(M$1="","",INDEX('Raw data'!$AB$4:$AB$267,MATCH(Mortality!M$1&amp;$A$1&amp;$A32,'Raw data'!$K$4:$K$267&amp;'Raw data'!$L$2&amp;'Raw data'!$L$4:$L$267,0))),"")</f>
        <v>0</v>
      </c>
      <c r="N32" s="448">
        <f t="array" ref="N32">IFERROR(IF(N$1="","",INDEX('Raw data'!$AB$4:$AB$267,MATCH(Mortality!N$1&amp;$A$1&amp;$A32,'Raw data'!$K$4:$K$267&amp;'Raw data'!$L$2&amp;'Raw data'!$L$4:$L$267,0))),"")</f>
        <v>0</v>
      </c>
      <c r="O32" s="451">
        <f t="array" ref="O32">IFERROR(IF(O$1="","",INDEX('Raw data'!$AB$4:$AB$267,MATCH(Mortality!O$1&amp;$A$1&amp;$A32,'Raw data'!$K$4:$K$267&amp;'Raw data'!$L$2&amp;'Raw data'!$L$4:$L$267,0))),"")</f>
        <v>0</v>
      </c>
    </row>
    <row r="33" spans="1:15" x14ac:dyDescent="0.25">
      <c r="A33" s="432">
        <f t="array" ref="A33">IFERROR(INDEX(Map!$V$2:$V$67,MATCH(Mortality!$B33&amp;Mortality!$C33,Map!$W$2:$W$67&amp;Map!$X$2:$X$67,0)),"")</f>
        <v>40</v>
      </c>
      <c r="B33" s="418" t="str">
        <f>B28</f>
        <v>T3</v>
      </c>
      <c r="C33" s="418" t="s">
        <v>7</v>
      </c>
      <c r="D33" s="455">
        <f t="array" ref="D33">IFERROR(IF(D$1="","",INDEX('Raw data'!$Z$4:$Z$267,MATCH(Mortality!D$1&amp;$A$1&amp;$A33,'Raw data'!$K$4:$K$267&amp;'Raw data'!$L$2&amp;'Raw data'!$L$4:$L$267,0))),"")</f>
        <v>0</v>
      </c>
      <c r="E33" s="448">
        <f t="array" ref="E33">IFERROR(IF(E$1="","",INDEX('Raw data'!$Z$4:$Z$267,MATCH(Mortality!E$1&amp;$A$1&amp;$A33,'Raw data'!$K$4:$K$267&amp;'Raw data'!$L$2&amp;'Raw data'!$L$4:$L$267,0))),"")</f>
        <v>0</v>
      </c>
      <c r="F33" s="448">
        <f t="array" ref="F33">IFERROR(IF(F$1="","",INDEX('Raw data'!$Z$4:$Z$267,MATCH(Mortality!F$1&amp;$A$1&amp;$A33,'Raw data'!$K$4:$K$267&amp;'Raw data'!$L$2&amp;'Raw data'!$L$4:$L$267,0))),"")</f>
        <v>0</v>
      </c>
      <c r="G33" s="451">
        <f t="array" ref="G33">IFERROR(IF(G$1="","",INDEX('Raw data'!$Z$4:$Z$267,MATCH(Mortality!G$1&amp;$A$1&amp;$A33,'Raw data'!$K$4:$K$267&amp;'Raw data'!$L$2&amp;'Raw data'!$L$4:$L$267,0))),"")</f>
        <v>0</v>
      </c>
      <c r="H33" s="418"/>
      <c r="I33" s="432">
        <f t="array" ref="I33">IFERROR(INDEX(Map!$V$2:$V$67,MATCH(Mortality!$B33&amp;Mortality!$C33,Map!$W$2:$W$67&amp;Map!$X$2:$X$67,0)),"")</f>
        <v>40</v>
      </c>
      <c r="J33" s="418" t="str">
        <f>J28</f>
        <v>T3</v>
      </c>
      <c r="K33" s="418" t="s">
        <v>7</v>
      </c>
      <c r="L33" s="455">
        <f t="array" ref="L33">IFERROR(IF(L$1="","",INDEX('Raw data'!$AB$4:$AB$267,MATCH(Mortality!L$1&amp;$A$1&amp;$A33,'Raw data'!$K$4:$K$267&amp;'Raw data'!$L$2&amp;'Raw data'!$L$4:$L$267,0))),"")</f>
        <v>0</v>
      </c>
      <c r="M33" s="448">
        <f t="array" ref="M33">IFERROR(IF(M$1="","",INDEX('Raw data'!$AB$4:$AB$267,MATCH(Mortality!M$1&amp;$A$1&amp;$A33,'Raw data'!$K$4:$K$267&amp;'Raw data'!$L$2&amp;'Raw data'!$L$4:$L$267,0))),"")</f>
        <v>0</v>
      </c>
      <c r="N33" s="448">
        <f t="array" ref="N33">IFERROR(IF(N$1="","",INDEX('Raw data'!$AB$4:$AB$267,MATCH(Mortality!N$1&amp;$A$1&amp;$A33,'Raw data'!$K$4:$K$267&amp;'Raw data'!$L$2&amp;'Raw data'!$L$4:$L$267,0))),"")</f>
        <v>0</v>
      </c>
      <c r="O33" s="451">
        <f t="array" ref="O33">IFERROR(IF(O$1="","",INDEX('Raw data'!$AB$4:$AB$267,MATCH(Mortality!O$1&amp;$A$1&amp;$A33,'Raw data'!$K$4:$K$267&amp;'Raw data'!$L$2&amp;'Raw data'!$L$4:$L$267,0))),"")</f>
        <v>0</v>
      </c>
    </row>
    <row r="34" spans="1:15" x14ac:dyDescent="0.25">
      <c r="A34" s="432">
        <f t="array" ref="A34">IFERROR(INDEX(Map!$V$2:$V$67,MATCH(Mortality!$B34&amp;Mortality!$C34,Map!$W$2:$W$67&amp;Map!$X$2:$X$67,0)),"")</f>
        <v>51</v>
      </c>
      <c r="B34" s="418" t="str">
        <f>B28</f>
        <v>T3</v>
      </c>
      <c r="C34" s="418" t="s">
        <v>8</v>
      </c>
      <c r="D34" s="455">
        <f t="array" ref="D34">IFERROR(IF(D$1="","",INDEX('Raw data'!$Z$4:$Z$267,MATCH(Mortality!D$1&amp;$A$1&amp;$A34,'Raw data'!$K$4:$K$267&amp;'Raw data'!$L$2&amp;'Raw data'!$L$4:$L$267,0))),"")</f>
        <v>0</v>
      </c>
      <c r="E34" s="448">
        <f t="array" ref="E34">IFERROR(IF(E$1="","",INDEX('Raw data'!$Z$4:$Z$267,MATCH(Mortality!E$1&amp;$A$1&amp;$A34,'Raw data'!$K$4:$K$267&amp;'Raw data'!$L$2&amp;'Raw data'!$L$4:$L$267,0))),"")</f>
        <v>0</v>
      </c>
      <c r="F34" s="448">
        <f t="array" ref="F34">IFERROR(IF(F$1="","",INDEX('Raw data'!$Z$4:$Z$267,MATCH(Mortality!F$1&amp;$A$1&amp;$A34,'Raw data'!$K$4:$K$267&amp;'Raw data'!$L$2&amp;'Raw data'!$L$4:$L$267,0))),"")</f>
        <v>0</v>
      </c>
      <c r="G34" s="451">
        <f t="array" ref="G34">IFERROR(IF(G$1="","",INDEX('Raw data'!$Z$4:$Z$267,MATCH(Mortality!G$1&amp;$A$1&amp;$A34,'Raw data'!$K$4:$K$267&amp;'Raw data'!$L$2&amp;'Raw data'!$L$4:$L$267,0))),"")</f>
        <v>1</v>
      </c>
      <c r="H34" s="418"/>
      <c r="I34" s="432">
        <f t="array" ref="I34">IFERROR(INDEX(Map!$V$2:$V$67,MATCH(Mortality!$B34&amp;Mortality!$C34,Map!$W$2:$W$67&amp;Map!$X$2:$X$67,0)),"")</f>
        <v>51</v>
      </c>
      <c r="J34" s="418" t="str">
        <f>J28</f>
        <v>T3</v>
      </c>
      <c r="K34" s="418" t="s">
        <v>8</v>
      </c>
      <c r="L34" s="455">
        <f t="array" ref="L34">IFERROR(IF(L$1="","",INDEX('Raw data'!$AB$4:$AB$267,MATCH(Mortality!L$1&amp;$A$1&amp;$A34,'Raw data'!$K$4:$K$267&amp;'Raw data'!$L$2&amp;'Raw data'!$L$4:$L$267,0))),"")</f>
        <v>0</v>
      </c>
      <c r="M34" s="448">
        <f t="array" ref="M34">IFERROR(IF(M$1="","",INDEX('Raw data'!$AB$4:$AB$267,MATCH(Mortality!M$1&amp;$A$1&amp;$A34,'Raw data'!$K$4:$K$267&amp;'Raw data'!$L$2&amp;'Raw data'!$L$4:$L$267,0))),"")</f>
        <v>0</v>
      </c>
      <c r="N34" s="448">
        <f t="array" ref="N34">IFERROR(IF(N$1="","",INDEX('Raw data'!$AB$4:$AB$267,MATCH(Mortality!N$1&amp;$A$1&amp;$A34,'Raw data'!$K$4:$K$267&amp;'Raw data'!$L$2&amp;'Raw data'!$L$4:$L$267,0))),"")</f>
        <v>0</v>
      </c>
      <c r="O34" s="451">
        <f t="array" ref="O34">IFERROR(IF(O$1="","",INDEX('Raw data'!$AB$4:$AB$267,MATCH(Mortality!O$1&amp;$A$1&amp;$A34,'Raw data'!$K$4:$K$267&amp;'Raw data'!$L$2&amp;'Raw data'!$L$4:$L$267,0))),"")</f>
        <v>0</v>
      </c>
    </row>
    <row r="35" spans="1:15" x14ac:dyDescent="0.25">
      <c r="A35" s="432">
        <f t="array" ref="A35">IFERROR(INDEX(Map!$V$2:$V$67,MATCH(Mortality!$B35&amp;Mortality!$C35,Map!$W$2:$W$67&amp;Map!$X$2:$X$67,0)),"")</f>
        <v>56</v>
      </c>
      <c r="B35" s="418" t="str">
        <f>B28</f>
        <v>T3</v>
      </c>
      <c r="C35" s="418" t="s">
        <v>9</v>
      </c>
      <c r="D35" s="455">
        <f t="array" ref="D35">IFERROR(IF(D$1="","",INDEX('Raw data'!$Z$4:$Z$267,MATCH(Mortality!D$1&amp;$A$1&amp;$A35,'Raw data'!$K$4:$K$267&amp;'Raw data'!$L$2&amp;'Raw data'!$L$4:$L$267,0))),"")</f>
        <v>0</v>
      </c>
      <c r="E35" s="448">
        <f t="array" ref="E35">IFERROR(IF(E$1="","",INDEX('Raw data'!$Z$4:$Z$267,MATCH(Mortality!E$1&amp;$A$1&amp;$A35,'Raw data'!$K$4:$K$267&amp;'Raw data'!$L$2&amp;'Raw data'!$L$4:$L$267,0))),"")</f>
        <v>0</v>
      </c>
      <c r="F35" s="448">
        <f t="array" ref="F35">IFERROR(IF(F$1="","",INDEX('Raw data'!$Z$4:$Z$267,MATCH(Mortality!F$1&amp;$A$1&amp;$A35,'Raw data'!$K$4:$K$267&amp;'Raw data'!$L$2&amp;'Raw data'!$L$4:$L$267,0))),"")</f>
        <v>0</v>
      </c>
      <c r="G35" s="451">
        <f t="array" ref="G35">IFERROR(IF(G$1="","",INDEX('Raw data'!$Z$4:$Z$267,MATCH(Mortality!G$1&amp;$A$1&amp;$A35,'Raw data'!$K$4:$K$267&amp;'Raw data'!$L$2&amp;'Raw data'!$L$4:$L$267,0))),"")</f>
        <v>1</v>
      </c>
      <c r="H35" s="418"/>
      <c r="I35" s="432">
        <f t="array" ref="I35">IFERROR(INDEX(Map!$V$2:$V$67,MATCH(Mortality!$B35&amp;Mortality!$C35,Map!$W$2:$W$67&amp;Map!$X$2:$X$67,0)),"")</f>
        <v>56</v>
      </c>
      <c r="J35" s="418" t="str">
        <f>J28</f>
        <v>T3</v>
      </c>
      <c r="K35" s="418" t="s">
        <v>9</v>
      </c>
      <c r="L35" s="455">
        <f t="array" ref="L35">IFERROR(IF(L$1="","",INDEX('Raw data'!$AB$4:$AB$267,MATCH(Mortality!L$1&amp;$A$1&amp;$A35,'Raw data'!$K$4:$K$267&amp;'Raw data'!$L$2&amp;'Raw data'!$L$4:$L$267,0))),"")</f>
        <v>1</v>
      </c>
      <c r="M35" s="448">
        <f t="array" ref="M35">IFERROR(IF(M$1="","",INDEX('Raw data'!$AB$4:$AB$267,MATCH(Mortality!M$1&amp;$A$1&amp;$A35,'Raw data'!$K$4:$K$267&amp;'Raw data'!$L$2&amp;'Raw data'!$L$4:$L$267,0))),"")</f>
        <v>1</v>
      </c>
      <c r="N35" s="448">
        <f t="array" ref="N35">IFERROR(IF(N$1="","",INDEX('Raw data'!$AB$4:$AB$267,MATCH(Mortality!N$1&amp;$A$1&amp;$A35,'Raw data'!$K$4:$K$267&amp;'Raw data'!$L$2&amp;'Raw data'!$L$4:$L$267,0))),"")</f>
        <v>0</v>
      </c>
      <c r="O35" s="451">
        <f t="array" ref="O35">IFERROR(IF(O$1="","",INDEX('Raw data'!$AB$4:$AB$267,MATCH(Mortality!O$1&amp;$A$1&amp;$A35,'Raw data'!$K$4:$K$267&amp;'Raw data'!$L$2&amp;'Raw data'!$L$4:$L$267,0))),"")</f>
        <v>0</v>
      </c>
    </row>
    <row r="36" spans="1:15" x14ac:dyDescent="0.25">
      <c r="A36" s="432">
        <f t="array" ref="A36">IFERROR(INDEX(Map!$V$2:$V$67,MATCH(Mortality!$B36&amp;Mortality!$C36,Map!$W$2:$W$67&amp;Map!$X$2:$X$67,0)),"")</f>
        <v>59</v>
      </c>
      <c r="B36" s="418" t="str">
        <f>B28</f>
        <v>T3</v>
      </c>
      <c r="C36" s="418" t="s">
        <v>22</v>
      </c>
      <c r="D36" s="455">
        <f t="array" ref="D36">IFERROR(IF(D$1="","",INDEX('Raw data'!$Z$4:$Z$267,MATCH(Mortality!D$1&amp;$A$1&amp;$A36,'Raw data'!$K$4:$K$267&amp;'Raw data'!$L$2&amp;'Raw data'!$L$4:$L$267,0))),"")</f>
        <v>0</v>
      </c>
      <c r="E36" s="448">
        <f t="array" ref="E36">IFERROR(IF(E$1="","",INDEX('Raw data'!$Z$4:$Z$267,MATCH(Mortality!E$1&amp;$A$1&amp;$A36,'Raw data'!$K$4:$K$267&amp;'Raw data'!$L$2&amp;'Raw data'!$L$4:$L$267,0))),"")</f>
        <v>0</v>
      </c>
      <c r="F36" s="448">
        <f t="array" ref="F36">IFERROR(IF(F$1="","",INDEX('Raw data'!$Z$4:$Z$267,MATCH(Mortality!F$1&amp;$A$1&amp;$A36,'Raw data'!$K$4:$K$267&amp;'Raw data'!$L$2&amp;'Raw data'!$L$4:$L$267,0))),"")</f>
        <v>0</v>
      </c>
      <c r="G36" s="451">
        <f t="array" ref="G36">IFERROR(IF(G$1="","",INDEX('Raw data'!$Z$4:$Z$267,MATCH(Mortality!G$1&amp;$A$1&amp;$A36,'Raw data'!$K$4:$K$267&amp;'Raw data'!$L$2&amp;'Raw data'!$L$4:$L$267,0))),"")</f>
        <v>0</v>
      </c>
      <c r="H36" s="418"/>
      <c r="I36" s="432">
        <f t="array" ref="I36">IFERROR(INDEX(Map!$V$2:$V$67,MATCH(Mortality!$B36&amp;Mortality!$C36,Map!$W$2:$W$67&amp;Map!$X$2:$X$67,0)),"")</f>
        <v>59</v>
      </c>
      <c r="J36" s="418" t="str">
        <f>J28</f>
        <v>T3</v>
      </c>
      <c r="K36" s="418" t="s">
        <v>22</v>
      </c>
      <c r="L36" s="455">
        <f t="array" ref="L36">IFERROR(IF(L$1="","",INDEX('Raw data'!$AB$4:$AB$267,MATCH(Mortality!L$1&amp;$A$1&amp;$A36,'Raw data'!$K$4:$K$267&amp;'Raw data'!$L$2&amp;'Raw data'!$L$4:$L$267,0))),"")</f>
        <v>0</v>
      </c>
      <c r="M36" s="448">
        <f t="array" ref="M36">IFERROR(IF(M$1="","",INDEX('Raw data'!$AB$4:$AB$267,MATCH(Mortality!M$1&amp;$A$1&amp;$A36,'Raw data'!$K$4:$K$267&amp;'Raw data'!$L$2&amp;'Raw data'!$L$4:$L$267,0))),"")</f>
        <v>0</v>
      </c>
      <c r="N36" s="448">
        <f t="array" ref="N36">IFERROR(IF(N$1="","",INDEX('Raw data'!$AB$4:$AB$267,MATCH(Mortality!N$1&amp;$A$1&amp;$A36,'Raw data'!$K$4:$K$267&amp;'Raw data'!$L$2&amp;'Raw data'!$L$4:$L$267,0))),"")</f>
        <v>0</v>
      </c>
      <c r="O36" s="451">
        <f t="array" ref="O36">IFERROR(IF(O$1="","",INDEX('Raw data'!$AB$4:$AB$267,MATCH(Mortality!O$1&amp;$A$1&amp;$A36,'Raw data'!$K$4:$K$267&amp;'Raw data'!$L$2&amp;'Raw data'!$L$4:$L$267,0))),"")</f>
        <v>0</v>
      </c>
    </row>
    <row r="37" spans="1:15" s="417" customFormat="1" x14ac:dyDescent="0.25">
      <c r="A37" s="432">
        <f t="array" ref="A37">IFERROR(INDEX(Map!$V$2:$V$67,MATCH(Mortality!$B37&amp;Mortality!$C37,Map!$W$2:$W$67&amp;Map!$X$2:$X$67,0)),"")</f>
        <v>45</v>
      </c>
      <c r="B37" s="418" t="str">
        <f>B28</f>
        <v>T3</v>
      </c>
      <c r="C37" s="418" t="s">
        <v>101</v>
      </c>
      <c r="D37" s="455">
        <f t="array" ref="D37">IFERROR(IF(D$1="","",INDEX('Raw data'!$Z$4:$Z$267,MATCH(Mortality!D$1&amp;$A$1&amp;$A37,'Raw data'!$K$4:$K$267&amp;'Raw data'!$L$2&amp;'Raw data'!$L$4:$L$267,0))),"")</f>
        <v>0</v>
      </c>
      <c r="E37" s="448">
        <f t="array" ref="E37">IFERROR(IF(E$1="","",INDEX('Raw data'!$Z$4:$Z$267,MATCH(Mortality!E$1&amp;$A$1&amp;$A37,'Raw data'!$K$4:$K$267&amp;'Raw data'!$L$2&amp;'Raw data'!$L$4:$L$267,0))),"")</f>
        <v>0</v>
      </c>
      <c r="F37" s="448">
        <f t="array" ref="F37">IFERROR(IF(F$1="","",INDEX('Raw data'!$Z$4:$Z$267,MATCH(Mortality!F$1&amp;$A$1&amp;$A37,'Raw data'!$K$4:$K$267&amp;'Raw data'!$L$2&amp;'Raw data'!$L$4:$L$267,0))),"")</f>
        <v>1</v>
      </c>
      <c r="G37" s="451">
        <f t="array" ref="G37">IFERROR(IF(G$1="","",INDEX('Raw data'!$Z$4:$Z$267,MATCH(Mortality!G$1&amp;$A$1&amp;$A37,'Raw data'!$K$4:$K$267&amp;'Raw data'!$L$2&amp;'Raw data'!$L$4:$L$267,0))),"")</f>
        <v>0</v>
      </c>
      <c r="H37" s="418"/>
      <c r="I37" s="432">
        <f t="array" ref="I37">IFERROR(INDEX(Map!$V$2:$V$67,MATCH(Mortality!$B37&amp;Mortality!$C37,Map!$W$2:$W$67&amp;Map!$X$2:$X$67,0)),"")</f>
        <v>45</v>
      </c>
      <c r="J37" s="418" t="str">
        <f>J28</f>
        <v>T3</v>
      </c>
      <c r="K37" s="418" t="s">
        <v>101</v>
      </c>
      <c r="L37" s="455">
        <f t="array" ref="L37">IFERROR(IF(L$1="","",INDEX('Raw data'!$AB$4:$AB$267,MATCH(Mortality!L$1&amp;$A$1&amp;$A37,'Raw data'!$K$4:$K$267&amp;'Raw data'!$L$2&amp;'Raw data'!$L$4:$L$267,0))),"")</f>
        <v>0</v>
      </c>
      <c r="M37" s="448">
        <f t="array" ref="M37">IFERROR(IF(M$1="","",INDEX('Raw data'!$AB$4:$AB$267,MATCH(Mortality!M$1&amp;$A$1&amp;$A37,'Raw data'!$K$4:$K$267&amp;'Raw data'!$L$2&amp;'Raw data'!$L$4:$L$267,0))),"")</f>
        <v>0</v>
      </c>
      <c r="N37" s="448">
        <f t="array" ref="N37">IFERROR(IF(N$1="","",INDEX('Raw data'!$AB$4:$AB$267,MATCH(Mortality!N$1&amp;$A$1&amp;$A37,'Raw data'!$K$4:$K$267&amp;'Raw data'!$L$2&amp;'Raw data'!$L$4:$L$267,0))),"")</f>
        <v>0</v>
      </c>
      <c r="O37" s="451">
        <f t="array" ref="O37">IFERROR(IF(O$1="","",INDEX('Raw data'!$AB$4:$AB$267,MATCH(Mortality!O$1&amp;$A$1&amp;$A37,'Raw data'!$K$4:$K$267&amp;'Raw data'!$L$2&amp;'Raw data'!$L$4:$L$267,0))),"")</f>
        <v>0</v>
      </c>
    </row>
    <row r="38" spans="1:15" s="417" customFormat="1" x14ac:dyDescent="0.25">
      <c r="A38" s="446">
        <f t="array" ref="A38">IFERROR(INDEX(Map!$V$2:$V$67,MATCH(Mortality!$B38&amp;Mortality!$C38,Map!$W$2:$W$67&amp;Map!$X$2:$X$67,0)),"")</f>
        <v>65</v>
      </c>
      <c r="B38" s="418" t="str">
        <f>B28</f>
        <v>T3</v>
      </c>
      <c r="C38" s="418" t="s">
        <v>102</v>
      </c>
      <c r="D38" s="456">
        <f t="array" ref="D38">IFERROR(IF(D$1="","",INDEX('Raw data'!$Z$4:$Z$267,MATCH(Mortality!D$1&amp;$A$1&amp;$A38,'Raw data'!$K$4:$K$267&amp;'Raw data'!$L$2&amp;'Raw data'!$L$4:$L$267,0))),"")</f>
        <v>0</v>
      </c>
      <c r="E38" s="449">
        <f t="array" ref="E38">IFERROR(IF(E$1="","",INDEX('Raw data'!$Z$4:$Z$267,MATCH(Mortality!E$1&amp;$A$1&amp;$A38,'Raw data'!$K$4:$K$267&amp;'Raw data'!$L$2&amp;'Raw data'!$L$4:$L$267,0))),"")</f>
        <v>0</v>
      </c>
      <c r="F38" s="449">
        <f t="array" ref="F38">IFERROR(IF(F$1="","",INDEX('Raw data'!$Z$4:$Z$267,MATCH(Mortality!F$1&amp;$A$1&amp;$A38,'Raw data'!$K$4:$K$267&amp;'Raw data'!$L$2&amp;'Raw data'!$L$4:$L$267,0))),"")</f>
        <v>1</v>
      </c>
      <c r="G38" s="452">
        <f t="array" ref="G38">IFERROR(IF(G$1="","",INDEX('Raw data'!$Z$4:$Z$267,MATCH(Mortality!G$1&amp;$A$1&amp;$A38,'Raw data'!$K$4:$K$267&amp;'Raw data'!$L$2&amp;'Raw data'!$L$4:$L$267,0))),"")</f>
        <v>0</v>
      </c>
      <c r="H38" s="418"/>
      <c r="I38" s="446">
        <f t="array" ref="I38">IFERROR(INDEX(Map!$V$2:$V$67,MATCH(Mortality!$B38&amp;Mortality!$C38,Map!$W$2:$W$67&amp;Map!$X$2:$X$67,0)),"")</f>
        <v>65</v>
      </c>
      <c r="J38" s="418" t="str">
        <f>J28</f>
        <v>T3</v>
      </c>
      <c r="K38" s="418" t="s">
        <v>102</v>
      </c>
      <c r="L38" s="456">
        <f t="array" ref="L38">IFERROR(IF(L$1="","",INDEX('Raw data'!$AB$4:$AB$267,MATCH(Mortality!L$1&amp;$A$1&amp;$A38,'Raw data'!$K$4:$K$267&amp;'Raw data'!$L$2&amp;'Raw data'!$L$4:$L$267,0))),"")</f>
        <v>2</v>
      </c>
      <c r="M38" s="449">
        <f t="array" ref="M38">IFERROR(IF(M$1="","",INDEX('Raw data'!$AB$4:$AB$267,MATCH(Mortality!M$1&amp;$A$1&amp;$A38,'Raw data'!$K$4:$K$267&amp;'Raw data'!$L$2&amp;'Raw data'!$L$4:$L$267,0))),"")</f>
        <v>0</v>
      </c>
      <c r="N38" s="449">
        <f t="array" ref="N38">IFERROR(IF(N$1="","",INDEX('Raw data'!$AB$4:$AB$267,MATCH(Mortality!N$1&amp;$A$1&amp;$A38,'Raw data'!$K$4:$K$267&amp;'Raw data'!$L$2&amp;'Raw data'!$L$4:$L$267,0))),"")</f>
        <v>0</v>
      </c>
      <c r="O38" s="452">
        <f t="array" ref="O38">IFERROR(IF(O$1="","",INDEX('Raw data'!$AB$4:$AB$267,MATCH(Mortality!O$1&amp;$A$1&amp;$A38,'Raw data'!$K$4:$K$267&amp;'Raw data'!$L$2&amp;'Raw data'!$L$4:$L$267,0))),"")</f>
        <v>0</v>
      </c>
    </row>
    <row r="39" spans="1:15" s="417" customFormat="1" x14ac:dyDescent="0.25">
      <c r="A39" s="432"/>
      <c r="B39" s="565" t="s">
        <v>1</v>
      </c>
      <c r="C39" s="565"/>
      <c r="D39" s="457">
        <f>IF(D$1="","",(SUM(D28:D38)))</f>
        <v>1</v>
      </c>
      <c r="E39" s="458">
        <f>IF(E$1="","",(SUM(E28:E38)))</f>
        <v>2</v>
      </c>
      <c r="F39" s="458">
        <f>IF(F$1="","",(SUM(F28:F38)))</f>
        <v>2</v>
      </c>
      <c r="G39" s="459">
        <f>IF(G$1="","",(SUM(G28:G38)))</f>
        <v>4</v>
      </c>
      <c r="H39" s="418"/>
      <c r="I39" s="432"/>
      <c r="J39" s="565" t="s">
        <v>1</v>
      </c>
      <c r="K39" s="565"/>
      <c r="L39" s="457">
        <f>IF(L$1="","",(SUM(L28:L38)))</f>
        <v>9</v>
      </c>
      <c r="M39" s="458">
        <f>IF(M$1="","",(SUM(M28:M38)))</f>
        <v>2</v>
      </c>
      <c r="N39" s="458">
        <f>IF(N$1="","",(SUM(N28:N38)))</f>
        <v>0</v>
      </c>
      <c r="O39" s="459">
        <f>IF(O$1="","",(SUM(O28:O38)))</f>
        <v>0</v>
      </c>
    </row>
    <row r="40" spans="1:15" ht="15.75" thickBot="1" x14ac:dyDescent="0.3">
      <c r="A40" s="132"/>
      <c r="B40" s="567" t="s">
        <v>95</v>
      </c>
      <c r="C40" s="568"/>
      <c r="D40" s="359">
        <f>IF(D$1="","",Summary!B52)</f>
        <v>2.2779043280182231E-3</v>
      </c>
      <c r="E40" s="218">
        <f>IF(E$1="","",Summary!C52)</f>
        <v>4.6728971962616819E-3</v>
      </c>
      <c r="F40" s="218">
        <f>IF(F$1="","",Summary!D52)</f>
        <v>4.7169811320754715E-3</v>
      </c>
      <c r="G40" s="353">
        <f>IF(G$1="","",Summary!E52)</f>
        <v>9.5238095238095247E-3</v>
      </c>
      <c r="H40" s="24"/>
      <c r="I40" s="132"/>
      <c r="J40" s="567" t="s">
        <v>96</v>
      </c>
      <c r="K40" s="568"/>
      <c r="L40" s="359">
        <f>IF(L$1="","",Summary!I52)</f>
        <v>2.0881670533642691E-2</v>
      </c>
      <c r="M40" s="218">
        <f>IF(M$1="","",Summary!J52)</f>
        <v>4.6728971962616819E-3</v>
      </c>
      <c r="N40" s="218">
        <f>IF(N$1="","",Summary!K52)</f>
        <v>0</v>
      </c>
      <c r="O40" s="353">
        <f>IF(O$1="","",Summary!L52)</f>
        <v>0</v>
      </c>
    </row>
    <row r="41" spans="1:15" x14ac:dyDescent="0.25">
      <c r="A41" s="431">
        <f t="array" ref="A41">IFERROR(INDEX(Map!$V$2:$V$67,MATCH(Mortality!$B41&amp;Mortality!$C41,Map!$W$2:$W$67&amp;Map!$X$2:$X$67,0)),"")</f>
        <v>6</v>
      </c>
      <c r="B41" s="420" t="s">
        <v>11</v>
      </c>
      <c r="C41" s="420" t="s">
        <v>2</v>
      </c>
      <c r="D41" s="454">
        <f t="array" ref="D41">IFERROR(IF(D$1="","",INDEX('Raw data'!$Z$4:$Z$267,MATCH(Mortality!D$1&amp;$A$1&amp;$A41,'Raw data'!$K$4:$K$267&amp;'Raw data'!$L$2&amp;'Raw data'!$L$4:$L$267,0))),"")</f>
        <v>1</v>
      </c>
      <c r="E41" s="447">
        <f t="array" ref="E41">IFERROR(IF(E$1="","",INDEX('Raw data'!$Z$4:$Z$267,MATCH(Mortality!E$1&amp;$A$1&amp;$A41,'Raw data'!$K$4:$K$267&amp;'Raw data'!$L$2&amp;'Raw data'!$L$4:$L$267,0))),"")</f>
        <v>0</v>
      </c>
      <c r="F41" s="447">
        <f t="array" ref="F41">IFERROR(IF(F$1="","",INDEX('Raw data'!$Z$4:$Z$267,MATCH(Mortality!F$1&amp;$A$1&amp;$A41,'Raw data'!$K$4:$K$267&amp;'Raw data'!$L$2&amp;'Raw data'!$L$4:$L$267,0))),"")</f>
        <v>1</v>
      </c>
      <c r="G41" s="450">
        <f t="array" ref="G41">IFERROR(IF(G$1="","",INDEX('Raw data'!$Z$4:$Z$267,MATCH(Mortality!G$1&amp;$A$1&amp;$A41,'Raw data'!$K$4:$K$267&amp;'Raw data'!$L$2&amp;'Raw data'!$L$4:$L$267,0))),"")</f>
        <v>0</v>
      </c>
      <c r="H41" s="418"/>
      <c r="I41" s="431">
        <f t="array" ref="I41">IFERROR(INDEX(Map!$V$2:$V$67,MATCH(Mortality!$B41&amp;Mortality!$C41,Map!$W$2:$W$67&amp;Map!$X$2:$X$67,0)),"")</f>
        <v>6</v>
      </c>
      <c r="J41" s="420" t="s">
        <v>11</v>
      </c>
      <c r="K41" s="420" t="s">
        <v>2</v>
      </c>
      <c r="L41" s="454">
        <f t="array" ref="L41">IFERROR(IF(L$1="","",INDEX('Raw data'!$AB$4:$AB$267,MATCH(Mortality!L$1&amp;$A$1&amp;$A41,'Raw data'!$K$4:$K$267&amp;'Raw data'!$L$2&amp;'Raw data'!$L$4:$L$267,0))),"")</f>
        <v>1</v>
      </c>
      <c r="M41" s="447">
        <f t="array" ref="M41">IFERROR(IF(M$1="","",INDEX('Raw data'!$AB$4:$AB$267,MATCH(Mortality!M$1&amp;$A$1&amp;$A41,'Raw data'!$K$4:$K$267&amp;'Raw data'!$L$2&amp;'Raw data'!$L$4:$L$267,0))),"")</f>
        <v>0</v>
      </c>
      <c r="N41" s="447">
        <f t="array" ref="N41">IFERROR(IF(N$1="","",INDEX('Raw data'!$AB$4:$AB$267,MATCH(Mortality!N$1&amp;$A$1&amp;$A41,'Raw data'!$K$4:$K$267&amp;'Raw data'!$L$2&amp;'Raw data'!$L$4:$L$267,0))),"")</f>
        <v>1</v>
      </c>
      <c r="O41" s="450">
        <f t="array" ref="O41">IFERROR(IF(O$1="","",INDEX('Raw data'!$AB$4:$AB$267,MATCH(Mortality!O$1&amp;$A$1&amp;$A41,'Raw data'!$K$4:$K$267&amp;'Raw data'!$L$2&amp;'Raw data'!$L$4:$L$267,0))),"")</f>
        <v>0</v>
      </c>
    </row>
    <row r="42" spans="1:15" x14ac:dyDescent="0.25">
      <c r="A42" s="432">
        <f t="array" ref="A42">IFERROR(INDEX(Map!$V$2:$V$67,MATCH(Mortality!$B42&amp;Mortality!$C42,Map!$W$2:$W$67&amp;Map!$X$2:$X$67,0)),"")</f>
        <v>9</v>
      </c>
      <c r="B42" s="418" t="str">
        <f>B41</f>
        <v>T4</v>
      </c>
      <c r="C42" s="418" t="s">
        <v>3</v>
      </c>
      <c r="D42" s="455">
        <f t="array" ref="D42">IFERROR(IF(D$1="","",INDEX('Raw data'!$Z$4:$Z$267,MATCH(Mortality!D$1&amp;$A$1&amp;$A42,'Raw data'!$K$4:$K$267&amp;'Raw data'!$L$2&amp;'Raw data'!$L$4:$L$267,0))),"")</f>
        <v>0</v>
      </c>
      <c r="E42" s="448">
        <f t="array" ref="E42">IFERROR(IF(E$1="","",INDEX('Raw data'!$Z$4:$Z$267,MATCH(Mortality!E$1&amp;$A$1&amp;$A42,'Raw data'!$K$4:$K$267&amp;'Raw data'!$L$2&amp;'Raw data'!$L$4:$L$267,0))),"")</f>
        <v>0</v>
      </c>
      <c r="F42" s="448">
        <f t="array" ref="F42">IFERROR(IF(F$1="","",INDEX('Raw data'!$Z$4:$Z$267,MATCH(Mortality!F$1&amp;$A$1&amp;$A42,'Raw data'!$K$4:$K$267&amp;'Raw data'!$L$2&amp;'Raw data'!$L$4:$L$267,0))),"")</f>
        <v>0</v>
      </c>
      <c r="G42" s="451">
        <f t="array" ref="G42">IFERROR(IF(G$1="","",INDEX('Raw data'!$Z$4:$Z$267,MATCH(Mortality!G$1&amp;$A$1&amp;$A42,'Raw data'!$K$4:$K$267&amp;'Raw data'!$L$2&amp;'Raw data'!$L$4:$L$267,0))),"")</f>
        <v>0</v>
      </c>
      <c r="H42" s="418"/>
      <c r="I42" s="432">
        <f t="array" ref="I42">IFERROR(INDEX(Map!$V$2:$V$67,MATCH(Mortality!$B42&amp;Mortality!$C42,Map!$W$2:$W$67&amp;Map!$X$2:$X$67,0)),"")</f>
        <v>9</v>
      </c>
      <c r="J42" s="418" t="str">
        <f>J41</f>
        <v>T4</v>
      </c>
      <c r="K42" s="418" t="s">
        <v>3</v>
      </c>
      <c r="L42" s="455">
        <f t="array" ref="L42">IFERROR(IF(L$1="","",INDEX('Raw data'!$AB$4:$AB$267,MATCH(Mortality!L$1&amp;$A$1&amp;$A42,'Raw data'!$K$4:$K$267&amp;'Raw data'!$L$2&amp;'Raw data'!$L$4:$L$267,0))),"")</f>
        <v>0</v>
      </c>
      <c r="M42" s="448">
        <f t="array" ref="M42">IFERROR(IF(M$1="","",INDEX('Raw data'!$AB$4:$AB$267,MATCH(Mortality!M$1&amp;$A$1&amp;$A42,'Raw data'!$K$4:$K$267&amp;'Raw data'!$L$2&amp;'Raw data'!$L$4:$L$267,0))),"")</f>
        <v>0</v>
      </c>
      <c r="N42" s="448">
        <f t="array" ref="N42">IFERROR(IF(N$1="","",INDEX('Raw data'!$AB$4:$AB$267,MATCH(Mortality!N$1&amp;$A$1&amp;$A42,'Raw data'!$K$4:$K$267&amp;'Raw data'!$L$2&amp;'Raw data'!$L$4:$L$267,0))),"")</f>
        <v>1</v>
      </c>
      <c r="O42" s="451">
        <f t="array" ref="O42">IFERROR(IF(O$1="","",INDEX('Raw data'!$AB$4:$AB$267,MATCH(Mortality!O$1&amp;$A$1&amp;$A42,'Raw data'!$K$4:$K$267&amp;'Raw data'!$L$2&amp;'Raw data'!$L$4:$L$267,0))),"")</f>
        <v>0</v>
      </c>
    </row>
    <row r="43" spans="1:15" x14ac:dyDescent="0.25">
      <c r="A43" s="432">
        <f t="array" ref="A43">IFERROR(INDEX(Map!$V$2:$V$67,MATCH(Mortality!$B43&amp;Mortality!$C43,Map!$W$2:$W$67&amp;Map!$X$2:$X$67,0)),"")</f>
        <v>15</v>
      </c>
      <c r="B43" s="418" t="str">
        <f>B41</f>
        <v>T4</v>
      </c>
      <c r="C43" s="418" t="s">
        <v>4</v>
      </c>
      <c r="D43" s="455">
        <f t="array" ref="D43">IFERROR(IF(D$1="","",INDEX('Raw data'!$Z$4:$Z$267,MATCH(Mortality!D$1&amp;$A$1&amp;$A43,'Raw data'!$K$4:$K$267&amp;'Raw data'!$L$2&amp;'Raw data'!$L$4:$L$267,0))),"")</f>
        <v>0</v>
      </c>
      <c r="E43" s="448">
        <f t="array" ref="E43">IFERROR(IF(E$1="","",INDEX('Raw data'!$Z$4:$Z$267,MATCH(Mortality!E$1&amp;$A$1&amp;$A43,'Raw data'!$K$4:$K$267&amp;'Raw data'!$L$2&amp;'Raw data'!$L$4:$L$267,0))),"")</f>
        <v>0</v>
      </c>
      <c r="F43" s="448">
        <f t="array" ref="F43">IFERROR(IF(F$1="","",INDEX('Raw data'!$Z$4:$Z$267,MATCH(Mortality!F$1&amp;$A$1&amp;$A43,'Raw data'!$K$4:$K$267&amp;'Raw data'!$L$2&amp;'Raw data'!$L$4:$L$267,0))),"")</f>
        <v>0</v>
      </c>
      <c r="G43" s="451">
        <f t="array" ref="G43">IFERROR(IF(G$1="","",INDEX('Raw data'!$Z$4:$Z$267,MATCH(Mortality!G$1&amp;$A$1&amp;$A43,'Raw data'!$K$4:$K$267&amp;'Raw data'!$L$2&amp;'Raw data'!$L$4:$L$267,0))),"")</f>
        <v>0</v>
      </c>
      <c r="H43" s="418"/>
      <c r="I43" s="432">
        <f t="array" ref="I43">IFERROR(INDEX(Map!$V$2:$V$67,MATCH(Mortality!$B43&amp;Mortality!$C43,Map!$W$2:$W$67&amp;Map!$X$2:$X$67,0)),"")</f>
        <v>15</v>
      </c>
      <c r="J43" s="418" t="str">
        <f>J41</f>
        <v>T4</v>
      </c>
      <c r="K43" s="418" t="s">
        <v>4</v>
      </c>
      <c r="L43" s="455">
        <f t="array" ref="L43">IFERROR(IF(L$1="","",INDEX('Raw data'!$AB$4:$AB$267,MATCH(Mortality!L$1&amp;$A$1&amp;$A43,'Raw data'!$K$4:$K$267&amp;'Raw data'!$L$2&amp;'Raw data'!$L$4:$L$267,0))),"")</f>
        <v>1</v>
      </c>
      <c r="M43" s="448">
        <f t="array" ref="M43">IFERROR(IF(M$1="","",INDEX('Raw data'!$AB$4:$AB$267,MATCH(Mortality!M$1&amp;$A$1&amp;$A43,'Raw data'!$K$4:$K$267&amp;'Raw data'!$L$2&amp;'Raw data'!$L$4:$L$267,0))),"")</f>
        <v>1</v>
      </c>
      <c r="N43" s="448">
        <f t="array" ref="N43">IFERROR(IF(N$1="","",INDEX('Raw data'!$AB$4:$AB$267,MATCH(Mortality!N$1&amp;$A$1&amp;$A43,'Raw data'!$K$4:$K$267&amp;'Raw data'!$L$2&amp;'Raw data'!$L$4:$L$267,0))),"")</f>
        <v>1</v>
      </c>
      <c r="O43" s="451">
        <f t="array" ref="O43">IFERROR(IF(O$1="","",INDEX('Raw data'!$AB$4:$AB$267,MATCH(Mortality!O$1&amp;$A$1&amp;$A43,'Raw data'!$K$4:$K$267&amp;'Raw data'!$L$2&amp;'Raw data'!$L$4:$L$267,0))),"")</f>
        <v>0</v>
      </c>
    </row>
    <row r="44" spans="1:15" x14ac:dyDescent="0.25">
      <c r="A44" s="432">
        <f t="array" ref="A44">IFERROR(INDEX(Map!$V$2:$V$67,MATCH(Mortality!$B44&amp;Mortality!$C44,Map!$W$2:$W$67&amp;Map!$X$2:$X$67,0)),"")</f>
        <v>30</v>
      </c>
      <c r="B44" s="418" t="str">
        <f>B41</f>
        <v>T4</v>
      </c>
      <c r="C44" s="418" t="s">
        <v>5</v>
      </c>
      <c r="D44" s="455">
        <f t="array" ref="D44">IFERROR(IF(D$1="","",INDEX('Raw data'!$Z$4:$Z$267,MATCH(Mortality!D$1&amp;$A$1&amp;$A44,'Raw data'!$K$4:$K$267&amp;'Raw data'!$L$2&amp;'Raw data'!$L$4:$L$267,0))),"")</f>
        <v>0</v>
      </c>
      <c r="E44" s="448">
        <f t="array" ref="E44">IFERROR(IF(E$1="","",INDEX('Raw data'!$Z$4:$Z$267,MATCH(Mortality!E$1&amp;$A$1&amp;$A44,'Raw data'!$K$4:$K$267&amp;'Raw data'!$L$2&amp;'Raw data'!$L$4:$L$267,0))),"")</f>
        <v>1</v>
      </c>
      <c r="F44" s="448">
        <f t="array" ref="F44">IFERROR(IF(F$1="","",INDEX('Raw data'!$Z$4:$Z$267,MATCH(Mortality!F$1&amp;$A$1&amp;$A44,'Raw data'!$K$4:$K$267&amp;'Raw data'!$L$2&amp;'Raw data'!$L$4:$L$267,0))),"")</f>
        <v>0</v>
      </c>
      <c r="G44" s="451">
        <f t="array" ref="G44">IFERROR(IF(G$1="","",INDEX('Raw data'!$Z$4:$Z$267,MATCH(Mortality!G$1&amp;$A$1&amp;$A44,'Raw data'!$K$4:$K$267&amp;'Raw data'!$L$2&amp;'Raw data'!$L$4:$L$267,0))),"")</f>
        <v>0</v>
      </c>
      <c r="H44" s="418"/>
      <c r="I44" s="432">
        <f t="array" ref="I44">IFERROR(INDEX(Map!$V$2:$V$67,MATCH(Mortality!$B44&amp;Mortality!$C44,Map!$W$2:$W$67&amp;Map!$X$2:$X$67,0)),"")</f>
        <v>30</v>
      </c>
      <c r="J44" s="418" t="str">
        <f>J41</f>
        <v>T4</v>
      </c>
      <c r="K44" s="418" t="s">
        <v>5</v>
      </c>
      <c r="L44" s="455">
        <f t="array" ref="L44">IFERROR(IF(L$1="","",INDEX('Raw data'!$AB$4:$AB$267,MATCH(Mortality!L$1&amp;$A$1&amp;$A44,'Raw data'!$K$4:$K$267&amp;'Raw data'!$L$2&amp;'Raw data'!$L$4:$L$267,0))),"")</f>
        <v>1</v>
      </c>
      <c r="M44" s="448">
        <f t="array" ref="M44">IFERROR(IF(M$1="","",INDEX('Raw data'!$AB$4:$AB$267,MATCH(Mortality!M$1&amp;$A$1&amp;$A44,'Raw data'!$K$4:$K$267&amp;'Raw data'!$L$2&amp;'Raw data'!$L$4:$L$267,0))),"")</f>
        <v>0</v>
      </c>
      <c r="N44" s="448">
        <f t="array" ref="N44">IFERROR(IF(N$1="","",INDEX('Raw data'!$AB$4:$AB$267,MATCH(Mortality!N$1&amp;$A$1&amp;$A44,'Raw data'!$K$4:$K$267&amp;'Raw data'!$L$2&amp;'Raw data'!$L$4:$L$267,0))),"")</f>
        <v>1</v>
      </c>
      <c r="O44" s="451">
        <f t="array" ref="O44">IFERROR(IF(O$1="","",INDEX('Raw data'!$AB$4:$AB$267,MATCH(Mortality!O$1&amp;$A$1&amp;$A44,'Raw data'!$K$4:$K$267&amp;'Raw data'!$L$2&amp;'Raw data'!$L$4:$L$267,0))),"")</f>
        <v>0</v>
      </c>
    </row>
    <row r="45" spans="1:15" x14ac:dyDescent="0.25">
      <c r="A45" s="432">
        <f t="array" ref="A45">IFERROR(INDEX(Map!$V$2:$V$67,MATCH(Mortality!$B45&amp;Mortality!$C45,Map!$W$2:$W$67&amp;Map!$X$2:$X$67,0)),"")</f>
        <v>36</v>
      </c>
      <c r="B45" s="418" t="str">
        <f>B41</f>
        <v>T4</v>
      </c>
      <c r="C45" s="418" t="s">
        <v>6</v>
      </c>
      <c r="D45" s="455">
        <f t="array" ref="D45">IFERROR(IF(D$1="","",INDEX('Raw data'!$Z$4:$Z$267,MATCH(Mortality!D$1&amp;$A$1&amp;$A45,'Raw data'!$K$4:$K$267&amp;'Raw data'!$L$2&amp;'Raw data'!$L$4:$L$267,0))),"")</f>
        <v>1</v>
      </c>
      <c r="E45" s="448">
        <f t="array" ref="E45">IFERROR(IF(E$1="","",INDEX('Raw data'!$Z$4:$Z$267,MATCH(Mortality!E$1&amp;$A$1&amp;$A45,'Raw data'!$K$4:$K$267&amp;'Raw data'!$L$2&amp;'Raw data'!$L$4:$L$267,0))),"")</f>
        <v>0</v>
      </c>
      <c r="F45" s="448">
        <f t="array" ref="F45">IFERROR(IF(F$1="","",INDEX('Raw data'!$Z$4:$Z$267,MATCH(Mortality!F$1&amp;$A$1&amp;$A45,'Raw data'!$K$4:$K$267&amp;'Raw data'!$L$2&amp;'Raw data'!$L$4:$L$267,0))),"")</f>
        <v>2</v>
      </c>
      <c r="G45" s="451">
        <f t="array" ref="G45">IFERROR(IF(G$1="","",INDEX('Raw data'!$Z$4:$Z$267,MATCH(Mortality!G$1&amp;$A$1&amp;$A45,'Raw data'!$K$4:$K$267&amp;'Raw data'!$L$2&amp;'Raw data'!$L$4:$L$267,0))),"")</f>
        <v>2</v>
      </c>
      <c r="H45" s="418"/>
      <c r="I45" s="432">
        <f t="array" ref="I45">IFERROR(INDEX(Map!$V$2:$V$67,MATCH(Mortality!$B45&amp;Mortality!$C45,Map!$W$2:$W$67&amp;Map!$X$2:$X$67,0)),"")</f>
        <v>36</v>
      </c>
      <c r="J45" s="418" t="str">
        <f>J41</f>
        <v>T4</v>
      </c>
      <c r="K45" s="418" t="s">
        <v>6</v>
      </c>
      <c r="L45" s="455">
        <f t="array" ref="L45">IFERROR(IF(L$1="","",INDEX('Raw data'!$AB$4:$AB$267,MATCH(Mortality!L$1&amp;$A$1&amp;$A45,'Raw data'!$K$4:$K$267&amp;'Raw data'!$L$2&amp;'Raw data'!$L$4:$L$267,0))),"")</f>
        <v>2</v>
      </c>
      <c r="M45" s="448">
        <f t="array" ref="M45">IFERROR(IF(M$1="","",INDEX('Raw data'!$AB$4:$AB$267,MATCH(Mortality!M$1&amp;$A$1&amp;$A45,'Raw data'!$K$4:$K$267&amp;'Raw data'!$L$2&amp;'Raw data'!$L$4:$L$267,0))),"")</f>
        <v>0</v>
      </c>
      <c r="N45" s="448">
        <f t="array" ref="N45">IFERROR(IF(N$1="","",INDEX('Raw data'!$AB$4:$AB$267,MATCH(Mortality!N$1&amp;$A$1&amp;$A45,'Raw data'!$K$4:$K$267&amp;'Raw data'!$L$2&amp;'Raw data'!$L$4:$L$267,0))),"")</f>
        <v>1</v>
      </c>
      <c r="O45" s="451">
        <f t="array" ref="O45">IFERROR(IF(O$1="","",INDEX('Raw data'!$AB$4:$AB$267,MATCH(Mortality!O$1&amp;$A$1&amp;$A45,'Raw data'!$K$4:$K$267&amp;'Raw data'!$L$2&amp;'Raw data'!$L$4:$L$267,0))),"")</f>
        <v>0</v>
      </c>
    </row>
    <row r="46" spans="1:15" x14ac:dyDescent="0.25">
      <c r="A46" s="432">
        <f t="array" ref="A46">IFERROR(INDEX(Map!$V$2:$V$67,MATCH(Mortality!$B46&amp;Mortality!$C46,Map!$W$2:$W$67&amp;Map!$X$2:$X$67,0)),"")</f>
        <v>39</v>
      </c>
      <c r="B46" s="418" t="str">
        <f>B41</f>
        <v>T4</v>
      </c>
      <c r="C46" s="418" t="s">
        <v>7</v>
      </c>
      <c r="D46" s="455">
        <f t="array" ref="D46">IFERROR(IF(D$1="","",INDEX('Raw data'!$Z$4:$Z$267,MATCH(Mortality!D$1&amp;$A$1&amp;$A46,'Raw data'!$K$4:$K$267&amp;'Raw data'!$L$2&amp;'Raw data'!$L$4:$L$267,0))),"")</f>
        <v>1</v>
      </c>
      <c r="E46" s="448">
        <f t="array" ref="E46">IFERROR(IF(E$1="","",INDEX('Raw data'!$Z$4:$Z$267,MATCH(Mortality!E$1&amp;$A$1&amp;$A46,'Raw data'!$K$4:$K$267&amp;'Raw data'!$L$2&amp;'Raw data'!$L$4:$L$267,0))),"")</f>
        <v>0</v>
      </c>
      <c r="F46" s="448">
        <f t="array" ref="F46">IFERROR(IF(F$1="","",INDEX('Raw data'!$Z$4:$Z$267,MATCH(Mortality!F$1&amp;$A$1&amp;$A46,'Raw data'!$K$4:$K$267&amp;'Raw data'!$L$2&amp;'Raw data'!$L$4:$L$267,0))),"")</f>
        <v>0</v>
      </c>
      <c r="G46" s="451">
        <f t="array" ref="G46">IFERROR(IF(G$1="","",INDEX('Raw data'!$Z$4:$Z$267,MATCH(Mortality!G$1&amp;$A$1&amp;$A46,'Raw data'!$K$4:$K$267&amp;'Raw data'!$L$2&amp;'Raw data'!$L$4:$L$267,0))),"")</f>
        <v>0</v>
      </c>
      <c r="H46" s="418"/>
      <c r="I46" s="432">
        <f t="array" ref="I46">IFERROR(INDEX(Map!$V$2:$V$67,MATCH(Mortality!$B46&amp;Mortality!$C46,Map!$W$2:$W$67&amp;Map!$X$2:$X$67,0)),"")</f>
        <v>39</v>
      </c>
      <c r="J46" s="418" t="str">
        <f>J41</f>
        <v>T4</v>
      </c>
      <c r="K46" s="418" t="s">
        <v>7</v>
      </c>
      <c r="L46" s="455">
        <f t="array" ref="L46">IFERROR(IF(L$1="","",INDEX('Raw data'!$AB$4:$AB$267,MATCH(Mortality!L$1&amp;$A$1&amp;$A46,'Raw data'!$K$4:$K$267&amp;'Raw data'!$L$2&amp;'Raw data'!$L$4:$L$267,0))),"")</f>
        <v>1</v>
      </c>
      <c r="M46" s="448">
        <f t="array" ref="M46">IFERROR(IF(M$1="","",INDEX('Raw data'!$AB$4:$AB$267,MATCH(Mortality!M$1&amp;$A$1&amp;$A46,'Raw data'!$K$4:$K$267&amp;'Raw data'!$L$2&amp;'Raw data'!$L$4:$L$267,0))),"")</f>
        <v>0</v>
      </c>
      <c r="N46" s="448">
        <f t="array" ref="N46">IFERROR(IF(N$1="","",INDEX('Raw data'!$AB$4:$AB$267,MATCH(Mortality!N$1&amp;$A$1&amp;$A46,'Raw data'!$K$4:$K$267&amp;'Raw data'!$L$2&amp;'Raw data'!$L$4:$L$267,0))),"")</f>
        <v>1</v>
      </c>
      <c r="O46" s="451">
        <f t="array" ref="O46">IFERROR(IF(O$1="","",INDEX('Raw data'!$AB$4:$AB$267,MATCH(Mortality!O$1&amp;$A$1&amp;$A46,'Raw data'!$K$4:$K$267&amp;'Raw data'!$L$2&amp;'Raw data'!$L$4:$L$267,0))),"")</f>
        <v>0</v>
      </c>
    </row>
    <row r="47" spans="1:15" x14ac:dyDescent="0.25">
      <c r="A47" s="432">
        <f t="array" ref="A47">IFERROR(INDEX(Map!$V$2:$V$67,MATCH(Mortality!$B47&amp;Mortality!$C47,Map!$W$2:$W$67&amp;Map!$X$2:$X$67,0)),"")</f>
        <v>48</v>
      </c>
      <c r="B47" s="418" t="str">
        <f>B41</f>
        <v>T4</v>
      </c>
      <c r="C47" s="418" t="s">
        <v>8</v>
      </c>
      <c r="D47" s="455">
        <f t="array" ref="D47">IFERROR(IF(D$1="","",INDEX('Raw data'!$Z$4:$Z$267,MATCH(Mortality!D$1&amp;$A$1&amp;$A47,'Raw data'!$K$4:$K$267&amp;'Raw data'!$L$2&amp;'Raw data'!$L$4:$L$267,0))),"")</f>
        <v>0</v>
      </c>
      <c r="E47" s="448">
        <f t="array" ref="E47">IFERROR(IF(E$1="","",INDEX('Raw data'!$Z$4:$Z$267,MATCH(Mortality!E$1&amp;$A$1&amp;$A47,'Raw data'!$K$4:$K$267&amp;'Raw data'!$L$2&amp;'Raw data'!$L$4:$L$267,0))),"")</f>
        <v>0</v>
      </c>
      <c r="F47" s="448">
        <f t="array" ref="F47">IFERROR(IF(F$1="","",INDEX('Raw data'!$Z$4:$Z$267,MATCH(Mortality!F$1&amp;$A$1&amp;$A47,'Raw data'!$K$4:$K$267&amp;'Raw data'!$L$2&amp;'Raw data'!$L$4:$L$267,0))),"")</f>
        <v>0</v>
      </c>
      <c r="G47" s="451">
        <f t="array" ref="G47">IFERROR(IF(G$1="","",INDEX('Raw data'!$Z$4:$Z$267,MATCH(Mortality!G$1&amp;$A$1&amp;$A47,'Raw data'!$K$4:$K$267&amp;'Raw data'!$L$2&amp;'Raw data'!$L$4:$L$267,0))),"")</f>
        <v>1</v>
      </c>
      <c r="H47" s="418"/>
      <c r="I47" s="432">
        <f t="array" ref="I47">IFERROR(INDEX(Map!$V$2:$V$67,MATCH(Mortality!$B47&amp;Mortality!$C47,Map!$W$2:$W$67&amp;Map!$X$2:$X$67,0)),"")</f>
        <v>48</v>
      </c>
      <c r="J47" s="418" t="str">
        <f>J41</f>
        <v>T4</v>
      </c>
      <c r="K47" s="418" t="s">
        <v>8</v>
      </c>
      <c r="L47" s="455">
        <f t="array" ref="L47">IFERROR(IF(L$1="","",INDEX('Raw data'!$AB$4:$AB$267,MATCH(Mortality!L$1&amp;$A$1&amp;$A47,'Raw data'!$K$4:$K$267&amp;'Raw data'!$L$2&amp;'Raw data'!$L$4:$L$267,0))),"")</f>
        <v>2</v>
      </c>
      <c r="M47" s="448">
        <f t="array" ref="M47">IFERROR(IF(M$1="","",INDEX('Raw data'!$AB$4:$AB$267,MATCH(Mortality!M$1&amp;$A$1&amp;$A47,'Raw data'!$K$4:$K$267&amp;'Raw data'!$L$2&amp;'Raw data'!$L$4:$L$267,0))),"")</f>
        <v>0</v>
      </c>
      <c r="N47" s="448">
        <f t="array" ref="N47">IFERROR(IF(N$1="","",INDEX('Raw data'!$AB$4:$AB$267,MATCH(Mortality!N$1&amp;$A$1&amp;$A47,'Raw data'!$K$4:$K$267&amp;'Raw data'!$L$2&amp;'Raw data'!$L$4:$L$267,0))),"")</f>
        <v>0</v>
      </c>
      <c r="O47" s="451">
        <f t="array" ref="O47">IFERROR(IF(O$1="","",INDEX('Raw data'!$AB$4:$AB$267,MATCH(Mortality!O$1&amp;$A$1&amp;$A47,'Raw data'!$K$4:$K$267&amp;'Raw data'!$L$2&amp;'Raw data'!$L$4:$L$267,0))),"")</f>
        <v>0</v>
      </c>
    </row>
    <row r="48" spans="1:15" x14ac:dyDescent="0.25">
      <c r="A48" s="432">
        <f t="array" ref="A48">IFERROR(INDEX(Map!$V$2:$V$67,MATCH(Mortality!$B48&amp;Mortality!$C48,Map!$W$2:$W$67&amp;Map!$X$2:$X$67,0)),"")</f>
        <v>54</v>
      </c>
      <c r="B48" s="418" t="str">
        <f>B41</f>
        <v>T4</v>
      </c>
      <c r="C48" s="418" t="s">
        <v>9</v>
      </c>
      <c r="D48" s="455">
        <f t="array" ref="D48">IFERROR(IF(D$1="","",INDEX('Raw data'!$Z$4:$Z$267,MATCH(Mortality!D$1&amp;$A$1&amp;$A48,'Raw data'!$K$4:$K$267&amp;'Raw data'!$L$2&amp;'Raw data'!$L$4:$L$267,0))),"")</f>
        <v>0</v>
      </c>
      <c r="E48" s="448">
        <f t="array" ref="E48">IFERROR(IF(E$1="","",INDEX('Raw data'!$Z$4:$Z$267,MATCH(Mortality!E$1&amp;$A$1&amp;$A48,'Raw data'!$K$4:$K$267&amp;'Raw data'!$L$2&amp;'Raw data'!$L$4:$L$267,0))),"")</f>
        <v>0</v>
      </c>
      <c r="F48" s="448">
        <f t="array" ref="F48">IFERROR(IF(F$1="","",INDEX('Raw data'!$Z$4:$Z$267,MATCH(Mortality!F$1&amp;$A$1&amp;$A48,'Raw data'!$K$4:$K$267&amp;'Raw data'!$L$2&amp;'Raw data'!$L$4:$L$267,0))),"")</f>
        <v>0</v>
      </c>
      <c r="G48" s="451">
        <f t="array" ref="G48">IFERROR(IF(G$1="","",INDEX('Raw data'!$Z$4:$Z$267,MATCH(Mortality!G$1&amp;$A$1&amp;$A48,'Raw data'!$K$4:$K$267&amp;'Raw data'!$L$2&amp;'Raw data'!$L$4:$L$267,0))),"")</f>
        <v>0</v>
      </c>
      <c r="H48" s="418"/>
      <c r="I48" s="432">
        <f t="array" ref="I48">IFERROR(INDEX(Map!$V$2:$V$67,MATCH(Mortality!$B48&amp;Mortality!$C48,Map!$W$2:$W$67&amp;Map!$X$2:$X$67,0)),"")</f>
        <v>54</v>
      </c>
      <c r="J48" s="418" t="str">
        <f>J41</f>
        <v>T4</v>
      </c>
      <c r="K48" s="418" t="s">
        <v>9</v>
      </c>
      <c r="L48" s="455">
        <f t="array" ref="L48">IFERROR(IF(L$1="","",INDEX('Raw data'!$AB$4:$AB$267,MATCH(Mortality!L$1&amp;$A$1&amp;$A48,'Raw data'!$K$4:$K$267&amp;'Raw data'!$L$2&amp;'Raw data'!$L$4:$L$267,0))),"")</f>
        <v>2</v>
      </c>
      <c r="M48" s="448">
        <f t="array" ref="M48">IFERROR(IF(M$1="","",INDEX('Raw data'!$AB$4:$AB$267,MATCH(Mortality!M$1&amp;$A$1&amp;$A48,'Raw data'!$K$4:$K$267&amp;'Raw data'!$L$2&amp;'Raw data'!$L$4:$L$267,0))),"")</f>
        <v>1</v>
      </c>
      <c r="N48" s="448">
        <f t="array" ref="N48">IFERROR(IF(N$1="","",INDEX('Raw data'!$AB$4:$AB$267,MATCH(Mortality!N$1&amp;$A$1&amp;$A48,'Raw data'!$K$4:$K$267&amp;'Raw data'!$L$2&amp;'Raw data'!$L$4:$L$267,0))),"")</f>
        <v>1</v>
      </c>
      <c r="O48" s="451">
        <f t="array" ref="O48">IFERROR(IF(O$1="","",INDEX('Raw data'!$AB$4:$AB$267,MATCH(Mortality!O$1&amp;$A$1&amp;$A48,'Raw data'!$K$4:$K$267&amp;'Raw data'!$L$2&amp;'Raw data'!$L$4:$L$267,0))),"")</f>
        <v>0</v>
      </c>
    </row>
    <row r="49" spans="1:15" x14ac:dyDescent="0.25">
      <c r="A49" s="432">
        <f t="array" ref="A49">IFERROR(INDEX(Map!$V$2:$V$67,MATCH(Mortality!$B49&amp;Mortality!$C49,Map!$W$2:$W$67&amp;Map!$X$2:$X$67,0)),"")</f>
        <v>64</v>
      </c>
      <c r="B49" s="418" t="str">
        <f>B41</f>
        <v>T4</v>
      </c>
      <c r="C49" s="418" t="s">
        <v>22</v>
      </c>
      <c r="D49" s="455">
        <f t="array" ref="D49">IFERROR(IF(D$1="","",INDEX('Raw data'!$Z$4:$Z$267,MATCH(Mortality!D$1&amp;$A$1&amp;$A49,'Raw data'!$K$4:$K$267&amp;'Raw data'!$L$2&amp;'Raw data'!$L$4:$L$267,0))),"")</f>
        <v>0</v>
      </c>
      <c r="E49" s="448">
        <f t="array" ref="E49">IFERROR(IF(E$1="","",INDEX('Raw data'!$Z$4:$Z$267,MATCH(Mortality!E$1&amp;$A$1&amp;$A49,'Raw data'!$K$4:$K$267&amp;'Raw data'!$L$2&amp;'Raw data'!$L$4:$L$267,0))),"")</f>
        <v>0</v>
      </c>
      <c r="F49" s="448">
        <f t="array" ref="F49">IFERROR(IF(F$1="","",INDEX('Raw data'!$Z$4:$Z$267,MATCH(Mortality!F$1&amp;$A$1&amp;$A49,'Raw data'!$K$4:$K$267&amp;'Raw data'!$L$2&amp;'Raw data'!$L$4:$L$267,0))),"")</f>
        <v>0</v>
      </c>
      <c r="G49" s="451">
        <f t="array" ref="G49">IFERROR(IF(G$1="","",INDEX('Raw data'!$Z$4:$Z$267,MATCH(Mortality!G$1&amp;$A$1&amp;$A49,'Raw data'!$K$4:$K$267&amp;'Raw data'!$L$2&amp;'Raw data'!$L$4:$L$267,0))),"")</f>
        <v>1</v>
      </c>
      <c r="H49" s="418"/>
      <c r="I49" s="432">
        <f t="array" ref="I49">IFERROR(INDEX(Map!$V$2:$V$67,MATCH(Mortality!$B49&amp;Mortality!$C49,Map!$W$2:$W$67&amp;Map!$X$2:$X$67,0)),"")</f>
        <v>64</v>
      </c>
      <c r="J49" s="418" t="str">
        <f>J41</f>
        <v>T4</v>
      </c>
      <c r="K49" s="418" t="s">
        <v>22</v>
      </c>
      <c r="L49" s="455">
        <f t="array" ref="L49">IFERROR(IF(L$1="","",INDEX('Raw data'!$AB$4:$AB$267,MATCH(Mortality!L$1&amp;$A$1&amp;$A49,'Raw data'!$K$4:$K$267&amp;'Raw data'!$L$2&amp;'Raw data'!$L$4:$L$267,0))),"")</f>
        <v>2</v>
      </c>
      <c r="M49" s="448">
        <f t="array" ref="M49">IFERROR(IF(M$1="","",INDEX('Raw data'!$AB$4:$AB$267,MATCH(Mortality!M$1&amp;$A$1&amp;$A49,'Raw data'!$K$4:$K$267&amp;'Raw data'!$L$2&amp;'Raw data'!$L$4:$L$267,0))),"")</f>
        <v>1</v>
      </c>
      <c r="N49" s="448">
        <f t="array" ref="N49">IFERROR(IF(N$1="","",INDEX('Raw data'!$AB$4:$AB$267,MATCH(Mortality!N$1&amp;$A$1&amp;$A49,'Raw data'!$K$4:$K$267&amp;'Raw data'!$L$2&amp;'Raw data'!$L$4:$L$267,0))),"")</f>
        <v>1</v>
      </c>
      <c r="O49" s="451">
        <f t="array" ref="O49">IFERROR(IF(O$1="","",INDEX('Raw data'!$AB$4:$AB$267,MATCH(Mortality!O$1&amp;$A$1&amp;$A49,'Raw data'!$K$4:$K$267&amp;'Raw data'!$L$2&amp;'Raw data'!$L$4:$L$267,0))),"")</f>
        <v>0</v>
      </c>
    </row>
    <row r="50" spans="1:15" s="417" customFormat="1" x14ac:dyDescent="0.25">
      <c r="A50" s="432">
        <f t="array" ref="A50">IFERROR(INDEX(Map!$V$2:$V$67,MATCH(Mortality!$B50&amp;Mortality!$C50,Map!$W$2:$W$67&amp;Map!$X$2:$X$67,0)),"")</f>
        <v>24</v>
      </c>
      <c r="B50" s="418" t="str">
        <f>B41</f>
        <v>T4</v>
      </c>
      <c r="C50" s="418" t="s">
        <v>101</v>
      </c>
      <c r="D50" s="455">
        <f t="array" ref="D50">IFERROR(IF(D$1="","",INDEX('Raw data'!$Z$4:$Z$267,MATCH(Mortality!D$1&amp;$A$1&amp;$A50,'Raw data'!$K$4:$K$267&amp;'Raw data'!$L$2&amp;'Raw data'!$L$4:$L$267,0))),"")</f>
        <v>0</v>
      </c>
      <c r="E50" s="448">
        <f t="array" ref="E50">IFERROR(IF(E$1="","",INDEX('Raw data'!$Z$4:$Z$267,MATCH(Mortality!E$1&amp;$A$1&amp;$A50,'Raw data'!$K$4:$K$267&amp;'Raw data'!$L$2&amp;'Raw data'!$L$4:$L$267,0))),"")</f>
        <v>0</v>
      </c>
      <c r="F50" s="448">
        <f t="array" ref="F50">IFERROR(IF(F$1="","",INDEX('Raw data'!$Z$4:$Z$267,MATCH(Mortality!F$1&amp;$A$1&amp;$A50,'Raw data'!$K$4:$K$267&amp;'Raw data'!$L$2&amp;'Raw data'!$L$4:$L$267,0))),"")</f>
        <v>0</v>
      </c>
      <c r="G50" s="451">
        <f t="array" ref="G50">IFERROR(IF(G$1="","",INDEX('Raw data'!$Z$4:$Z$267,MATCH(Mortality!G$1&amp;$A$1&amp;$A50,'Raw data'!$K$4:$K$267&amp;'Raw data'!$L$2&amp;'Raw data'!$L$4:$L$267,0))),"")</f>
        <v>0</v>
      </c>
      <c r="H50" s="418"/>
      <c r="I50" s="432">
        <f t="array" ref="I50">IFERROR(INDEX(Map!$V$2:$V$67,MATCH(Mortality!$B50&amp;Mortality!$C50,Map!$W$2:$W$67&amp;Map!$X$2:$X$67,0)),"")</f>
        <v>24</v>
      </c>
      <c r="J50" s="418" t="str">
        <f>J41</f>
        <v>T4</v>
      </c>
      <c r="K50" s="418" t="s">
        <v>101</v>
      </c>
      <c r="L50" s="455">
        <f t="array" ref="L50">IFERROR(IF(L$1="","",INDEX('Raw data'!$AB$4:$AB$267,MATCH(Mortality!L$1&amp;$A$1&amp;$A50,'Raw data'!$K$4:$K$267&amp;'Raw data'!$L$2&amp;'Raw data'!$L$4:$L$267,0))),"")</f>
        <v>0</v>
      </c>
      <c r="M50" s="448">
        <f t="array" ref="M50">IFERROR(IF(M$1="","",INDEX('Raw data'!$AB$4:$AB$267,MATCH(Mortality!M$1&amp;$A$1&amp;$A50,'Raw data'!$K$4:$K$267&amp;'Raw data'!$L$2&amp;'Raw data'!$L$4:$L$267,0))),"")</f>
        <v>0</v>
      </c>
      <c r="N50" s="448">
        <f t="array" ref="N50">IFERROR(IF(N$1="","",INDEX('Raw data'!$AB$4:$AB$267,MATCH(Mortality!N$1&amp;$A$1&amp;$A50,'Raw data'!$K$4:$K$267&amp;'Raw data'!$L$2&amp;'Raw data'!$L$4:$L$267,0))),"")</f>
        <v>1</v>
      </c>
      <c r="O50" s="451">
        <f t="array" ref="O50">IFERROR(IF(O$1="","",INDEX('Raw data'!$AB$4:$AB$267,MATCH(Mortality!O$1&amp;$A$1&amp;$A50,'Raw data'!$K$4:$K$267&amp;'Raw data'!$L$2&amp;'Raw data'!$L$4:$L$267,0))),"")</f>
        <v>0</v>
      </c>
    </row>
    <row r="51" spans="1:15" s="417" customFormat="1" x14ac:dyDescent="0.25">
      <c r="A51" s="446">
        <f t="array" ref="A51">IFERROR(INDEX(Map!$V$2:$V$67,MATCH(Mortality!$B51&amp;Mortality!$C51,Map!$W$2:$W$67&amp;Map!$X$2:$X$67,0)),"")</f>
        <v>44</v>
      </c>
      <c r="B51" s="418" t="str">
        <f>B41</f>
        <v>T4</v>
      </c>
      <c r="C51" s="418" t="s">
        <v>102</v>
      </c>
      <c r="D51" s="456">
        <f t="array" ref="D51">IFERROR(IF(D$1="","",INDEX('Raw data'!$Z$4:$Z$267,MATCH(Mortality!D$1&amp;$A$1&amp;$A51,'Raw data'!$K$4:$K$267&amp;'Raw data'!$L$2&amp;'Raw data'!$L$4:$L$267,0))),"")</f>
        <v>0</v>
      </c>
      <c r="E51" s="449">
        <f t="array" ref="E51">IFERROR(IF(E$1="","",INDEX('Raw data'!$Z$4:$Z$267,MATCH(Mortality!E$1&amp;$A$1&amp;$A51,'Raw data'!$K$4:$K$267&amp;'Raw data'!$L$2&amp;'Raw data'!$L$4:$L$267,0))),"")</f>
        <v>0</v>
      </c>
      <c r="F51" s="449">
        <f t="array" ref="F51">IFERROR(IF(F$1="","",INDEX('Raw data'!$Z$4:$Z$267,MATCH(Mortality!F$1&amp;$A$1&amp;$A51,'Raw data'!$K$4:$K$267&amp;'Raw data'!$L$2&amp;'Raw data'!$L$4:$L$267,0))),"")</f>
        <v>0</v>
      </c>
      <c r="G51" s="452">
        <f t="array" ref="G51">IFERROR(IF(G$1="","",INDEX('Raw data'!$Z$4:$Z$267,MATCH(Mortality!G$1&amp;$A$1&amp;$A51,'Raw data'!$K$4:$K$267&amp;'Raw data'!$L$2&amp;'Raw data'!$L$4:$L$267,0))),"")</f>
        <v>0</v>
      </c>
      <c r="H51" s="418"/>
      <c r="I51" s="446">
        <f t="array" ref="I51">IFERROR(INDEX(Map!$V$2:$V$67,MATCH(Mortality!$B51&amp;Mortality!$C51,Map!$W$2:$W$67&amp;Map!$X$2:$X$67,0)),"")</f>
        <v>44</v>
      </c>
      <c r="J51" s="418" t="str">
        <f>J41</f>
        <v>T4</v>
      </c>
      <c r="K51" s="418" t="s">
        <v>102</v>
      </c>
      <c r="L51" s="456">
        <f t="array" ref="L51">IFERROR(IF(L$1="","",INDEX('Raw data'!$AB$4:$AB$267,MATCH(Mortality!L$1&amp;$A$1&amp;$A51,'Raw data'!$K$4:$K$267&amp;'Raw data'!$L$2&amp;'Raw data'!$L$4:$L$267,0))),"")</f>
        <v>1</v>
      </c>
      <c r="M51" s="449">
        <f t="array" ref="M51">IFERROR(IF(M$1="","",INDEX('Raw data'!$AB$4:$AB$267,MATCH(Mortality!M$1&amp;$A$1&amp;$A51,'Raw data'!$K$4:$K$267&amp;'Raw data'!$L$2&amp;'Raw data'!$L$4:$L$267,0))),"")</f>
        <v>0</v>
      </c>
      <c r="N51" s="449">
        <f t="array" ref="N51">IFERROR(IF(N$1="","",INDEX('Raw data'!$AB$4:$AB$267,MATCH(Mortality!N$1&amp;$A$1&amp;$A51,'Raw data'!$K$4:$K$267&amp;'Raw data'!$L$2&amp;'Raw data'!$L$4:$L$267,0))),"")</f>
        <v>1</v>
      </c>
      <c r="O51" s="452">
        <f t="array" ref="O51">IFERROR(IF(O$1="","",INDEX('Raw data'!$AB$4:$AB$267,MATCH(Mortality!O$1&amp;$A$1&amp;$A51,'Raw data'!$K$4:$K$267&amp;'Raw data'!$L$2&amp;'Raw data'!$L$4:$L$267,0))),"")</f>
        <v>0</v>
      </c>
    </row>
    <row r="52" spans="1:15" s="417" customFormat="1" x14ac:dyDescent="0.25">
      <c r="A52" s="432"/>
      <c r="B52" s="565" t="s">
        <v>1</v>
      </c>
      <c r="C52" s="565"/>
      <c r="D52" s="457">
        <f>IF(D$1="","",(SUM(D41:D51)))</f>
        <v>3</v>
      </c>
      <c r="E52" s="458">
        <f>IF(E$1="","",(SUM(E41:E51)))</f>
        <v>1</v>
      </c>
      <c r="F52" s="458">
        <f>IF(F$1="","",(SUM(F41:F51)))</f>
        <v>3</v>
      </c>
      <c r="G52" s="459">
        <f>IF(G$1="","",(SUM(G41:G51)))</f>
        <v>4</v>
      </c>
      <c r="H52" s="418"/>
      <c r="I52" s="432"/>
      <c r="J52" s="565" t="s">
        <v>1</v>
      </c>
      <c r="K52" s="565"/>
      <c r="L52" s="457">
        <f>IF(L$1="","",(SUM(L41:L51)))</f>
        <v>13</v>
      </c>
      <c r="M52" s="458">
        <f>IF(M$1="","",(SUM(M41:M51)))</f>
        <v>3</v>
      </c>
      <c r="N52" s="458">
        <f>IF(N$1="","",(SUM(N41:N51)))</f>
        <v>10</v>
      </c>
      <c r="O52" s="459">
        <f>IF(O$1="","",(SUM(O41:O51)))</f>
        <v>0</v>
      </c>
    </row>
    <row r="53" spans="1:15" ht="15.75" thickBot="1" x14ac:dyDescent="0.3">
      <c r="A53" s="132"/>
      <c r="B53" s="567" t="s">
        <v>95</v>
      </c>
      <c r="C53" s="568"/>
      <c r="D53" s="359">
        <f>IF(D$1="","",Summary!B53)</f>
        <v>6.8649885583524023E-3</v>
      </c>
      <c r="E53" s="218">
        <f>IF(E$1="","",Summary!C53)</f>
        <v>2.3640661938534278E-3</v>
      </c>
      <c r="F53" s="218">
        <f>IF(F$1="","",Summary!D53)</f>
        <v>7.1942446043165471E-3</v>
      </c>
      <c r="G53" s="353">
        <f>IF(G$1="","",Summary!E53)</f>
        <v>9.9255583126550868E-3</v>
      </c>
      <c r="H53" s="24"/>
      <c r="I53" s="132"/>
      <c r="J53" s="567" t="s">
        <v>96</v>
      </c>
      <c r="K53" s="568"/>
      <c r="L53" s="359">
        <f>IF(L$1="","",Summary!I53)</f>
        <v>3.0444964871194378E-2</v>
      </c>
      <c r="M53" s="218">
        <f>IF(M$1="","",Summary!J53)</f>
        <v>7.1258907363420431E-3</v>
      </c>
      <c r="N53" s="218">
        <f>IF(N$1="","",Summary!K53)</f>
        <v>2.4390243902439025E-2</v>
      </c>
      <c r="O53" s="353">
        <f>IF(O$1="","",Summary!L53)</f>
        <v>0</v>
      </c>
    </row>
    <row r="54" spans="1:15" x14ac:dyDescent="0.25">
      <c r="A54" s="431">
        <f t="array" ref="A54">IFERROR(INDEX(Map!$V$2:$V$67,MATCH(Mortality!$B54&amp;Mortality!$C54,Map!$W$2:$W$67&amp;Map!$X$2:$X$67,0)),"")</f>
        <v>3</v>
      </c>
      <c r="B54" s="420" t="s">
        <v>14</v>
      </c>
      <c r="C54" s="420" t="s">
        <v>2</v>
      </c>
      <c r="D54" s="454">
        <f t="array" ref="D54">IFERROR(IF(D$1="","",INDEX('Raw data'!$Z$4:$Z$267,MATCH(Mortality!D$1&amp;$A$1&amp;$A54,'Raw data'!$K$4:$K$267&amp;'Raw data'!$L$2&amp;'Raw data'!$L$4:$L$267,0))),"")</f>
        <v>1</v>
      </c>
      <c r="E54" s="447">
        <f t="array" ref="E54">IFERROR(IF(E$1="","",INDEX('Raw data'!$Z$4:$Z$267,MATCH(Mortality!E$1&amp;$A$1&amp;$A54,'Raw data'!$K$4:$K$267&amp;'Raw data'!$L$2&amp;'Raw data'!$L$4:$L$267,0))),"")</f>
        <v>1</v>
      </c>
      <c r="F54" s="447">
        <f t="array" ref="F54">IFERROR(IF(F$1="","",INDEX('Raw data'!$Z$4:$Z$267,MATCH(Mortality!F$1&amp;$A$1&amp;$A54,'Raw data'!$K$4:$K$267&amp;'Raw data'!$L$2&amp;'Raw data'!$L$4:$L$267,0))),"")</f>
        <v>0</v>
      </c>
      <c r="G54" s="450">
        <f t="array" ref="G54">IFERROR(IF(G$1="","",INDEX('Raw data'!$Z$4:$Z$267,MATCH(Mortality!G$1&amp;$A$1&amp;$A54,'Raw data'!$K$4:$K$267&amp;'Raw data'!$L$2&amp;'Raw data'!$L$4:$L$267,0))),"")</f>
        <v>1</v>
      </c>
      <c r="H54" s="418"/>
      <c r="I54" s="431">
        <f t="array" ref="I54">IFERROR(INDEX(Map!$V$2:$V$67,MATCH(Mortality!$B54&amp;Mortality!$C54,Map!$W$2:$W$67&amp;Map!$X$2:$X$67,0)),"")</f>
        <v>3</v>
      </c>
      <c r="J54" s="420" t="s">
        <v>14</v>
      </c>
      <c r="K54" s="420" t="s">
        <v>2</v>
      </c>
      <c r="L54" s="454">
        <f t="array" ref="L54">IFERROR(IF(L$1="","",INDEX('Raw data'!$AB$4:$AB$267,MATCH(Mortality!L$1&amp;$A$1&amp;$A54,'Raw data'!$K$4:$K$267&amp;'Raw data'!$L$2&amp;'Raw data'!$L$4:$L$267,0))),"")</f>
        <v>2</v>
      </c>
      <c r="M54" s="447">
        <f t="array" ref="M54">IFERROR(IF(M$1="","",INDEX('Raw data'!$AB$4:$AB$267,MATCH(Mortality!M$1&amp;$A$1&amp;$A54,'Raw data'!$K$4:$K$267&amp;'Raw data'!$L$2&amp;'Raw data'!$L$4:$L$267,0))),"")</f>
        <v>0</v>
      </c>
      <c r="N54" s="447">
        <f t="array" ref="N54">IFERROR(IF(N$1="","",INDEX('Raw data'!$AB$4:$AB$267,MATCH(Mortality!N$1&amp;$A$1&amp;$A54,'Raw data'!$K$4:$K$267&amp;'Raw data'!$L$2&amp;'Raw data'!$L$4:$L$267,0))),"")</f>
        <v>0</v>
      </c>
      <c r="O54" s="450">
        <f t="array" ref="O54">IFERROR(IF(O$1="","",INDEX('Raw data'!$AB$4:$AB$267,MATCH(Mortality!O$1&amp;$A$1&amp;$A54,'Raw data'!$K$4:$K$267&amp;'Raw data'!$L$2&amp;'Raw data'!$L$4:$L$267,0))),"")</f>
        <v>0</v>
      </c>
    </row>
    <row r="55" spans="1:15" x14ac:dyDescent="0.25">
      <c r="A55" s="432">
        <f t="array" ref="A55">IFERROR(INDEX(Map!$V$2:$V$67,MATCH(Mortality!$B55&amp;Mortality!$C55,Map!$W$2:$W$67&amp;Map!$X$2:$X$67,0)),"")</f>
        <v>14</v>
      </c>
      <c r="B55" s="418" t="str">
        <f>B54</f>
        <v>T5</v>
      </c>
      <c r="C55" s="418" t="s">
        <v>3</v>
      </c>
      <c r="D55" s="455">
        <f t="array" ref="D55">IFERROR(IF(D$1="","",INDEX('Raw data'!$Z$4:$Z$267,MATCH(Mortality!D$1&amp;$A$1&amp;$A55,'Raw data'!$K$4:$K$267&amp;'Raw data'!$L$2&amp;'Raw data'!$L$4:$L$267,0))),"")</f>
        <v>1</v>
      </c>
      <c r="E55" s="448">
        <f t="array" ref="E55">IFERROR(IF(E$1="","",INDEX('Raw data'!$Z$4:$Z$267,MATCH(Mortality!E$1&amp;$A$1&amp;$A55,'Raw data'!$K$4:$K$267&amp;'Raw data'!$L$2&amp;'Raw data'!$L$4:$L$267,0))),"")</f>
        <v>0</v>
      </c>
      <c r="F55" s="448">
        <f t="array" ref="F55">IFERROR(IF(F$1="","",INDEX('Raw data'!$Z$4:$Z$267,MATCH(Mortality!F$1&amp;$A$1&amp;$A55,'Raw data'!$K$4:$K$267&amp;'Raw data'!$L$2&amp;'Raw data'!$L$4:$L$267,0))),"")</f>
        <v>2</v>
      </c>
      <c r="G55" s="451">
        <f t="array" ref="G55">IFERROR(IF(G$1="","",INDEX('Raw data'!$Z$4:$Z$267,MATCH(Mortality!G$1&amp;$A$1&amp;$A55,'Raw data'!$K$4:$K$267&amp;'Raw data'!$L$2&amp;'Raw data'!$L$4:$L$267,0))),"")</f>
        <v>0</v>
      </c>
      <c r="H55" s="418"/>
      <c r="I55" s="432">
        <f t="array" ref="I55">IFERROR(INDEX(Map!$V$2:$V$67,MATCH(Mortality!$B55&amp;Mortality!$C55,Map!$W$2:$W$67&amp;Map!$X$2:$X$67,0)),"")</f>
        <v>14</v>
      </c>
      <c r="J55" s="418" t="str">
        <f>J54</f>
        <v>T5</v>
      </c>
      <c r="K55" s="418" t="s">
        <v>3</v>
      </c>
      <c r="L55" s="455">
        <f t="array" ref="L55">IFERROR(IF(L$1="","",INDEX('Raw data'!$AB$4:$AB$267,MATCH(Mortality!L$1&amp;$A$1&amp;$A55,'Raw data'!$K$4:$K$267&amp;'Raw data'!$L$2&amp;'Raw data'!$L$4:$L$267,0))),"")</f>
        <v>0</v>
      </c>
      <c r="M55" s="448">
        <f t="array" ref="M55">IFERROR(IF(M$1="","",INDEX('Raw data'!$AB$4:$AB$267,MATCH(Mortality!M$1&amp;$A$1&amp;$A55,'Raw data'!$K$4:$K$267&amp;'Raw data'!$L$2&amp;'Raw data'!$L$4:$L$267,0))),"")</f>
        <v>0</v>
      </c>
      <c r="N55" s="448">
        <f t="array" ref="N55">IFERROR(IF(N$1="","",INDEX('Raw data'!$AB$4:$AB$267,MATCH(Mortality!N$1&amp;$A$1&amp;$A55,'Raw data'!$K$4:$K$267&amp;'Raw data'!$L$2&amp;'Raw data'!$L$4:$L$267,0))),"")</f>
        <v>0</v>
      </c>
      <c r="O55" s="451">
        <f t="array" ref="O55">IFERROR(IF(O$1="","",INDEX('Raw data'!$AB$4:$AB$267,MATCH(Mortality!O$1&amp;$A$1&amp;$A55,'Raw data'!$K$4:$K$267&amp;'Raw data'!$L$2&amp;'Raw data'!$L$4:$L$267,0))),"")</f>
        <v>0</v>
      </c>
    </row>
    <row r="56" spans="1:15" x14ac:dyDescent="0.25">
      <c r="A56" s="432">
        <f t="array" ref="A56">IFERROR(INDEX(Map!$V$2:$V$67,MATCH(Mortality!$B56&amp;Mortality!$C56,Map!$W$2:$W$67&amp;Map!$X$2:$X$67,0)),"")</f>
        <v>18</v>
      </c>
      <c r="B56" s="418" t="str">
        <f>B54</f>
        <v>T5</v>
      </c>
      <c r="C56" s="418" t="s">
        <v>4</v>
      </c>
      <c r="D56" s="455">
        <f t="array" ref="D56">IFERROR(IF(D$1="","",INDEX('Raw data'!$Z$4:$Z$267,MATCH(Mortality!D$1&amp;$A$1&amp;$A56,'Raw data'!$K$4:$K$267&amp;'Raw data'!$L$2&amp;'Raw data'!$L$4:$L$267,0))),"")</f>
        <v>0</v>
      </c>
      <c r="E56" s="448">
        <f t="array" ref="E56">IFERROR(IF(E$1="","",INDEX('Raw data'!$Z$4:$Z$267,MATCH(Mortality!E$1&amp;$A$1&amp;$A56,'Raw data'!$K$4:$K$267&amp;'Raw data'!$L$2&amp;'Raw data'!$L$4:$L$267,0))),"")</f>
        <v>0</v>
      </c>
      <c r="F56" s="448">
        <f t="array" ref="F56">IFERROR(IF(F$1="","",INDEX('Raw data'!$Z$4:$Z$267,MATCH(Mortality!F$1&amp;$A$1&amp;$A56,'Raw data'!$K$4:$K$267&amp;'Raw data'!$L$2&amp;'Raw data'!$L$4:$L$267,0))),"")</f>
        <v>0</v>
      </c>
      <c r="G56" s="451">
        <f t="array" ref="G56">IFERROR(IF(G$1="","",INDEX('Raw data'!$Z$4:$Z$267,MATCH(Mortality!G$1&amp;$A$1&amp;$A56,'Raw data'!$K$4:$K$267&amp;'Raw data'!$L$2&amp;'Raw data'!$L$4:$L$267,0))),"")</f>
        <v>1</v>
      </c>
      <c r="H56" s="418"/>
      <c r="I56" s="432">
        <f t="array" ref="I56">IFERROR(INDEX(Map!$V$2:$V$67,MATCH(Mortality!$B56&amp;Mortality!$C56,Map!$W$2:$W$67&amp;Map!$X$2:$X$67,0)),"")</f>
        <v>18</v>
      </c>
      <c r="J56" s="418" t="str">
        <f>J54</f>
        <v>T5</v>
      </c>
      <c r="K56" s="418" t="s">
        <v>4</v>
      </c>
      <c r="L56" s="455">
        <f t="array" ref="L56">IFERROR(IF(L$1="","",INDEX('Raw data'!$AB$4:$AB$267,MATCH(Mortality!L$1&amp;$A$1&amp;$A56,'Raw data'!$K$4:$K$267&amp;'Raw data'!$L$2&amp;'Raw data'!$L$4:$L$267,0))),"")</f>
        <v>0</v>
      </c>
      <c r="M56" s="448">
        <f t="array" ref="M56">IFERROR(IF(M$1="","",INDEX('Raw data'!$AB$4:$AB$267,MATCH(Mortality!M$1&amp;$A$1&amp;$A56,'Raw data'!$K$4:$K$267&amp;'Raw data'!$L$2&amp;'Raw data'!$L$4:$L$267,0))),"")</f>
        <v>0</v>
      </c>
      <c r="N56" s="448">
        <f t="array" ref="N56">IFERROR(IF(N$1="","",INDEX('Raw data'!$AB$4:$AB$267,MATCH(Mortality!N$1&amp;$A$1&amp;$A56,'Raw data'!$K$4:$K$267&amp;'Raw data'!$L$2&amp;'Raw data'!$L$4:$L$267,0))),"")</f>
        <v>0</v>
      </c>
      <c r="O56" s="451">
        <f t="array" ref="O56">IFERROR(IF(O$1="","",INDEX('Raw data'!$AB$4:$AB$267,MATCH(Mortality!O$1&amp;$A$1&amp;$A56,'Raw data'!$K$4:$K$267&amp;'Raw data'!$L$2&amp;'Raw data'!$L$4:$L$267,0))),"")</f>
        <v>0</v>
      </c>
    </row>
    <row r="57" spans="1:15" x14ac:dyDescent="0.25">
      <c r="A57" s="432">
        <f t="array" ref="A57">IFERROR(INDEX(Map!$V$2:$V$67,MATCH(Mortality!$B57&amp;Mortality!$C57,Map!$W$2:$W$67&amp;Map!$X$2:$X$67,0)),"")</f>
        <v>28</v>
      </c>
      <c r="B57" s="418" t="str">
        <f>B54</f>
        <v>T5</v>
      </c>
      <c r="C57" s="418" t="s">
        <v>5</v>
      </c>
      <c r="D57" s="455">
        <f t="array" ref="D57">IFERROR(IF(D$1="","",INDEX('Raw data'!$Z$4:$Z$267,MATCH(Mortality!D$1&amp;$A$1&amp;$A57,'Raw data'!$K$4:$K$267&amp;'Raw data'!$L$2&amp;'Raw data'!$L$4:$L$267,0))),"")</f>
        <v>0</v>
      </c>
      <c r="E57" s="448">
        <f t="array" ref="E57">IFERROR(IF(E$1="","",INDEX('Raw data'!$Z$4:$Z$267,MATCH(Mortality!E$1&amp;$A$1&amp;$A57,'Raw data'!$K$4:$K$267&amp;'Raw data'!$L$2&amp;'Raw data'!$L$4:$L$267,0))),"")</f>
        <v>0</v>
      </c>
      <c r="F57" s="448">
        <f t="array" ref="F57">IFERROR(IF(F$1="","",INDEX('Raw data'!$Z$4:$Z$267,MATCH(Mortality!F$1&amp;$A$1&amp;$A57,'Raw data'!$K$4:$K$267&amp;'Raw data'!$L$2&amp;'Raw data'!$L$4:$L$267,0))),"")</f>
        <v>0</v>
      </c>
      <c r="G57" s="451">
        <f t="array" ref="G57">IFERROR(IF(G$1="","",INDEX('Raw data'!$Z$4:$Z$267,MATCH(Mortality!G$1&amp;$A$1&amp;$A57,'Raw data'!$K$4:$K$267&amp;'Raw data'!$L$2&amp;'Raw data'!$L$4:$L$267,0))),"")</f>
        <v>2</v>
      </c>
      <c r="H57" s="418"/>
      <c r="I57" s="432">
        <f t="array" ref="I57">IFERROR(INDEX(Map!$V$2:$V$67,MATCH(Mortality!$B57&amp;Mortality!$C57,Map!$W$2:$W$67&amp;Map!$X$2:$X$67,0)),"")</f>
        <v>28</v>
      </c>
      <c r="J57" s="418" t="str">
        <f>J54</f>
        <v>T5</v>
      </c>
      <c r="K57" s="418" t="s">
        <v>5</v>
      </c>
      <c r="L57" s="455">
        <f t="array" ref="L57">IFERROR(IF(L$1="","",INDEX('Raw data'!$AB$4:$AB$267,MATCH(Mortality!L$1&amp;$A$1&amp;$A57,'Raw data'!$K$4:$K$267&amp;'Raw data'!$L$2&amp;'Raw data'!$L$4:$L$267,0))),"")</f>
        <v>0</v>
      </c>
      <c r="M57" s="448">
        <f t="array" ref="M57">IFERROR(IF(M$1="","",INDEX('Raw data'!$AB$4:$AB$267,MATCH(Mortality!M$1&amp;$A$1&amp;$A57,'Raw data'!$K$4:$K$267&amp;'Raw data'!$L$2&amp;'Raw data'!$L$4:$L$267,0))),"")</f>
        <v>0</v>
      </c>
      <c r="N57" s="448">
        <f t="array" ref="N57">IFERROR(IF(N$1="","",INDEX('Raw data'!$AB$4:$AB$267,MATCH(Mortality!N$1&amp;$A$1&amp;$A57,'Raw data'!$K$4:$K$267&amp;'Raw data'!$L$2&amp;'Raw data'!$L$4:$L$267,0))),"")</f>
        <v>0</v>
      </c>
      <c r="O57" s="451">
        <f t="array" ref="O57">IFERROR(IF(O$1="","",INDEX('Raw data'!$AB$4:$AB$267,MATCH(Mortality!O$1&amp;$A$1&amp;$A57,'Raw data'!$K$4:$K$267&amp;'Raw data'!$L$2&amp;'Raw data'!$L$4:$L$267,0))),"")</f>
        <v>0</v>
      </c>
    </row>
    <row r="58" spans="1:15" x14ac:dyDescent="0.25">
      <c r="A58" s="432">
        <f t="array" ref="A58">IFERROR(INDEX(Map!$V$2:$V$67,MATCH(Mortality!$B58&amp;Mortality!$C58,Map!$W$2:$W$67&amp;Map!$X$2:$X$67,0)),"")</f>
        <v>35</v>
      </c>
      <c r="B58" s="418" t="str">
        <f>B54</f>
        <v>T5</v>
      </c>
      <c r="C58" s="418" t="s">
        <v>6</v>
      </c>
      <c r="D58" s="455">
        <f t="array" ref="D58">IFERROR(IF(D$1="","",INDEX('Raw data'!$Z$4:$Z$267,MATCH(Mortality!D$1&amp;$A$1&amp;$A58,'Raw data'!$K$4:$K$267&amp;'Raw data'!$L$2&amp;'Raw data'!$L$4:$L$267,0))),"")</f>
        <v>1</v>
      </c>
      <c r="E58" s="448">
        <f t="array" ref="E58">IFERROR(IF(E$1="","",INDEX('Raw data'!$Z$4:$Z$267,MATCH(Mortality!E$1&amp;$A$1&amp;$A58,'Raw data'!$K$4:$K$267&amp;'Raw data'!$L$2&amp;'Raw data'!$L$4:$L$267,0))),"")</f>
        <v>0</v>
      </c>
      <c r="F58" s="448">
        <f t="array" ref="F58">IFERROR(IF(F$1="","",INDEX('Raw data'!$Z$4:$Z$267,MATCH(Mortality!F$1&amp;$A$1&amp;$A58,'Raw data'!$K$4:$K$267&amp;'Raw data'!$L$2&amp;'Raw data'!$L$4:$L$267,0))),"")</f>
        <v>0</v>
      </c>
      <c r="G58" s="451">
        <f t="array" ref="G58">IFERROR(IF(G$1="","",INDEX('Raw data'!$Z$4:$Z$267,MATCH(Mortality!G$1&amp;$A$1&amp;$A58,'Raw data'!$K$4:$K$267&amp;'Raw data'!$L$2&amp;'Raw data'!$L$4:$L$267,0))),"")</f>
        <v>0</v>
      </c>
      <c r="H58" s="418"/>
      <c r="I58" s="432">
        <f t="array" ref="I58">IFERROR(INDEX(Map!$V$2:$V$67,MATCH(Mortality!$B58&amp;Mortality!$C58,Map!$W$2:$W$67&amp;Map!$X$2:$X$67,0)),"")</f>
        <v>35</v>
      </c>
      <c r="J58" s="418" t="str">
        <f>J54</f>
        <v>T5</v>
      </c>
      <c r="K58" s="418" t="s">
        <v>6</v>
      </c>
      <c r="L58" s="455">
        <f t="array" ref="L58">IFERROR(IF(L$1="","",INDEX('Raw data'!$AB$4:$AB$267,MATCH(Mortality!L$1&amp;$A$1&amp;$A58,'Raw data'!$K$4:$K$267&amp;'Raw data'!$L$2&amp;'Raw data'!$L$4:$L$267,0))),"")</f>
        <v>2</v>
      </c>
      <c r="M58" s="448">
        <f t="array" ref="M58">IFERROR(IF(M$1="","",INDEX('Raw data'!$AB$4:$AB$267,MATCH(Mortality!M$1&amp;$A$1&amp;$A58,'Raw data'!$K$4:$K$267&amp;'Raw data'!$L$2&amp;'Raw data'!$L$4:$L$267,0))),"")</f>
        <v>0</v>
      </c>
      <c r="N58" s="448">
        <f t="array" ref="N58">IFERROR(IF(N$1="","",INDEX('Raw data'!$AB$4:$AB$267,MATCH(Mortality!N$1&amp;$A$1&amp;$A58,'Raw data'!$K$4:$K$267&amp;'Raw data'!$L$2&amp;'Raw data'!$L$4:$L$267,0))),"")</f>
        <v>0</v>
      </c>
      <c r="O58" s="451">
        <f t="array" ref="O58">IFERROR(IF(O$1="","",INDEX('Raw data'!$AB$4:$AB$267,MATCH(Mortality!O$1&amp;$A$1&amp;$A58,'Raw data'!$K$4:$K$267&amp;'Raw data'!$L$2&amp;'Raw data'!$L$4:$L$267,0))),"")</f>
        <v>0</v>
      </c>
    </row>
    <row r="59" spans="1:15" x14ac:dyDescent="0.25">
      <c r="A59" s="432">
        <f t="array" ref="A59">IFERROR(INDEX(Map!$V$2:$V$67,MATCH(Mortality!$B59&amp;Mortality!$C59,Map!$W$2:$W$67&amp;Map!$X$2:$X$67,0)),"")</f>
        <v>42</v>
      </c>
      <c r="B59" s="418" t="str">
        <f>B54</f>
        <v>T5</v>
      </c>
      <c r="C59" s="418" t="s">
        <v>7</v>
      </c>
      <c r="D59" s="455">
        <f t="array" ref="D59">IFERROR(IF(D$1="","",INDEX('Raw data'!$Z$4:$Z$267,MATCH(Mortality!D$1&amp;$A$1&amp;$A59,'Raw data'!$K$4:$K$267&amp;'Raw data'!$L$2&amp;'Raw data'!$L$4:$L$267,0))),"")</f>
        <v>1</v>
      </c>
      <c r="E59" s="448">
        <f t="array" ref="E59">IFERROR(IF(E$1="","",INDEX('Raw data'!$Z$4:$Z$267,MATCH(Mortality!E$1&amp;$A$1&amp;$A59,'Raw data'!$K$4:$K$267&amp;'Raw data'!$L$2&amp;'Raw data'!$L$4:$L$267,0))),"")</f>
        <v>0</v>
      </c>
      <c r="F59" s="448">
        <f t="array" ref="F59">IFERROR(IF(F$1="","",INDEX('Raw data'!$Z$4:$Z$267,MATCH(Mortality!F$1&amp;$A$1&amp;$A59,'Raw data'!$K$4:$K$267&amp;'Raw data'!$L$2&amp;'Raw data'!$L$4:$L$267,0))),"")</f>
        <v>0</v>
      </c>
      <c r="G59" s="451">
        <f t="array" ref="G59">IFERROR(IF(G$1="","",INDEX('Raw data'!$Z$4:$Z$267,MATCH(Mortality!G$1&amp;$A$1&amp;$A59,'Raw data'!$K$4:$K$267&amp;'Raw data'!$L$2&amp;'Raw data'!$L$4:$L$267,0))),"")</f>
        <v>0</v>
      </c>
      <c r="H59" s="418"/>
      <c r="I59" s="432">
        <f t="array" ref="I59">IFERROR(INDEX(Map!$V$2:$V$67,MATCH(Mortality!$B59&amp;Mortality!$C59,Map!$W$2:$W$67&amp;Map!$X$2:$X$67,0)),"")</f>
        <v>42</v>
      </c>
      <c r="J59" s="418" t="str">
        <f>J54</f>
        <v>T5</v>
      </c>
      <c r="K59" s="418" t="s">
        <v>7</v>
      </c>
      <c r="L59" s="455">
        <f t="array" ref="L59">IFERROR(IF(L$1="","",INDEX('Raw data'!$AB$4:$AB$267,MATCH(Mortality!L$1&amp;$A$1&amp;$A59,'Raw data'!$K$4:$K$267&amp;'Raw data'!$L$2&amp;'Raw data'!$L$4:$L$267,0))),"")</f>
        <v>0</v>
      </c>
      <c r="M59" s="448">
        <f t="array" ref="M59">IFERROR(IF(M$1="","",INDEX('Raw data'!$AB$4:$AB$267,MATCH(Mortality!M$1&amp;$A$1&amp;$A59,'Raw data'!$K$4:$K$267&amp;'Raw data'!$L$2&amp;'Raw data'!$L$4:$L$267,0))),"")</f>
        <v>0</v>
      </c>
      <c r="N59" s="448">
        <f t="array" ref="N59">IFERROR(IF(N$1="","",INDEX('Raw data'!$AB$4:$AB$267,MATCH(Mortality!N$1&amp;$A$1&amp;$A59,'Raw data'!$K$4:$K$267&amp;'Raw data'!$L$2&amp;'Raw data'!$L$4:$L$267,0))),"")</f>
        <v>0</v>
      </c>
      <c r="O59" s="451">
        <f t="array" ref="O59">IFERROR(IF(O$1="","",INDEX('Raw data'!$AB$4:$AB$267,MATCH(Mortality!O$1&amp;$A$1&amp;$A59,'Raw data'!$K$4:$K$267&amp;'Raw data'!$L$2&amp;'Raw data'!$L$4:$L$267,0))),"")</f>
        <v>0</v>
      </c>
    </row>
    <row r="60" spans="1:15" x14ac:dyDescent="0.25">
      <c r="A60" s="432">
        <f t="array" ref="A60">IFERROR(INDEX(Map!$V$2:$V$67,MATCH(Mortality!$B60&amp;Mortality!$C60,Map!$W$2:$W$67&amp;Map!$X$2:$X$67,0)),"")</f>
        <v>49</v>
      </c>
      <c r="B60" s="418" t="str">
        <f>B54</f>
        <v>T5</v>
      </c>
      <c r="C60" s="418" t="s">
        <v>8</v>
      </c>
      <c r="D60" s="455">
        <f t="array" ref="D60">IFERROR(IF(D$1="","",INDEX('Raw data'!$Z$4:$Z$267,MATCH(Mortality!D$1&amp;$A$1&amp;$A60,'Raw data'!$K$4:$K$267&amp;'Raw data'!$L$2&amp;'Raw data'!$L$4:$L$267,0))),"")</f>
        <v>1</v>
      </c>
      <c r="E60" s="448">
        <f t="array" ref="E60">IFERROR(IF(E$1="","",INDEX('Raw data'!$Z$4:$Z$267,MATCH(Mortality!E$1&amp;$A$1&amp;$A60,'Raw data'!$K$4:$K$267&amp;'Raw data'!$L$2&amp;'Raw data'!$L$4:$L$267,0))),"")</f>
        <v>0</v>
      </c>
      <c r="F60" s="448">
        <f t="array" ref="F60">IFERROR(IF(F$1="","",INDEX('Raw data'!$Z$4:$Z$267,MATCH(Mortality!F$1&amp;$A$1&amp;$A60,'Raw data'!$K$4:$K$267&amp;'Raw data'!$L$2&amp;'Raw data'!$L$4:$L$267,0))),"")</f>
        <v>0</v>
      </c>
      <c r="G60" s="451">
        <f t="array" ref="G60">IFERROR(IF(G$1="","",INDEX('Raw data'!$Z$4:$Z$267,MATCH(Mortality!G$1&amp;$A$1&amp;$A60,'Raw data'!$K$4:$K$267&amp;'Raw data'!$L$2&amp;'Raw data'!$L$4:$L$267,0))),"")</f>
        <v>0</v>
      </c>
      <c r="H60" s="418"/>
      <c r="I60" s="432">
        <f t="array" ref="I60">IFERROR(INDEX(Map!$V$2:$V$67,MATCH(Mortality!$B60&amp;Mortality!$C60,Map!$W$2:$W$67&amp;Map!$X$2:$X$67,0)),"")</f>
        <v>49</v>
      </c>
      <c r="J60" s="418" t="str">
        <f>J54</f>
        <v>T5</v>
      </c>
      <c r="K60" s="418" t="s">
        <v>8</v>
      </c>
      <c r="L60" s="455">
        <f t="array" ref="L60">IFERROR(IF(L$1="","",INDEX('Raw data'!$AB$4:$AB$267,MATCH(Mortality!L$1&amp;$A$1&amp;$A60,'Raw data'!$K$4:$K$267&amp;'Raw data'!$L$2&amp;'Raw data'!$L$4:$L$267,0))),"")</f>
        <v>0</v>
      </c>
      <c r="M60" s="448">
        <f t="array" ref="M60">IFERROR(IF(M$1="","",INDEX('Raw data'!$AB$4:$AB$267,MATCH(Mortality!M$1&amp;$A$1&amp;$A60,'Raw data'!$K$4:$K$267&amp;'Raw data'!$L$2&amp;'Raw data'!$L$4:$L$267,0))),"")</f>
        <v>0</v>
      </c>
      <c r="N60" s="448">
        <f t="array" ref="N60">IFERROR(IF(N$1="","",INDEX('Raw data'!$AB$4:$AB$267,MATCH(Mortality!N$1&amp;$A$1&amp;$A60,'Raw data'!$K$4:$K$267&amp;'Raw data'!$L$2&amp;'Raw data'!$L$4:$L$267,0))),"")</f>
        <v>1</v>
      </c>
      <c r="O60" s="451">
        <f t="array" ref="O60">IFERROR(IF(O$1="","",INDEX('Raw data'!$AB$4:$AB$267,MATCH(Mortality!O$1&amp;$A$1&amp;$A60,'Raw data'!$K$4:$K$267&amp;'Raw data'!$L$2&amp;'Raw data'!$L$4:$L$267,0))),"")</f>
        <v>0</v>
      </c>
    </row>
    <row r="61" spans="1:15" x14ac:dyDescent="0.25">
      <c r="A61" s="432">
        <f t="array" ref="A61">IFERROR(INDEX(Map!$V$2:$V$67,MATCH(Mortality!$B61&amp;Mortality!$C61,Map!$W$2:$W$67&amp;Map!$X$2:$X$67,0)),"")</f>
        <v>53</v>
      </c>
      <c r="B61" s="418" t="str">
        <f>B54</f>
        <v>T5</v>
      </c>
      <c r="C61" s="418" t="s">
        <v>9</v>
      </c>
      <c r="D61" s="455">
        <f t="array" ref="D61">IFERROR(IF(D$1="","",INDEX('Raw data'!$Z$4:$Z$267,MATCH(Mortality!D$1&amp;$A$1&amp;$A61,'Raw data'!$K$4:$K$267&amp;'Raw data'!$L$2&amp;'Raw data'!$L$4:$L$267,0))),"")</f>
        <v>0</v>
      </c>
      <c r="E61" s="448">
        <f t="array" ref="E61">IFERROR(IF(E$1="","",INDEX('Raw data'!$Z$4:$Z$267,MATCH(Mortality!E$1&amp;$A$1&amp;$A61,'Raw data'!$K$4:$K$267&amp;'Raw data'!$L$2&amp;'Raw data'!$L$4:$L$267,0))),"")</f>
        <v>0</v>
      </c>
      <c r="F61" s="448">
        <f t="array" ref="F61">IFERROR(IF(F$1="","",INDEX('Raw data'!$Z$4:$Z$267,MATCH(Mortality!F$1&amp;$A$1&amp;$A61,'Raw data'!$K$4:$K$267&amp;'Raw data'!$L$2&amp;'Raw data'!$L$4:$L$267,0))),"")</f>
        <v>0</v>
      </c>
      <c r="G61" s="451">
        <f t="array" ref="G61">IFERROR(IF(G$1="","",INDEX('Raw data'!$Z$4:$Z$267,MATCH(Mortality!G$1&amp;$A$1&amp;$A61,'Raw data'!$K$4:$K$267&amp;'Raw data'!$L$2&amp;'Raw data'!$L$4:$L$267,0))),"")</f>
        <v>0</v>
      </c>
      <c r="H61" s="418"/>
      <c r="I61" s="432">
        <f t="array" ref="I61">IFERROR(INDEX(Map!$V$2:$V$67,MATCH(Mortality!$B61&amp;Mortality!$C61,Map!$W$2:$W$67&amp;Map!$X$2:$X$67,0)),"")</f>
        <v>53</v>
      </c>
      <c r="J61" s="418" t="str">
        <f>J54</f>
        <v>T5</v>
      </c>
      <c r="K61" s="418" t="s">
        <v>9</v>
      </c>
      <c r="L61" s="455">
        <f t="array" ref="L61">IFERROR(IF(L$1="","",INDEX('Raw data'!$AB$4:$AB$267,MATCH(Mortality!L$1&amp;$A$1&amp;$A61,'Raw data'!$K$4:$K$267&amp;'Raw data'!$L$2&amp;'Raw data'!$L$4:$L$267,0))),"")</f>
        <v>1</v>
      </c>
      <c r="M61" s="448">
        <f t="array" ref="M61">IFERROR(IF(M$1="","",INDEX('Raw data'!$AB$4:$AB$267,MATCH(Mortality!M$1&amp;$A$1&amp;$A61,'Raw data'!$K$4:$K$267&amp;'Raw data'!$L$2&amp;'Raw data'!$L$4:$L$267,0))),"")</f>
        <v>0</v>
      </c>
      <c r="N61" s="448">
        <f t="array" ref="N61">IFERROR(IF(N$1="","",INDEX('Raw data'!$AB$4:$AB$267,MATCH(Mortality!N$1&amp;$A$1&amp;$A61,'Raw data'!$K$4:$K$267&amp;'Raw data'!$L$2&amp;'Raw data'!$L$4:$L$267,0))),"")</f>
        <v>0</v>
      </c>
      <c r="O61" s="451">
        <f t="array" ref="O61">IFERROR(IF(O$1="","",INDEX('Raw data'!$AB$4:$AB$267,MATCH(Mortality!O$1&amp;$A$1&amp;$A61,'Raw data'!$K$4:$K$267&amp;'Raw data'!$L$2&amp;'Raw data'!$L$4:$L$267,0))),"")</f>
        <v>0</v>
      </c>
    </row>
    <row r="62" spans="1:15" x14ac:dyDescent="0.25">
      <c r="A62" s="432">
        <f t="array" ref="A62">IFERROR(INDEX(Map!$V$2:$V$67,MATCH(Mortality!$B62&amp;Mortality!$C62,Map!$W$2:$W$67&amp;Map!$X$2:$X$67,0)),"")</f>
        <v>60</v>
      </c>
      <c r="B62" s="418" t="str">
        <f>B54</f>
        <v>T5</v>
      </c>
      <c r="C62" s="418" t="s">
        <v>22</v>
      </c>
      <c r="D62" s="455">
        <f t="array" ref="D62">IFERROR(IF(D$1="","",INDEX('Raw data'!$Z$4:$Z$267,MATCH(Mortality!D$1&amp;$A$1&amp;$A62,'Raw data'!$K$4:$K$267&amp;'Raw data'!$L$2&amp;'Raw data'!$L$4:$L$267,0))),"")</f>
        <v>0</v>
      </c>
      <c r="E62" s="448">
        <f t="array" ref="E62">IFERROR(IF(E$1="","",INDEX('Raw data'!$Z$4:$Z$267,MATCH(Mortality!E$1&amp;$A$1&amp;$A62,'Raw data'!$K$4:$K$267&amp;'Raw data'!$L$2&amp;'Raw data'!$L$4:$L$267,0))),"")</f>
        <v>0</v>
      </c>
      <c r="F62" s="448">
        <f t="array" ref="F62">IFERROR(IF(F$1="","",INDEX('Raw data'!$Z$4:$Z$267,MATCH(Mortality!F$1&amp;$A$1&amp;$A62,'Raw data'!$K$4:$K$267&amp;'Raw data'!$L$2&amp;'Raw data'!$L$4:$L$267,0))),"")</f>
        <v>0</v>
      </c>
      <c r="G62" s="451">
        <f t="array" ref="G62">IFERROR(IF(G$1="","",INDEX('Raw data'!$Z$4:$Z$267,MATCH(Mortality!G$1&amp;$A$1&amp;$A62,'Raw data'!$K$4:$K$267&amp;'Raw data'!$L$2&amp;'Raw data'!$L$4:$L$267,0))),"")</f>
        <v>1</v>
      </c>
      <c r="H62" s="418"/>
      <c r="I62" s="432">
        <f t="array" ref="I62">IFERROR(INDEX(Map!$V$2:$V$67,MATCH(Mortality!$B62&amp;Mortality!$C62,Map!$W$2:$W$67&amp;Map!$X$2:$X$67,0)),"")</f>
        <v>60</v>
      </c>
      <c r="J62" s="418" t="str">
        <f>J54</f>
        <v>T5</v>
      </c>
      <c r="K62" s="418" t="s">
        <v>22</v>
      </c>
      <c r="L62" s="455">
        <f t="array" ref="L62">IFERROR(IF(L$1="","",INDEX('Raw data'!$AB$4:$AB$267,MATCH(Mortality!L$1&amp;$A$1&amp;$A62,'Raw data'!$K$4:$K$267&amp;'Raw data'!$L$2&amp;'Raw data'!$L$4:$L$267,0))),"")</f>
        <v>0</v>
      </c>
      <c r="M62" s="448">
        <f t="array" ref="M62">IFERROR(IF(M$1="","",INDEX('Raw data'!$AB$4:$AB$267,MATCH(Mortality!M$1&amp;$A$1&amp;$A62,'Raw data'!$K$4:$K$267&amp;'Raw data'!$L$2&amp;'Raw data'!$L$4:$L$267,0))),"")</f>
        <v>1</v>
      </c>
      <c r="N62" s="448">
        <f t="array" ref="N62">IFERROR(IF(N$1="","",INDEX('Raw data'!$AB$4:$AB$267,MATCH(Mortality!N$1&amp;$A$1&amp;$A62,'Raw data'!$K$4:$K$267&amp;'Raw data'!$L$2&amp;'Raw data'!$L$4:$L$267,0))),"")</f>
        <v>0</v>
      </c>
      <c r="O62" s="451">
        <f t="array" ref="O62">IFERROR(IF(O$1="","",INDEX('Raw data'!$AB$4:$AB$267,MATCH(Mortality!O$1&amp;$A$1&amp;$A62,'Raw data'!$K$4:$K$267&amp;'Raw data'!$L$2&amp;'Raw data'!$L$4:$L$267,0))),"")</f>
        <v>0</v>
      </c>
    </row>
    <row r="63" spans="1:15" s="417" customFormat="1" x14ac:dyDescent="0.25">
      <c r="A63" s="432">
        <f t="array" ref="A63">IFERROR(INDEX(Map!$V$2:$V$67,MATCH(Mortality!$B63&amp;Mortality!$C63,Map!$W$2:$W$67&amp;Map!$X$2:$X$67,0)),"")</f>
        <v>23</v>
      </c>
      <c r="B63" s="418" t="str">
        <f>B54</f>
        <v>T5</v>
      </c>
      <c r="C63" s="418" t="s">
        <v>101</v>
      </c>
      <c r="D63" s="455">
        <f t="array" ref="D63">IFERROR(IF(D$1="","",INDEX('Raw data'!$Z$4:$Z$267,MATCH(Mortality!D$1&amp;$A$1&amp;$A63,'Raw data'!$K$4:$K$267&amp;'Raw data'!$L$2&amp;'Raw data'!$L$4:$L$267,0))),"")</f>
        <v>0</v>
      </c>
      <c r="E63" s="448">
        <f t="array" ref="E63">IFERROR(IF(E$1="","",INDEX('Raw data'!$Z$4:$Z$267,MATCH(Mortality!E$1&amp;$A$1&amp;$A63,'Raw data'!$K$4:$K$267&amp;'Raw data'!$L$2&amp;'Raw data'!$L$4:$L$267,0))),"")</f>
        <v>0</v>
      </c>
      <c r="F63" s="448">
        <f t="array" ref="F63">IFERROR(IF(F$1="","",INDEX('Raw data'!$Z$4:$Z$267,MATCH(Mortality!F$1&amp;$A$1&amp;$A63,'Raw data'!$K$4:$K$267&amp;'Raw data'!$L$2&amp;'Raw data'!$L$4:$L$267,0))),"")</f>
        <v>0</v>
      </c>
      <c r="G63" s="451">
        <f t="array" ref="G63">IFERROR(IF(G$1="","",INDEX('Raw data'!$Z$4:$Z$267,MATCH(Mortality!G$1&amp;$A$1&amp;$A63,'Raw data'!$K$4:$K$267&amp;'Raw data'!$L$2&amp;'Raw data'!$L$4:$L$267,0))),"")</f>
        <v>0</v>
      </c>
      <c r="H63" s="418"/>
      <c r="I63" s="432">
        <f t="array" ref="I63">IFERROR(INDEX(Map!$V$2:$V$67,MATCH(Mortality!$B63&amp;Mortality!$C63,Map!$W$2:$W$67&amp;Map!$X$2:$X$67,0)),"")</f>
        <v>23</v>
      </c>
      <c r="J63" s="418" t="str">
        <f>J54</f>
        <v>T5</v>
      </c>
      <c r="K63" s="418" t="s">
        <v>101</v>
      </c>
      <c r="L63" s="455">
        <f t="array" ref="L63">IFERROR(IF(L$1="","",INDEX('Raw data'!$AB$4:$AB$267,MATCH(Mortality!L$1&amp;$A$1&amp;$A63,'Raw data'!$K$4:$K$267&amp;'Raw data'!$L$2&amp;'Raw data'!$L$4:$L$267,0))),"")</f>
        <v>1</v>
      </c>
      <c r="M63" s="448">
        <f t="array" ref="M63">IFERROR(IF(M$1="","",INDEX('Raw data'!$AB$4:$AB$267,MATCH(Mortality!M$1&amp;$A$1&amp;$A63,'Raw data'!$K$4:$K$267&amp;'Raw data'!$L$2&amp;'Raw data'!$L$4:$L$267,0))),"")</f>
        <v>0</v>
      </c>
      <c r="N63" s="448">
        <f t="array" ref="N63">IFERROR(IF(N$1="","",INDEX('Raw data'!$AB$4:$AB$267,MATCH(Mortality!N$1&amp;$A$1&amp;$A63,'Raw data'!$K$4:$K$267&amp;'Raw data'!$L$2&amp;'Raw data'!$L$4:$L$267,0))),"")</f>
        <v>0</v>
      </c>
      <c r="O63" s="451">
        <f t="array" ref="O63">IFERROR(IF(O$1="","",INDEX('Raw data'!$AB$4:$AB$267,MATCH(Mortality!O$1&amp;$A$1&amp;$A63,'Raw data'!$K$4:$K$267&amp;'Raw data'!$L$2&amp;'Raw data'!$L$4:$L$267,0))),"")</f>
        <v>0</v>
      </c>
    </row>
    <row r="64" spans="1:15" s="417" customFormat="1" x14ac:dyDescent="0.25">
      <c r="A64" s="446">
        <f t="array" ref="A64">IFERROR(INDEX(Map!$V$2:$V$67,MATCH(Mortality!$B64&amp;Mortality!$C64,Map!$W$2:$W$67&amp;Map!$X$2:$X$67,0)),"")</f>
        <v>22</v>
      </c>
      <c r="B64" s="418" t="str">
        <f>B54</f>
        <v>T5</v>
      </c>
      <c r="C64" s="418" t="s">
        <v>102</v>
      </c>
      <c r="D64" s="456">
        <f t="array" ref="D64">IFERROR(IF(D$1="","",INDEX('Raw data'!$Z$4:$Z$267,MATCH(Mortality!D$1&amp;$A$1&amp;$A64,'Raw data'!$K$4:$K$267&amp;'Raw data'!$L$2&amp;'Raw data'!$L$4:$L$267,0))),"")</f>
        <v>0</v>
      </c>
      <c r="E64" s="449">
        <f t="array" ref="E64">IFERROR(IF(E$1="","",INDEX('Raw data'!$Z$4:$Z$267,MATCH(Mortality!E$1&amp;$A$1&amp;$A64,'Raw data'!$K$4:$K$267&amp;'Raw data'!$L$2&amp;'Raw data'!$L$4:$L$267,0))),"")</f>
        <v>0</v>
      </c>
      <c r="F64" s="449">
        <f t="array" ref="F64">IFERROR(IF(F$1="","",INDEX('Raw data'!$Z$4:$Z$267,MATCH(Mortality!F$1&amp;$A$1&amp;$A64,'Raw data'!$K$4:$K$267&amp;'Raw data'!$L$2&amp;'Raw data'!$L$4:$L$267,0))),"")</f>
        <v>1</v>
      </c>
      <c r="G64" s="452">
        <f t="array" ref="G64">IFERROR(IF(G$1="","",INDEX('Raw data'!$Z$4:$Z$267,MATCH(Mortality!G$1&amp;$A$1&amp;$A64,'Raw data'!$K$4:$K$267&amp;'Raw data'!$L$2&amp;'Raw data'!$L$4:$L$267,0))),"")</f>
        <v>1</v>
      </c>
      <c r="H64" s="418"/>
      <c r="I64" s="446">
        <f t="array" ref="I64">IFERROR(INDEX(Map!$V$2:$V$67,MATCH(Mortality!$B64&amp;Mortality!$C64,Map!$W$2:$W$67&amp;Map!$X$2:$X$67,0)),"")</f>
        <v>22</v>
      </c>
      <c r="J64" s="418" t="str">
        <f>J54</f>
        <v>T5</v>
      </c>
      <c r="K64" s="418" t="s">
        <v>102</v>
      </c>
      <c r="L64" s="456">
        <f t="array" ref="L64">IFERROR(IF(L$1="","",INDEX('Raw data'!$AB$4:$AB$267,MATCH(Mortality!L$1&amp;$A$1&amp;$A64,'Raw data'!$K$4:$K$267&amp;'Raw data'!$L$2&amp;'Raw data'!$L$4:$L$267,0))),"")</f>
        <v>0</v>
      </c>
      <c r="M64" s="449">
        <f t="array" ref="M64">IFERROR(IF(M$1="","",INDEX('Raw data'!$AB$4:$AB$267,MATCH(Mortality!M$1&amp;$A$1&amp;$A64,'Raw data'!$K$4:$K$267&amp;'Raw data'!$L$2&amp;'Raw data'!$L$4:$L$267,0))),"")</f>
        <v>0</v>
      </c>
      <c r="N64" s="449">
        <f t="array" ref="N64">IFERROR(IF(N$1="","",INDEX('Raw data'!$AB$4:$AB$267,MATCH(Mortality!N$1&amp;$A$1&amp;$A64,'Raw data'!$K$4:$K$267&amp;'Raw data'!$L$2&amp;'Raw data'!$L$4:$L$267,0))),"")</f>
        <v>0</v>
      </c>
      <c r="O64" s="452">
        <f t="array" ref="O64">IFERROR(IF(O$1="","",INDEX('Raw data'!$AB$4:$AB$267,MATCH(Mortality!O$1&amp;$A$1&amp;$A64,'Raw data'!$K$4:$K$267&amp;'Raw data'!$L$2&amp;'Raw data'!$L$4:$L$267,0))),"")</f>
        <v>0</v>
      </c>
    </row>
    <row r="65" spans="1:15" s="417" customFormat="1" x14ac:dyDescent="0.25">
      <c r="A65" s="432"/>
      <c r="B65" s="565" t="s">
        <v>1</v>
      </c>
      <c r="C65" s="565"/>
      <c r="D65" s="457">
        <f>IF(D$1="","",(SUM(D54:D64)))</f>
        <v>5</v>
      </c>
      <c r="E65" s="458">
        <f>IF(E$1="","",(SUM(E54:E64)))</f>
        <v>1</v>
      </c>
      <c r="F65" s="458">
        <f>IF(F$1="","",(SUM(F54:F64)))</f>
        <v>3</v>
      </c>
      <c r="G65" s="459">
        <f>IF(G$1="","",(SUM(G54:G64)))</f>
        <v>6</v>
      </c>
      <c r="H65" s="418"/>
      <c r="I65" s="432"/>
      <c r="J65" s="565" t="s">
        <v>1</v>
      </c>
      <c r="K65" s="565"/>
      <c r="L65" s="457">
        <f>IF(L$1="","",(SUM(L54:L64)))</f>
        <v>6</v>
      </c>
      <c r="M65" s="458">
        <f>IF(M$1="","",(SUM(M54:M64)))</f>
        <v>1</v>
      </c>
      <c r="N65" s="458">
        <f>IF(N$1="","",(SUM(N54:N64)))</f>
        <v>1</v>
      </c>
      <c r="O65" s="459">
        <f>IF(O$1="","",(SUM(O54:O64)))</f>
        <v>0</v>
      </c>
    </row>
    <row r="66" spans="1:15" ht="15.75" thickBot="1" x14ac:dyDescent="0.3">
      <c r="A66" s="132"/>
      <c r="B66" s="567" t="s">
        <v>95</v>
      </c>
      <c r="C66" s="568"/>
      <c r="D66" s="359">
        <f>IF(D$1="","",Summary!B54)</f>
        <v>1.1494252873563218E-2</v>
      </c>
      <c r="E66" s="218">
        <f>IF(E$1="","",Summary!C54)</f>
        <v>2.3364485981308409E-3</v>
      </c>
      <c r="F66" s="218">
        <f>IF(F$1="","",Summary!D54)</f>
        <v>7.0754716981132077E-3</v>
      </c>
      <c r="G66" s="353">
        <f>IF(G$1="","",Summary!E54)</f>
        <v>1.4388489208633094E-2</v>
      </c>
      <c r="H66" s="24"/>
      <c r="I66" s="132"/>
      <c r="J66" s="567" t="s">
        <v>96</v>
      </c>
      <c r="K66" s="568"/>
      <c r="L66" s="359">
        <f>IF(L$1="","",Summary!I54)</f>
        <v>1.3824884792626729E-2</v>
      </c>
      <c r="M66" s="218">
        <f>IF(M$1="","",Summary!J54)</f>
        <v>2.3364485981308409E-3</v>
      </c>
      <c r="N66" s="218">
        <f>IF(N$1="","",Summary!K54)</f>
        <v>2.3474178403755869E-3</v>
      </c>
      <c r="O66" s="353">
        <f>IF(O$1="","",Summary!L54)</f>
        <v>0</v>
      </c>
    </row>
    <row r="67" spans="1:15" x14ac:dyDescent="0.25">
      <c r="A67" s="431">
        <f t="array" ref="A67">IFERROR(INDEX(Map!$V$2:$V$67,MATCH(Mortality!$B67&amp;Mortality!$C67,Map!$W$2:$W$67&amp;Map!$X$2:$X$67,0)),"")</f>
        <v>5</v>
      </c>
      <c r="B67" s="420" t="s">
        <v>16</v>
      </c>
      <c r="C67" s="420" t="s">
        <v>2</v>
      </c>
      <c r="D67" s="454">
        <f t="array" ref="D67">IFERROR(IF(D$1="","",INDEX('Raw data'!$Z$4:$Z$267,MATCH(Mortality!D$1&amp;$A$1&amp;$A67,'Raw data'!$K$4:$K$267&amp;'Raw data'!$L$2&amp;'Raw data'!$L$4:$L$267,0))),"")</f>
        <v>0</v>
      </c>
      <c r="E67" s="447">
        <f t="array" ref="E67">IFERROR(IF(E$1="","",INDEX('Raw data'!$Z$4:$Z$267,MATCH(Mortality!E$1&amp;$A$1&amp;$A67,'Raw data'!$K$4:$K$267&amp;'Raw data'!$L$2&amp;'Raw data'!$L$4:$L$267,0))),"")</f>
        <v>0</v>
      </c>
      <c r="F67" s="447">
        <f t="array" ref="F67">IFERROR(IF(F$1="","",INDEX('Raw data'!$Z$4:$Z$267,MATCH(Mortality!F$1&amp;$A$1&amp;$A67,'Raw data'!$K$4:$K$267&amp;'Raw data'!$L$2&amp;'Raw data'!$L$4:$L$267,0))),"")</f>
        <v>0</v>
      </c>
      <c r="G67" s="450">
        <f t="array" ref="G67">IFERROR(IF(G$1="","",INDEX('Raw data'!$Z$4:$Z$267,MATCH(Mortality!G$1&amp;$A$1&amp;$A67,'Raw data'!$K$4:$K$267&amp;'Raw data'!$L$2&amp;'Raw data'!$L$4:$L$267,0))),"")</f>
        <v>0</v>
      </c>
      <c r="H67" s="418"/>
      <c r="I67" s="431">
        <f t="array" ref="I67">IFERROR(INDEX(Map!$V$2:$V$67,MATCH(Mortality!$B67&amp;Mortality!$C67,Map!$W$2:$W$67&amp;Map!$X$2:$X$67,0)),"")</f>
        <v>5</v>
      </c>
      <c r="J67" s="420" t="s">
        <v>16</v>
      </c>
      <c r="K67" s="420" t="s">
        <v>2</v>
      </c>
      <c r="L67" s="454">
        <f t="array" ref="L67">IFERROR(IF(L$1="","",INDEX('Raw data'!$AB$4:$AB$267,MATCH(Mortality!L$1&amp;$A$1&amp;$A67,'Raw data'!$K$4:$K$267&amp;'Raw data'!$L$2&amp;'Raw data'!$L$4:$L$267,0))),"")</f>
        <v>0</v>
      </c>
      <c r="M67" s="447">
        <f t="array" ref="M67">IFERROR(IF(M$1="","",INDEX('Raw data'!$AB$4:$AB$267,MATCH(Mortality!M$1&amp;$A$1&amp;$A67,'Raw data'!$K$4:$K$267&amp;'Raw data'!$L$2&amp;'Raw data'!$L$4:$L$267,0))),"")</f>
        <v>0</v>
      </c>
      <c r="N67" s="447">
        <f t="array" ref="N67">IFERROR(IF(N$1="","",INDEX('Raw data'!$AB$4:$AB$267,MATCH(Mortality!N$1&amp;$A$1&amp;$A67,'Raw data'!$K$4:$K$267&amp;'Raw data'!$L$2&amp;'Raw data'!$L$4:$L$267,0))),"")</f>
        <v>1</v>
      </c>
      <c r="O67" s="450">
        <f t="array" ref="O67">IFERROR(IF(O$1="","",INDEX('Raw data'!$AB$4:$AB$267,MATCH(Mortality!O$1&amp;$A$1&amp;$A67,'Raw data'!$K$4:$K$267&amp;'Raw data'!$L$2&amp;'Raw data'!$L$4:$L$267,0))),"")</f>
        <v>0</v>
      </c>
    </row>
    <row r="68" spans="1:15" x14ac:dyDescent="0.25">
      <c r="A68" s="432">
        <f t="array" ref="A68">IFERROR(INDEX(Map!$V$2:$V$67,MATCH(Mortality!$B68&amp;Mortality!$C68,Map!$W$2:$W$67&amp;Map!$X$2:$X$67,0)),"")</f>
        <v>10</v>
      </c>
      <c r="B68" s="418" t="str">
        <f>B67</f>
        <v>T6</v>
      </c>
      <c r="C68" s="418" t="s">
        <v>3</v>
      </c>
      <c r="D68" s="455">
        <f t="array" ref="D68">IFERROR(IF(D$1="","",INDEX('Raw data'!$Z$4:$Z$267,MATCH(Mortality!D$1&amp;$A$1&amp;$A68,'Raw data'!$K$4:$K$267&amp;'Raw data'!$L$2&amp;'Raw data'!$L$4:$L$267,0))),"")</f>
        <v>2</v>
      </c>
      <c r="E68" s="448">
        <f t="array" ref="E68">IFERROR(IF(E$1="","",INDEX('Raw data'!$Z$4:$Z$267,MATCH(Mortality!E$1&amp;$A$1&amp;$A68,'Raw data'!$K$4:$K$267&amp;'Raw data'!$L$2&amp;'Raw data'!$L$4:$L$267,0))),"")</f>
        <v>0</v>
      </c>
      <c r="F68" s="448">
        <f t="array" ref="F68">IFERROR(IF(F$1="","",INDEX('Raw data'!$Z$4:$Z$267,MATCH(Mortality!F$1&amp;$A$1&amp;$A68,'Raw data'!$K$4:$K$267&amp;'Raw data'!$L$2&amp;'Raw data'!$L$4:$L$267,0))),"")</f>
        <v>0</v>
      </c>
      <c r="G68" s="451">
        <f t="array" ref="G68">IFERROR(IF(G$1="","",INDEX('Raw data'!$Z$4:$Z$267,MATCH(Mortality!G$1&amp;$A$1&amp;$A68,'Raw data'!$K$4:$K$267&amp;'Raw data'!$L$2&amp;'Raw data'!$L$4:$L$267,0))),"")</f>
        <v>1</v>
      </c>
      <c r="H68" s="418"/>
      <c r="I68" s="432">
        <f t="array" ref="I68">IFERROR(INDEX(Map!$V$2:$V$67,MATCH(Mortality!$B68&amp;Mortality!$C68,Map!$W$2:$W$67&amp;Map!$X$2:$X$67,0)),"")</f>
        <v>10</v>
      </c>
      <c r="J68" s="418" t="str">
        <f>J67</f>
        <v>T6</v>
      </c>
      <c r="K68" s="418" t="s">
        <v>3</v>
      </c>
      <c r="L68" s="455">
        <f t="array" ref="L68">IFERROR(IF(L$1="","",INDEX('Raw data'!$AB$4:$AB$267,MATCH(Mortality!L$1&amp;$A$1&amp;$A68,'Raw data'!$K$4:$K$267&amp;'Raw data'!$L$2&amp;'Raw data'!$L$4:$L$267,0))),"")</f>
        <v>0</v>
      </c>
      <c r="M68" s="448">
        <f t="array" ref="M68">IFERROR(IF(M$1="","",INDEX('Raw data'!$AB$4:$AB$267,MATCH(Mortality!M$1&amp;$A$1&amp;$A68,'Raw data'!$K$4:$K$267&amp;'Raw data'!$L$2&amp;'Raw data'!$L$4:$L$267,0))),"")</f>
        <v>0</v>
      </c>
      <c r="N68" s="448">
        <f t="array" ref="N68">IFERROR(IF(N$1="","",INDEX('Raw data'!$AB$4:$AB$267,MATCH(Mortality!N$1&amp;$A$1&amp;$A68,'Raw data'!$K$4:$K$267&amp;'Raw data'!$L$2&amp;'Raw data'!$L$4:$L$267,0))),"")</f>
        <v>1</v>
      </c>
      <c r="O68" s="451">
        <f t="array" ref="O68">IFERROR(IF(O$1="","",INDEX('Raw data'!$AB$4:$AB$267,MATCH(Mortality!O$1&amp;$A$1&amp;$A68,'Raw data'!$K$4:$K$267&amp;'Raw data'!$L$2&amp;'Raw data'!$L$4:$L$267,0))),"")</f>
        <v>0</v>
      </c>
    </row>
    <row r="69" spans="1:15" x14ac:dyDescent="0.25">
      <c r="A69" s="432">
        <f t="array" ref="A69">IFERROR(INDEX(Map!$V$2:$V$67,MATCH(Mortality!$B69&amp;Mortality!$C69,Map!$W$2:$W$67&amp;Map!$X$2:$X$67,0)),"")</f>
        <v>17</v>
      </c>
      <c r="B69" s="418" t="str">
        <f>B67</f>
        <v>T6</v>
      </c>
      <c r="C69" s="418" t="s">
        <v>4</v>
      </c>
      <c r="D69" s="455">
        <f t="array" ref="D69">IFERROR(IF(D$1="","",INDEX('Raw data'!$Z$4:$Z$267,MATCH(Mortality!D$1&amp;$A$1&amp;$A69,'Raw data'!$K$4:$K$267&amp;'Raw data'!$L$2&amp;'Raw data'!$L$4:$L$267,0))),"")</f>
        <v>0</v>
      </c>
      <c r="E69" s="448">
        <f t="array" ref="E69">IFERROR(IF(E$1="","",INDEX('Raw data'!$Z$4:$Z$267,MATCH(Mortality!E$1&amp;$A$1&amp;$A69,'Raw data'!$K$4:$K$267&amp;'Raw data'!$L$2&amp;'Raw data'!$L$4:$L$267,0))),"")</f>
        <v>0</v>
      </c>
      <c r="F69" s="448">
        <f t="array" ref="F69">IFERROR(IF(F$1="","",INDEX('Raw data'!$Z$4:$Z$267,MATCH(Mortality!F$1&amp;$A$1&amp;$A69,'Raw data'!$K$4:$K$267&amp;'Raw data'!$L$2&amp;'Raw data'!$L$4:$L$267,0))),"")</f>
        <v>0</v>
      </c>
      <c r="G69" s="451">
        <f t="array" ref="G69">IFERROR(IF(G$1="","",INDEX('Raw data'!$Z$4:$Z$267,MATCH(Mortality!G$1&amp;$A$1&amp;$A69,'Raw data'!$K$4:$K$267&amp;'Raw data'!$L$2&amp;'Raw data'!$L$4:$L$267,0))),"")</f>
        <v>0</v>
      </c>
      <c r="H69" s="418"/>
      <c r="I69" s="432">
        <f t="array" ref="I69">IFERROR(INDEX(Map!$V$2:$V$67,MATCH(Mortality!$B69&amp;Mortality!$C69,Map!$W$2:$W$67&amp;Map!$X$2:$X$67,0)),"")</f>
        <v>17</v>
      </c>
      <c r="J69" s="418" t="str">
        <f>J67</f>
        <v>T6</v>
      </c>
      <c r="K69" s="418" t="s">
        <v>4</v>
      </c>
      <c r="L69" s="455">
        <f t="array" ref="L69">IFERROR(IF(L$1="","",INDEX('Raw data'!$AB$4:$AB$267,MATCH(Mortality!L$1&amp;$A$1&amp;$A69,'Raw data'!$K$4:$K$267&amp;'Raw data'!$L$2&amp;'Raw data'!$L$4:$L$267,0))),"")</f>
        <v>0</v>
      </c>
      <c r="M69" s="448">
        <f t="array" ref="M69">IFERROR(IF(M$1="","",INDEX('Raw data'!$AB$4:$AB$267,MATCH(Mortality!M$1&amp;$A$1&amp;$A69,'Raw data'!$K$4:$K$267&amp;'Raw data'!$L$2&amp;'Raw data'!$L$4:$L$267,0))),"")</f>
        <v>0</v>
      </c>
      <c r="N69" s="448">
        <f t="array" ref="N69">IFERROR(IF(N$1="","",INDEX('Raw data'!$AB$4:$AB$267,MATCH(Mortality!N$1&amp;$A$1&amp;$A69,'Raw data'!$K$4:$K$267&amp;'Raw data'!$L$2&amp;'Raw data'!$L$4:$L$267,0))),"")</f>
        <v>1</v>
      </c>
      <c r="O69" s="451">
        <f t="array" ref="O69">IFERROR(IF(O$1="","",INDEX('Raw data'!$AB$4:$AB$267,MATCH(Mortality!O$1&amp;$A$1&amp;$A69,'Raw data'!$K$4:$K$267&amp;'Raw data'!$L$2&amp;'Raw data'!$L$4:$L$267,0))),"")</f>
        <v>0</v>
      </c>
    </row>
    <row r="70" spans="1:15" x14ac:dyDescent="0.25">
      <c r="A70" s="432">
        <f t="array" ref="A70">IFERROR(INDEX(Map!$V$2:$V$67,MATCH(Mortality!$B70&amp;Mortality!$C70,Map!$W$2:$W$67&amp;Map!$X$2:$X$67,0)),"")</f>
        <v>29</v>
      </c>
      <c r="B70" s="418" t="str">
        <f>B67</f>
        <v>T6</v>
      </c>
      <c r="C70" s="418" t="s">
        <v>5</v>
      </c>
      <c r="D70" s="455">
        <f t="array" ref="D70">IFERROR(IF(D$1="","",INDEX('Raw data'!$Z$4:$Z$267,MATCH(Mortality!D$1&amp;$A$1&amp;$A70,'Raw data'!$K$4:$K$267&amp;'Raw data'!$L$2&amp;'Raw data'!$L$4:$L$267,0))),"")</f>
        <v>0</v>
      </c>
      <c r="E70" s="448">
        <f t="array" ref="E70">IFERROR(IF(E$1="","",INDEX('Raw data'!$Z$4:$Z$267,MATCH(Mortality!E$1&amp;$A$1&amp;$A70,'Raw data'!$K$4:$K$267&amp;'Raw data'!$L$2&amp;'Raw data'!$L$4:$L$267,0))),"")</f>
        <v>0</v>
      </c>
      <c r="F70" s="448">
        <f t="array" ref="F70">IFERROR(IF(F$1="","",INDEX('Raw data'!$Z$4:$Z$267,MATCH(Mortality!F$1&amp;$A$1&amp;$A70,'Raw data'!$K$4:$K$267&amp;'Raw data'!$L$2&amp;'Raw data'!$L$4:$L$267,0))),"")</f>
        <v>1</v>
      </c>
      <c r="G70" s="451">
        <f t="array" ref="G70">IFERROR(IF(G$1="","",INDEX('Raw data'!$Z$4:$Z$267,MATCH(Mortality!G$1&amp;$A$1&amp;$A70,'Raw data'!$K$4:$K$267&amp;'Raw data'!$L$2&amp;'Raw data'!$L$4:$L$267,0))),"")</f>
        <v>1</v>
      </c>
      <c r="H70" s="418"/>
      <c r="I70" s="432">
        <f t="array" ref="I70">IFERROR(INDEX(Map!$V$2:$V$67,MATCH(Mortality!$B70&amp;Mortality!$C70,Map!$W$2:$W$67&amp;Map!$X$2:$X$67,0)),"")</f>
        <v>29</v>
      </c>
      <c r="J70" s="418" t="str">
        <f>J67</f>
        <v>T6</v>
      </c>
      <c r="K70" s="418" t="s">
        <v>5</v>
      </c>
      <c r="L70" s="455">
        <f t="array" ref="L70">IFERROR(IF(L$1="","",INDEX('Raw data'!$AB$4:$AB$267,MATCH(Mortality!L$1&amp;$A$1&amp;$A70,'Raw data'!$K$4:$K$267&amp;'Raw data'!$L$2&amp;'Raw data'!$L$4:$L$267,0))),"")</f>
        <v>0</v>
      </c>
      <c r="M70" s="448">
        <f t="array" ref="M70">IFERROR(IF(M$1="","",INDEX('Raw data'!$AB$4:$AB$267,MATCH(Mortality!M$1&amp;$A$1&amp;$A70,'Raw data'!$K$4:$K$267&amp;'Raw data'!$L$2&amp;'Raw data'!$L$4:$L$267,0))),"")</f>
        <v>0</v>
      </c>
      <c r="N70" s="448">
        <f t="array" ref="N70">IFERROR(IF(N$1="","",INDEX('Raw data'!$AB$4:$AB$267,MATCH(Mortality!N$1&amp;$A$1&amp;$A70,'Raw data'!$K$4:$K$267&amp;'Raw data'!$L$2&amp;'Raw data'!$L$4:$L$267,0))),"")</f>
        <v>1</v>
      </c>
      <c r="O70" s="451">
        <f t="array" ref="O70">IFERROR(IF(O$1="","",INDEX('Raw data'!$AB$4:$AB$267,MATCH(Mortality!O$1&amp;$A$1&amp;$A70,'Raw data'!$K$4:$K$267&amp;'Raw data'!$L$2&amp;'Raw data'!$L$4:$L$267,0))),"")</f>
        <v>0</v>
      </c>
    </row>
    <row r="71" spans="1:15" x14ac:dyDescent="0.25">
      <c r="A71" s="432">
        <f t="array" ref="A71">IFERROR(INDEX(Map!$V$2:$V$67,MATCH(Mortality!$B71&amp;Mortality!$C71,Map!$W$2:$W$67&amp;Map!$X$2:$X$67,0)),"")</f>
        <v>32</v>
      </c>
      <c r="B71" s="418" t="str">
        <f>B67</f>
        <v>T6</v>
      </c>
      <c r="C71" s="418" t="s">
        <v>6</v>
      </c>
      <c r="D71" s="455">
        <f t="array" ref="D71">IFERROR(IF(D$1="","",INDEX('Raw data'!$Z$4:$Z$267,MATCH(Mortality!D$1&amp;$A$1&amp;$A71,'Raw data'!$K$4:$K$267&amp;'Raw data'!$L$2&amp;'Raw data'!$L$4:$L$267,0))),"")</f>
        <v>0</v>
      </c>
      <c r="E71" s="448">
        <f t="array" ref="E71">IFERROR(IF(E$1="","",INDEX('Raw data'!$Z$4:$Z$267,MATCH(Mortality!E$1&amp;$A$1&amp;$A71,'Raw data'!$K$4:$K$267&amp;'Raw data'!$L$2&amp;'Raw data'!$L$4:$L$267,0))),"")</f>
        <v>0</v>
      </c>
      <c r="F71" s="448">
        <f t="array" ref="F71">IFERROR(IF(F$1="","",INDEX('Raw data'!$Z$4:$Z$267,MATCH(Mortality!F$1&amp;$A$1&amp;$A71,'Raw data'!$K$4:$K$267&amp;'Raw data'!$L$2&amp;'Raw data'!$L$4:$L$267,0))),"")</f>
        <v>0</v>
      </c>
      <c r="G71" s="451">
        <f t="array" ref="G71">IFERROR(IF(G$1="","",INDEX('Raw data'!$Z$4:$Z$267,MATCH(Mortality!G$1&amp;$A$1&amp;$A71,'Raw data'!$K$4:$K$267&amp;'Raw data'!$L$2&amp;'Raw data'!$L$4:$L$267,0))),"")</f>
        <v>1</v>
      </c>
      <c r="H71" s="418"/>
      <c r="I71" s="432">
        <f t="array" ref="I71">IFERROR(INDEX(Map!$V$2:$V$67,MATCH(Mortality!$B71&amp;Mortality!$C71,Map!$W$2:$W$67&amp;Map!$X$2:$X$67,0)),"")</f>
        <v>32</v>
      </c>
      <c r="J71" s="418" t="str">
        <f>J67</f>
        <v>T6</v>
      </c>
      <c r="K71" s="418" t="s">
        <v>6</v>
      </c>
      <c r="L71" s="455">
        <f t="array" ref="L71">IFERROR(IF(L$1="","",INDEX('Raw data'!$AB$4:$AB$267,MATCH(Mortality!L$1&amp;$A$1&amp;$A71,'Raw data'!$K$4:$K$267&amp;'Raw data'!$L$2&amp;'Raw data'!$L$4:$L$267,0))),"")</f>
        <v>0</v>
      </c>
      <c r="M71" s="448">
        <f t="array" ref="M71">IFERROR(IF(M$1="","",INDEX('Raw data'!$AB$4:$AB$267,MATCH(Mortality!M$1&amp;$A$1&amp;$A71,'Raw data'!$K$4:$K$267&amp;'Raw data'!$L$2&amp;'Raw data'!$L$4:$L$267,0))),"")</f>
        <v>0</v>
      </c>
      <c r="N71" s="448">
        <f t="array" ref="N71">IFERROR(IF(N$1="","",INDEX('Raw data'!$AB$4:$AB$267,MATCH(Mortality!N$1&amp;$A$1&amp;$A71,'Raw data'!$K$4:$K$267&amp;'Raw data'!$L$2&amp;'Raw data'!$L$4:$L$267,0))),"")</f>
        <v>1</v>
      </c>
      <c r="O71" s="451">
        <f t="array" ref="O71">IFERROR(IF(O$1="","",INDEX('Raw data'!$AB$4:$AB$267,MATCH(Mortality!O$1&amp;$A$1&amp;$A71,'Raw data'!$K$4:$K$267&amp;'Raw data'!$L$2&amp;'Raw data'!$L$4:$L$267,0))),"")</f>
        <v>0</v>
      </c>
    </row>
    <row r="72" spans="1:15" x14ac:dyDescent="0.25">
      <c r="A72" s="432">
        <f t="array" ref="A72">IFERROR(INDEX(Map!$V$2:$V$67,MATCH(Mortality!$B72&amp;Mortality!$C72,Map!$W$2:$W$67&amp;Map!$X$2:$X$67,0)),"")</f>
        <v>38</v>
      </c>
      <c r="B72" s="418" t="str">
        <f>B67</f>
        <v>T6</v>
      </c>
      <c r="C72" s="418" t="s">
        <v>7</v>
      </c>
      <c r="D72" s="455">
        <f t="array" ref="D72">IFERROR(IF(D$1="","",INDEX('Raw data'!$Z$4:$Z$267,MATCH(Mortality!D$1&amp;$A$1&amp;$A72,'Raw data'!$K$4:$K$267&amp;'Raw data'!$L$2&amp;'Raw data'!$L$4:$L$267,0))),"")</f>
        <v>0</v>
      </c>
      <c r="E72" s="448">
        <f t="array" ref="E72">IFERROR(IF(E$1="","",INDEX('Raw data'!$Z$4:$Z$267,MATCH(Mortality!E$1&amp;$A$1&amp;$A72,'Raw data'!$K$4:$K$267&amp;'Raw data'!$L$2&amp;'Raw data'!$L$4:$L$267,0))),"")</f>
        <v>1</v>
      </c>
      <c r="F72" s="448">
        <f t="array" ref="F72">IFERROR(IF(F$1="","",INDEX('Raw data'!$Z$4:$Z$267,MATCH(Mortality!F$1&amp;$A$1&amp;$A72,'Raw data'!$K$4:$K$267&amp;'Raw data'!$L$2&amp;'Raw data'!$L$4:$L$267,0))),"")</f>
        <v>0</v>
      </c>
      <c r="G72" s="451">
        <f t="array" ref="G72">IFERROR(IF(G$1="","",INDEX('Raw data'!$Z$4:$Z$267,MATCH(Mortality!G$1&amp;$A$1&amp;$A72,'Raw data'!$K$4:$K$267&amp;'Raw data'!$L$2&amp;'Raw data'!$L$4:$L$267,0))),"")</f>
        <v>1</v>
      </c>
      <c r="H72" s="418"/>
      <c r="I72" s="432">
        <f t="array" ref="I72">IFERROR(INDEX(Map!$V$2:$V$67,MATCH(Mortality!$B72&amp;Mortality!$C72,Map!$W$2:$W$67&amp;Map!$X$2:$X$67,0)),"")</f>
        <v>38</v>
      </c>
      <c r="J72" s="418" t="str">
        <f>J67</f>
        <v>T6</v>
      </c>
      <c r="K72" s="418" t="s">
        <v>7</v>
      </c>
      <c r="L72" s="455">
        <f t="array" ref="L72">IFERROR(IF(L$1="","",INDEX('Raw data'!$AB$4:$AB$267,MATCH(Mortality!L$1&amp;$A$1&amp;$A72,'Raw data'!$K$4:$K$267&amp;'Raw data'!$L$2&amp;'Raw data'!$L$4:$L$267,0))),"")</f>
        <v>0</v>
      </c>
      <c r="M72" s="448">
        <f t="array" ref="M72">IFERROR(IF(M$1="","",INDEX('Raw data'!$AB$4:$AB$267,MATCH(Mortality!M$1&amp;$A$1&amp;$A72,'Raw data'!$K$4:$K$267&amp;'Raw data'!$L$2&amp;'Raw data'!$L$4:$L$267,0))),"")</f>
        <v>0</v>
      </c>
      <c r="N72" s="448">
        <f t="array" ref="N72">IFERROR(IF(N$1="","",INDEX('Raw data'!$AB$4:$AB$267,MATCH(Mortality!N$1&amp;$A$1&amp;$A72,'Raw data'!$K$4:$K$267&amp;'Raw data'!$L$2&amp;'Raw data'!$L$4:$L$267,0))),"")</f>
        <v>1</v>
      </c>
      <c r="O72" s="451">
        <f t="array" ref="O72">IFERROR(IF(O$1="","",INDEX('Raw data'!$AB$4:$AB$267,MATCH(Mortality!O$1&amp;$A$1&amp;$A72,'Raw data'!$K$4:$K$267&amp;'Raw data'!$L$2&amp;'Raw data'!$L$4:$L$267,0))),"")</f>
        <v>0</v>
      </c>
    </row>
    <row r="73" spans="1:15" x14ac:dyDescent="0.25">
      <c r="A73" s="432">
        <f t="array" ref="A73">IFERROR(INDEX(Map!$V$2:$V$67,MATCH(Mortality!$B73&amp;Mortality!$C73,Map!$W$2:$W$67&amp;Map!$X$2:$X$67,0)),"")</f>
        <v>47</v>
      </c>
      <c r="B73" s="418" t="str">
        <f>B67</f>
        <v>T6</v>
      </c>
      <c r="C73" s="418" t="s">
        <v>8</v>
      </c>
      <c r="D73" s="455">
        <f t="array" ref="D73">IFERROR(IF(D$1="","",INDEX('Raw data'!$Z$4:$Z$267,MATCH(Mortality!D$1&amp;$A$1&amp;$A73,'Raw data'!$K$4:$K$267&amp;'Raw data'!$L$2&amp;'Raw data'!$L$4:$L$267,0))),"")</f>
        <v>0</v>
      </c>
      <c r="E73" s="448">
        <f t="array" ref="E73">IFERROR(IF(E$1="","",INDEX('Raw data'!$Z$4:$Z$267,MATCH(Mortality!E$1&amp;$A$1&amp;$A73,'Raw data'!$K$4:$K$267&amp;'Raw data'!$L$2&amp;'Raw data'!$L$4:$L$267,0))),"")</f>
        <v>0</v>
      </c>
      <c r="F73" s="448">
        <f t="array" ref="F73">IFERROR(IF(F$1="","",INDEX('Raw data'!$Z$4:$Z$267,MATCH(Mortality!F$1&amp;$A$1&amp;$A73,'Raw data'!$K$4:$K$267&amp;'Raw data'!$L$2&amp;'Raw data'!$L$4:$L$267,0))),"")</f>
        <v>0</v>
      </c>
      <c r="G73" s="451">
        <f t="array" ref="G73">IFERROR(IF(G$1="","",INDEX('Raw data'!$Z$4:$Z$267,MATCH(Mortality!G$1&amp;$A$1&amp;$A73,'Raw data'!$K$4:$K$267&amp;'Raw data'!$L$2&amp;'Raw data'!$L$4:$L$267,0))),"")</f>
        <v>1</v>
      </c>
      <c r="H73" s="418"/>
      <c r="I73" s="432">
        <f t="array" ref="I73">IFERROR(INDEX(Map!$V$2:$V$67,MATCH(Mortality!$B73&amp;Mortality!$C73,Map!$W$2:$W$67&amp;Map!$X$2:$X$67,0)),"")</f>
        <v>47</v>
      </c>
      <c r="J73" s="418" t="str">
        <f>J67</f>
        <v>T6</v>
      </c>
      <c r="K73" s="418" t="s">
        <v>8</v>
      </c>
      <c r="L73" s="455">
        <f t="array" ref="L73">IFERROR(IF(L$1="","",INDEX('Raw data'!$AB$4:$AB$267,MATCH(Mortality!L$1&amp;$A$1&amp;$A73,'Raw data'!$K$4:$K$267&amp;'Raw data'!$L$2&amp;'Raw data'!$L$4:$L$267,0))),"")</f>
        <v>0</v>
      </c>
      <c r="M73" s="448">
        <f t="array" ref="M73">IFERROR(IF(M$1="","",INDEX('Raw data'!$AB$4:$AB$267,MATCH(Mortality!M$1&amp;$A$1&amp;$A73,'Raw data'!$K$4:$K$267&amp;'Raw data'!$L$2&amp;'Raw data'!$L$4:$L$267,0))),"")</f>
        <v>0</v>
      </c>
      <c r="N73" s="448">
        <f t="array" ref="N73">IFERROR(IF(N$1="","",INDEX('Raw data'!$AB$4:$AB$267,MATCH(Mortality!N$1&amp;$A$1&amp;$A73,'Raw data'!$K$4:$K$267&amp;'Raw data'!$L$2&amp;'Raw data'!$L$4:$L$267,0))),"")</f>
        <v>1</v>
      </c>
      <c r="O73" s="451">
        <f t="array" ref="O73">IFERROR(IF(O$1="","",INDEX('Raw data'!$AB$4:$AB$267,MATCH(Mortality!O$1&amp;$A$1&amp;$A73,'Raw data'!$K$4:$K$267&amp;'Raw data'!$L$2&amp;'Raw data'!$L$4:$L$267,0))),"")</f>
        <v>0</v>
      </c>
    </row>
    <row r="74" spans="1:15" x14ac:dyDescent="0.25">
      <c r="A74" s="432">
        <f t="array" ref="A74">IFERROR(INDEX(Map!$V$2:$V$67,MATCH(Mortality!$B74&amp;Mortality!$C74,Map!$W$2:$W$67&amp;Map!$X$2:$X$67,0)),"")</f>
        <v>55</v>
      </c>
      <c r="B74" s="418" t="str">
        <f>B67</f>
        <v>T6</v>
      </c>
      <c r="C74" s="418" t="s">
        <v>9</v>
      </c>
      <c r="D74" s="455">
        <f t="array" ref="D74">IFERROR(IF(D$1="","",INDEX('Raw data'!$Z$4:$Z$267,MATCH(Mortality!D$1&amp;$A$1&amp;$A74,'Raw data'!$K$4:$K$267&amp;'Raw data'!$L$2&amp;'Raw data'!$L$4:$L$267,0))),"")</f>
        <v>0</v>
      </c>
      <c r="E74" s="448">
        <f t="array" ref="E74">IFERROR(IF(E$1="","",INDEX('Raw data'!$Z$4:$Z$267,MATCH(Mortality!E$1&amp;$A$1&amp;$A74,'Raw data'!$K$4:$K$267&amp;'Raw data'!$L$2&amp;'Raw data'!$L$4:$L$267,0))),"")</f>
        <v>1</v>
      </c>
      <c r="F74" s="448">
        <f t="array" ref="F74">IFERROR(IF(F$1="","",INDEX('Raw data'!$Z$4:$Z$267,MATCH(Mortality!F$1&amp;$A$1&amp;$A74,'Raw data'!$K$4:$K$267&amp;'Raw data'!$L$2&amp;'Raw data'!$L$4:$L$267,0))),"")</f>
        <v>0</v>
      </c>
      <c r="G74" s="451">
        <f t="array" ref="G74">IFERROR(IF(G$1="","",INDEX('Raw data'!$Z$4:$Z$267,MATCH(Mortality!G$1&amp;$A$1&amp;$A74,'Raw data'!$K$4:$K$267&amp;'Raw data'!$L$2&amp;'Raw data'!$L$4:$L$267,0))),"")</f>
        <v>1</v>
      </c>
      <c r="H74" s="418"/>
      <c r="I74" s="432">
        <f t="array" ref="I74">IFERROR(INDEX(Map!$V$2:$V$67,MATCH(Mortality!$B74&amp;Mortality!$C74,Map!$W$2:$W$67&amp;Map!$X$2:$X$67,0)),"")</f>
        <v>55</v>
      </c>
      <c r="J74" s="418" t="str">
        <f>J67</f>
        <v>T6</v>
      </c>
      <c r="K74" s="418" t="s">
        <v>9</v>
      </c>
      <c r="L74" s="455">
        <f t="array" ref="L74">IFERROR(IF(L$1="","",INDEX('Raw data'!$AB$4:$AB$267,MATCH(Mortality!L$1&amp;$A$1&amp;$A74,'Raw data'!$K$4:$K$267&amp;'Raw data'!$L$2&amp;'Raw data'!$L$4:$L$267,0))),"")</f>
        <v>0</v>
      </c>
      <c r="M74" s="448">
        <f t="array" ref="M74">IFERROR(IF(M$1="","",INDEX('Raw data'!$AB$4:$AB$267,MATCH(Mortality!M$1&amp;$A$1&amp;$A74,'Raw data'!$K$4:$K$267&amp;'Raw data'!$L$2&amp;'Raw data'!$L$4:$L$267,0))),"")</f>
        <v>0</v>
      </c>
      <c r="N74" s="448">
        <f t="array" ref="N74">IFERROR(IF(N$1="","",INDEX('Raw data'!$AB$4:$AB$267,MATCH(Mortality!N$1&amp;$A$1&amp;$A74,'Raw data'!$K$4:$K$267&amp;'Raw data'!$L$2&amp;'Raw data'!$L$4:$L$267,0))),"")</f>
        <v>1</v>
      </c>
      <c r="O74" s="451">
        <f t="array" ref="O74">IFERROR(IF(O$1="","",INDEX('Raw data'!$AB$4:$AB$267,MATCH(Mortality!O$1&amp;$A$1&amp;$A74,'Raw data'!$K$4:$K$267&amp;'Raw data'!$L$2&amp;'Raw data'!$L$4:$L$267,0))),"")</f>
        <v>0</v>
      </c>
    </row>
    <row r="75" spans="1:15" x14ac:dyDescent="0.25">
      <c r="A75" s="432">
        <f t="array" ref="A75">IFERROR(INDEX(Map!$V$2:$V$67,MATCH(Mortality!$B75&amp;Mortality!$C75,Map!$W$2:$W$67&amp;Map!$X$2:$X$67,0)),"")</f>
        <v>62</v>
      </c>
      <c r="B75" s="418" t="str">
        <f>B67</f>
        <v>T6</v>
      </c>
      <c r="C75" s="418" t="s">
        <v>22</v>
      </c>
      <c r="D75" s="455">
        <f t="array" ref="D75">IFERROR(IF(D$1="","",INDEX('Raw data'!$Z$4:$Z$267,MATCH(Mortality!D$1&amp;$A$1&amp;$A75,'Raw data'!$K$4:$K$267&amp;'Raw data'!$L$2&amp;'Raw data'!$L$4:$L$267,0))),"")</f>
        <v>0</v>
      </c>
      <c r="E75" s="448">
        <f t="array" ref="E75">IFERROR(IF(E$1="","",INDEX('Raw data'!$Z$4:$Z$267,MATCH(Mortality!E$1&amp;$A$1&amp;$A75,'Raw data'!$K$4:$K$267&amp;'Raw data'!$L$2&amp;'Raw data'!$L$4:$L$267,0))),"")</f>
        <v>2</v>
      </c>
      <c r="F75" s="448">
        <f t="array" ref="F75">IFERROR(IF(F$1="","",INDEX('Raw data'!$Z$4:$Z$267,MATCH(Mortality!F$1&amp;$A$1&amp;$A75,'Raw data'!$K$4:$K$267&amp;'Raw data'!$L$2&amp;'Raw data'!$L$4:$L$267,0))),"")</f>
        <v>0</v>
      </c>
      <c r="G75" s="451">
        <f t="array" ref="G75">IFERROR(IF(G$1="","",INDEX('Raw data'!$Z$4:$Z$267,MATCH(Mortality!G$1&amp;$A$1&amp;$A75,'Raw data'!$K$4:$K$267&amp;'Raw data'!$L$2&amp;'Raw data'!$L$4:$L$267,0))),"")</f>
        <v>0</v>
      </c>
      <c r="H75" s="418"/>
      <c r="I75" s="432">
        <f t="array" ref="I75">IFERROR(INDEX(Map!$V$2:$V$67,MATCH(Mortality!$B75&amp;Mortality!$C75,Map!$W$2:$W$67&amp;Map!$X$2:$X$67,0)),"")</f>
        <v>62</v>
      </c>
      <c r="J75" s="418" t="str">
        <f>J67</f>
        <v>T6</v>
      </c>
      <c r="K75" s="418" t="s">
        <v>22</v>
      </c>
      <c r="L75" s="455">
        <f t="array" ref="L75">IFERROR(IF(L$1="","",INDEX('Raw data'!$AB$4:$AB$267,MATCH(Mortality!L$1&amp;$A$1&amp;$A75,'Raw data'!$K$4:$K$267&amp;'Raw data'!$L$2&amp;'Raw data'!$L$4:$L$267,0))),"")</f>
        <v>0</v>
      </c>
      <c r="M75" s="448">
        <f t="array" ref="M75">IFERROR(IF(M$1="","",INDEX('Raw data'!$AB$4:$AB$267,MATCH(Mortality!M$1&amp;$A$1&amp;$A75,'Raw data'!$K$4:$K$267&amp;'Raw data'!$L$2&amp;'Raw data'!$L$4:$L$267,0))),"")</f>
        <v>0</v>
      </c>
      <c r="N75" s="448">
        <f t="array" ref="N75">IFERROR(IF(N$1="","",INDEX('Raw data'!$AB$4:$AB$267,MATCH(Mortality!N$1&amp;$A$1&amp;$A75,'Raw data'!$K$4:$K$267&amp;'Raw data'!$L$2&amp;'Raw data'!$L$4:$L$267,0))),"")</f>
        <v>1</v>
      </c>
      <c r="O75" s="451">
        <f t="array" ref="O75">IFERROR(IF(O$1="","",INDEX('Raw data'!$AB$4:$AB$267,MATCH(Mortality!O$1&amp;$A$1&amp;$A75,'Raw data'!$K$4:$K$267&amp;'Raw data'!$L$2&amp;'Raw data'!$L$4:$L$267,0))),"")</f>
        <v>0</v>
      </c>
    </row>
    <row r="76" spans="1:15" s="417" customFormat="1" x14ac:dyDescent="0.25">
      <c r="A76" s="432">
        <f t="array" ref="A76">IFERROR(INDEX(Map!$V$2:$V$67,MATCH(Mortality!$B76&amp;Mortality!$C76,Map!$W$2:$W$67&amp;Map!$X$2:$X$67,0)),"")</f>
        <v>1</v>
      </c>
      <c r="B76" s="418" t="str">
        <f>B67</f>
        <v>T6</v>
      </c>
      <c r="C76" s="418" t="s">
        <v>101</v>
      </c>
      <c r="D76" s="455">
        <f t="array" ref="D76">IFERROR(IF(D$1="","",INDEX('Raw data'!$Z$4:$Z$267,MATCH(Mortality!D$1&amp;$A$1&amp;$A76,'Raw data'!$K$4:$K$267&amp;'Raw data'!$L$2&amp;'Raw data'!$L$4:$L$267,0))),"")</f>
        <v>0</v>
      </c>
      <c r="E76" s="448">
        <f t="array" ref="E76">IFERROR(IF(E$1="","",INDEX('Raw data'!$Z$4:$Z$267,MATCH(Mortality!E$1&amp;$A$1&amp;$A76,'Raw data'!$K$4:$K$267&amp;'Raw data'!$L$2&amp;'Raw data'!$L$4:$L$267,0))),"")</f>
        <v>0</v>
      </c>
      <c r="F76" s="448">
        <f t="array" ref="F76">IFERROR(IF(F$1="","",INDEX('Raw data'!$Z$4:$Z$267,MATCH(Mortality!F$1&amp;$A$1&amp;$A76,'Raw data'!$K$4:$K$267&amp;'Raw data'!$L$2&amp;'Raw data'!$L$4:$L$267,0))),"")</f>
        <v>0</v>
      </c>
      <c r="G76" s="451">
        <f t="array" ref="G76">IFERROR(IF(G$1="","",INDEX('Raw data'!$Z$4:$Z$267,MATCH(Mortality!G$1&amp;$A$1&amp;$A76,'Raw data'!$K$4:$K$267&amp;'Raw data'!$L$2&amp;'Raw data'!$L$4:$L$267,0))),"")</f>
        <v>0</v>
      </c>
      <c r="H76" s="418"/>
      <c r="I76" s="432">
        <f t="array" ref="I76">IFERROR(INDEX(Map!$V$2:$V$67,MATCH(Mortality!$B76&amp;Mortality!$C76,Map!$W$2:$W$67&amp;Map!$X$2:$X$67,0)),"")</f>
        <v>1</v>
      </c>
      <c r="J76" s="418" t="str">
        <f>J67</f>
        <v>T6</v>
      </c>
      <c r="K76" s="418" t="s">
        <v>101</v>
      </c>
      <c r="L76" s="455">
        <f t="array" ref="L76">IFERROR(IF(L$1="","",INDEX('Raw data'!$AB$4:$AB$267,MATCH(Mortality!L$1&amp;$A$1&amp;$A76,'Raw data'!$K$4:$K$267&amp;'Raw data'!$L$2&amp;'Raw data'!$L$4:$L$267,0))),"")</f>
        <v>0</v>
      </c>
      <c r="M76" s="448">
        <f t="array" ref="M76">IFERROR(IF(M$1="","",INDEX('Raw data'!$AB$4:$AB$267,MATCH(Mortality!M$1&amp;$A$1&amp;$A76,'Raw data'!$K$4:$K$267&amp;'Raw data'!$L$2&amp;'Raw data'!$L$4:$L$267,0))),"")</f>
        <v>0</v>
      </c>
      <c r="N76" s="448">
        <f t="array" ref="N76">IFERROR(IF(N$1="","",INDEX('Raw data'!$AB$4:$AB$267,MATCH(Mortality!N$1&amp;$A$1&amp;$A76,'Raw data'!$K$4:$K$267&amp;'Raw data'!$L$2&amp;'Raw data'!$L$4:$L$267,0))),"")</f>
        <v>1</v>
      </c>
      <c r="O76" s="451">
        <f t="array" ref="O76">IFERROR(IF(O$1="","",INDEX('Raw data'!$AB$4:$AB$267,MATCH(Mortality!O$1&amp;$A$1&amp;$A76,'Raw data'!$K$4:$K$267&amp;'Raw data'!$L$2&amp;'Raw data'!$L$4:$L$267,0))),"")</f>
        <v>0</v>
      </c>
    </row>
    <row r="77" spans="1:15" s="417" customFormat="1" x14ac:dyDescent="0.25">
      <c r="A77" s="446">
        <f t="array" ref="A77">IFERROR(INDEX(Map!$V$2:$V$67,MATCH(Mortality!$B77&amp;Mortality!$C77,Map!$W$2:$W$67&amp;Map!$X$2:$X$67,0)),"")</f>
        <v>43</v>
      </c>
      <c r="B77" s="418" t="str">
        <f>B67</f>
        <v>T6</v>
      </c>
      <c r="C77" s="418" t="s">
        <v>102</v>
      </c>
      <c r="D77" s="456">
        <f t="array" ref="D77">IFERROR(IF(D$1="","",INDEX('Raw data'!$Z$4:$Z$267,MATCH(Mortality!D$1&amp;$A$1&amp;$A77,'Raw data'!$K$4:$K$267&amp;'Raw data'!$L$2&amp;'Raw data'!$L$4:$L$267,0))),"")</f>
        <v>2</v>
      </c>
      <c r="E77" s="449">
        <f t="array" ref="E77">IFERROR(IF(E$1="","",INDEX('Raw data'!$Z$4:$Z$267,MATCH(Mortality!E$1&amp;$A$1&amp;$A77,'Raw data'!$K$4:$K$267&amp;'Raw data'!$L$2&amp;'Raw data'!$L$4:$L$267,0))),"")</f>
        <v>0</v>
      </c>
      <c r="F77" s="449">
        <f t="array" ref="F77">IFERROR(IF(F$1="","",INDEX('Raw data'!$Z$4:$Z$267,MATCH(Mortality!F$1&amp;$A$1&amp;$A77,'Raw data'!$K$4:$K$267&amp;'Raw data'!$L$2&amp;'Raw data'!$L$4:$L$267,0))),"")</f>
        <v>0</v>
      </c>
      <c r="G77" s="452">
        <f t="array" ref="G77">IFERROR(IF(G$1="","",INDEX('Raw data'!$Z$4:$Z$267,MATCH(Mortality!G$1&amp;$A$1&amp;$A77,'Raw data'!$K$4:$K$267&amp;'Raw data'!$L$2&amp;'Raw data'!$L$4:$L$267,0))),"")</f>
        <v>0</v>
      </c>
      <c r="H77" s="418"/>
      <c r="I77" s="446">
        <f t="array" ref="I77">IFERROR(INDEX(Map!$V$2:$V$67,MATCH(Mortality!$B77&amp;Mortality!$C77,Map!$W$2:$W$67&amp;Map!$X$2:$X$67,0)),"")</f>
        <v>43</v>
      </c>
      <c r="J77" s="418" t="str">
        <f>J67</f>
        <v>T6</v>
      </c>
      <c r="K77" s="418" t="s">
        <v>102</v>
      </c>
      <c r="L77" s="456">
        <f t="array" ref="L77">IFERROR(IF(L$1="","",INDEX('Raw data'!$AB$4:$AB$267,MATCH(Mortality!L$1&amp;$A$1&amp;$A77,'Raw data'!$K$4:$K$267&amp;'Raw data'!$L$2&amp;'Raw data'!$L$4:$L$267,0))),"")</f>
        <v>0</v>
      </c>
      <c r="M77" s="449">
        <f t="array" ref="M77">IFERROR(IF(M$1="","",INDEX('Raw data'!$AB$4:$AB$267,MATCH(Mortality!M$1&amp;$A$1&amp;$A77,'Raw data'!$K$4:$K$267&amp;'Raw data'!$L$2&amp;'Raw data'!$L$4:$L$267,0))),"")</f>
        <v>0</v>
      </c>
      <c r="N77" s="449">
        <f t="array" ref="N77">IFERROR(IF(N$1="","",INDEX('Raw data'!$AB$4:$AB$267,MATCH(Mortality!N$1&amp;$A$1&amp;$A77,'Raw data'!$K$4:$K$267&amp;'Raw data'!$L$2&amp;'Raw data'!$L$4:$L$267,0))),"")</f>
        <v>1</v>
      </c>
      <c r="O77" s="452">
        <f t="array" ref="O77">IFERROR(IF(O$1="","",INDEX('Raw data'!$AB$4:$AB$267,MATCH(Mortality!O$1&amp;$A$1&amp;$A77,'Raw data'!$K$4:$K$267&amp;'Raw data'!$L$2&amp;'Raw data'!$L$4:$L$267,0))),"")</f>
        <v>0</v>
      </c>
    </row>
    <row r="78" spans="1:15" s="417" customFormat="1" x14ac:dyDescent="0.25">
      <c r="A78" s="432"/>
      <c r="B78" s="565" t="s">
        <v>1</v>
      </c>
      <c r="C78" s="565"/>
      <c r="D78" s="457">
        <f>IF(D$1="","",(SUM(D67:D77)))</f>
        <v>4</v>
      </c>
      <c r="E78" s="458">
        <f>IF(E$1="","",(SUM(E67:E77)))</f>
        <v>4</v>
      </c>
      <c r="F78" s="458">
        <f>IF(F$1="","",(SUM(F67:F77)))</f>
        <v>1</v>
      </c>
      <c r="G78" s="459">
        <f>IF(G$1="","",(SUM(G67:G77)))</f>
        <v>6</v>
      </c>
      <c r="H78" s="418"/>
      <c r="I78" s="432"/>
      <c r="J78" s="565" t="s">
        <v>1</v>
      </c>
      <c r="K78" s="565"/>
      <c r="L78" s="457">
        <f>IF(L$1="","",(SUM(L67:L77)))</f>
        <v>0</v>
      </c>
      <c r="M78" s="458">
        <f>IF(M$1="","",(SUM(M67:M77)))</f>
        <v>0</v>
      </c>
      <c r="N78" s="458">
        <f>IF(N$1="","",(SUM(N67:N77)))</f>
        <v>11</v>
      </c>
      <c r="O78" s="459">
        <f>IF(O$1="","",(SUM(O67:O77)))</f>
        <v>0</v>
      </c>
    </row>
    <row r="79" spans="1:15" ht="15.75" thickBot="1" x14ac:dyDescent="0.3">
      <c r="A79" s="132"/>
      <c r="B79" s="567" t="s">
        <v>95</v>
      </c>
      <c r="C79" s="568"/>
      <c r="D79" s="359">
        <f>IF(D$1="","",Summary!B55)</f>
        <v>9.1743119266055051E-3</v>
      </c>
      <c r="E79" s="218">
        <f>IF(E$1="","",Summary!C55)</f>
        <v>9.2592592592592587E-3</v>
      </c>
      <c r="F79" s="218">
        <f>IF(F$1="","",Summary!D55)</f>
        <v>2.3201856148491878E-3</v>
      </c>
      <c r="G79" s="353">
        <f>IF(G$1="","",Summary!E55)</f>
        <v>1.4492753623188406E-2</v>
      </c>
      <c r="H79" s="24"/>
      <c r="I79" s="132"/>
      <c r="J79" s="567" t="s">
        <v>96</v>
      </c>
      <c r="K79" s="568"/>
      <c r="L79" s="359">
        <f>IF(L$1="","",Summary!I55)</f>
        <v>0</v>
      </c>
      <c r="M79" s="218">
        <f>IF(M$1="","",Summary!J55)</f>
        <v>0</v>
      </c>
      <c r="N79" s="218">
        <f>IF(N$1="","",Summary!K55)</f>
        <v>2.6128266033254157E-2</v>
      </c>
      <c r="O79" s="353">
        <f>IF(O$1="","",Summary!L55)</f>
        <v>0</v>
      </c>
    </row>
    <row r="80" spans="1:15" s="417" customFormat="1" hidden="1" x14ac:dyDescent="0.25">
      <c r="A80" s="431" t="str">
        <f t="array" ref="A80">IFERROR(INDEX(Map!$V$2:$V$67,MATCH(Mortality!$B80&amp;Mortality!$C80,Map!$W$2:$W$67&amp;Map!$X$2:$X$67,0)),"")</f>
        <v/>
      </c>
      <c r="B80" s="420" t="s">
        <v>15</v>
      </c>
      <c r="C80" s="420" t="s">
        <v>2</v>
      </c>
      <c r="D80" s="454" t="str">
        <f t="array" ref="D80">IFERROR(IF(D$1="","",INDEX('Raw data'!$Z$4:$Z$267,MATCH(Mortality!D$1&amp;$A$1&amp;$A80,'Raw data'!$K$4:$K$267&amp;'Raw data'!$L$2&amp;'Raw data'!$L$4:$L$267,0))),"")</f>
        <v/>
      </c>
      <c r="E80" s="447" t="str">
        <f t="array" ref="E80">IFERROR(IF(E$1="","",INDEX('Raw data'!$Z$4:$Z$267,MATCH(Mortality!E$1&amp;$A$1&amp;$A80,'Raw data'!$K$4:$K$267&amp;'Raw data'!$L$2&amp;'Raw data'!$L$4:$L$267,0))),"")</f>
        <v/>
      </c>
      <c r="F80" s="447" t="str">
        <f t="array" ref="F80">IFERROR(IF(F$1="","",INDEX('Raw data'!$Z$4:$Z$267,MATCH(Mortality!F$1&amp;$A$1&amp;$A80,'Raw data'!$K$4:$K$267&amp;'Raw data'!$L$2&amp;'Raw data'!$L$4:$L$267,0))),"")</f>
        <v/>
      </c>
      <c r="G80" s="450" t="str">
        <f t="array" ref="G80">IFERROR(IF(G$1="","",INDEX('Raw data'!$Z$4:$Z$267,MATCH(Mortality!G$1&amp;$A$1&amp;$A80,'Raw data'!$K$4:$K$267&amp;'Raw data'!$L$2&amp;'Raw data'!$L$4:$L$267,0))),"")</f>
        <v/>
      </c>
      <c r="H80" s="418"/>
      <c r="I80" s="431" t="str">
        <f t="array" ref="I80">IFERROR(INDEX(Map!$V$2:$V$67,MATCH(Mortality!$B80&amp;Mortality!$C80,Map!$W$2:$W$67&amp;Map!$X$2:$X$67,0)),"")</f>
        <v/>
      </c>
      <c r="J80" s="420" t="s">
        <v>15</v>
      </c>
      <c r="K80" s="420" t="s">
        <v>2</v>
      </c>
      <c r="L80" s="454" t="str">
        <f t="array" ref="L80">IFERROR(IF(L$1="","",INDEX('Raw data'!$AB$4:$AB$267,MATCH(Mortality!L$1&amp;$A$1&amp;$A80,'Raw data'!$K$4:$K$267&amp;'Raw data'!$L$2&amp;'Raw data'!$L$4:$L$267,0))),"")</f>
        <v/>
      </c>
      <c r="M80" s="447" t="str">
        <f t="array" ref="M80">IFERROR(IF(M$1="","",INDEX('Raw data'!$AB$4:$AB$267,MATCH(Mortality!M$1&amp;$A$1&amp;$A80,'Raw data'!$K$4:$K$267&amp;'Raw data'!$L$2&amp;'Raw data'!$L$4:$L$267,0))),"")</f>
        <v/>
      </c>
      <c r="N80" s="447" t="str">
        <f t="array" ref="N80">IFERROR(IF(N$1="","",INDEX('Raw data'!$AB$4:$AB$267,MATCH(Mortality!N$1&amp;$A$1&amp;$A80,'Raw data'!$K$4:$K$267&amp;'Raw data'!$L$2&amp;'Raw data'!$L$4:$L$267,0))),"")</f>
        <v/>
      </c>
      <c r="O80" s="450" t="str">
        <f t="array" ref="O80">IFERROR(IF(O$1="","",INDEX('Raw data'!$AB$4:$AB$267,MATCH(Mortality!O$1&amp;$A$1&amp;$A80,'Raw data'!$K$4:$K$267&amp;'Raw data'!$L$2&amp;'Raw data'!$L$4:$L$267,0))),"")</f>
        <v/>
      </c>
    </row>
    <row r="81" spans="1:15" s="417" customFormat="1" hidden="1" x14ac:dyDescent="0.25">
      <c r="A81" s="432" t="str">
        <f t="array" ref="A81">IFERROR(INDEX(Map!$V$2:$V$67,MATCH(Mortality!$B81&amp;Mortality!$C81,Map!$W$2:$W$67&amp;Map!$X$2:$X$67,0)),"")</f>
        <v/>
      </c>
      <c r="B81" s="418" t="s">
        <v>15</v>
      </c>
      <c r="C81" s="418" t="s">
        <v>3</v>
      </c>
      <c r="D81" s="455" t="str">
        <f t="array" ref="D81">IFERROR(IF(D$1="","",INDEX('Raw data'!$Z$4:$Z$267,MATCH(Mortality!D$1&amp;$A$1&amp;$A81,'Raw data'!$K$4:$K$267&amp;'Raw data'!$L$2&amp;'Raw data'!$L$4:$L$267,0))),"")</f>
        <v/>
      </c>
      <c r="E81" s="448" t="str">
        <f t="array" ref="E81">IFERROR(IF(E$1="","",INDEX('Raw data'!$Z$4:$Z$267,MATCH(Mortality!E$1&amp;$A$1&amp;$A81,'Raw data'!$K$4:$K$267&amp;'Raw data'!$L$2&amp;'Raw data'!$L$4:$L$267,0))),"")</f>
        <v/>
      </c>
      <c r="F81" s="448" t="str">
        <f t="array" ref="F81">IFERROR(IF(F$1="","",INDEX('Raw data'!$Z$4:$Z$267,MATCH(Mortality!F$1&amp;$A$1&amp;$A81,'Raw data'!$K$4:$K$267&amp;'Raw data'!$L$2&amp;'Raw data'!$L$4:$L$267,0))),"")</f>
        <v/>
      </c>
      <c r="G81" s="451" t="str">
        <f t="array" ref="G81">IFERROR(IF(G$1="","",INDEX('Raw data'!$Z$4:$Z$267,MATCH(Mortality!G$1&amp;$A$1&amp;$A81,'Raw data'!$K$4:$K$267&amp;'Raw data'!$L$2&amp;'Raw data'!$L$4:$L$267,0))),"")</f>
        <v/>
      </c>
      <c r="H81" s="418"/>
      <c r="I81" s="432" t="str">
        <f t="array" ref="I81">IFERROR(INDEX(Map!$V$2:$V$67,MATCH(Mortality!$B81&amp;Mortality!$C81,Map!$W$2:$W$67&amp;Map!$X$2:$X$67,0)),"")</f>
        <v/>
      </c>
      <c r="J81" s="418" t="s">
        <v>15</v>
      </c>
      <c r="K81" s="418" t="s">
        <v>3</v>
      </c>
      <c r="L81" s="455" t="str">
        <f t="array" ref="L81">IFERROR(IF(L$1="","",INDEX('Raw data'!$AB$4:$AB$267,MATCH(Mortality!L$1&amp;$A$1&amp;$A81,'Raw data'!$K$4:$K$267&amp;'Raw data'!$L$2&amp;'Raw data'!$L$4:$L$267,0))),"")</f>
        <v/>
      </c>
      <c r="M81" s="448" t="str">
        <f t="array" ref="M81">IFERROR(IF(M$1="","",INDEX('Raw data'!$AB$4:$AB$267,MATCH(Mortality!M$1&amp;$A$1&amp;$A81,'Raw data'!$K$4:$K$267&amp;'Raw data'!$L$2&amp;'Raw data'!$L$4:$L$267,0))),"")</f>
        <v/>
      </c>
      <c r="N81" s="448" t="str">
        <f t="array" ref="N81">IFERROR(IF(N$1="","",INDEX('Raw data'!$AB$4:$AB$267,MATCH(Mortality!N$1&amp;$A$1&amp;$A81,'Raw data'!$K$4:$K$267&amp;'Raw data'!$L$2&amp;'Raw data'!$L$4:$L$267,0))),"")</f>
        <v/>
      </c>
      <c r="O81" s="451" t="str">
        <f t="array" ref="O81">IFERROR(IF(O$1="","",INDEX('Raw data'!$AB$4:$AB$267,MATCH(Mortality!O$1&amp;$A$1&amp;$A81,'Raw data'!$K$4:$K$267&amp;'Raw data'!$L$2&amp;'Raw data'!$L$4:$L$267,0))),"")</f>
        <v/>
      </c>
    </row>
    <row r="82" spans="1:15" s="417" customFormat="1" hidden="1" x14ac:dyDescent="0.25">
      <c r="A82" s="432" t="str">
        <f t="array" ref="A82">IFERROR(INDEX(Map!$V$2:$V$67,MATCH(Mortality!$B82&amp;Mortality!$C82,Map!$W$2:$W$67&amp;Map!$X$2:$X$67,0)),"")</f>
        <v/>
      </c>
      <c r="B82" s="418" t="s">
        <v>15</v>
      </c>
      <c r="C82" s="418" t="s">
        <v>4</v>
      </c>
      <c r="D82" s="455" t="str">
        <f t="array" ref="D82">IFERROR(IF(D$1="","",INDEX('Raw data'!$Z$4:$Z$267,MATCH(Mortality!D$1&amp;$A$1&amp;$A82,'Raw data'!$K$4:$K$267&amp;'Raw data'!$L$2&amp;'Raw data'!$L$4:$L$267,0))),"")</f>
        <v/>
      </c>
      <c r="E82" s="448" t="str">
        <f t="array" ref="E82">IFERROR(IF(E$1="","",INDEX('Raw data'!$Z$4:$Z$267,MATCH(Mortality!E$1&amp;$A$1&amp;$A82,'Raw data'!$K$4:$K$267&amp;'Raw data'!$L$2&amp;'Raw data'!$L$4:$L$267,0))),"")</f>
        <v/>
      </c>
      <c r="F82" s="448" t="str">
        <f t="array" ref="F82">IFERROR(IF(F$1="","",INDEX('Raw data'!$Z$4:$Z$267,MATCH(Mortality!F$1&amp;$A$1&amp;$A82,'Raw data'!$K$4:$K$267&amp;'Raw data'!$L$2&amp;'Raw data'!$L$4:$L$267,0))),"")</f>
        <v/>
      </c>
      <c r="G82" s="451" t="str">
        <f t="array" ref="G82">IFERROR(IF(G$1="","",INDEX('Raw data'!$Z$4:$Z$267,MATCH(Mortality!G$1&amp;$A$1&amp;$A82,'Raw data'!$K$4:$K$267&amp;'Raw data'!$L$2&amp;'Raw data'!$L$4:$L$267,0))),"")</f>
        <v/>
      </c>
      <c r="H82" s="418"/>
      <c r="I82" s="432" t="str">
        <f t="array" ref="I82">IFERROR(INDEX(Map!$V$2:$V$67,MATCH(Mortality!$B82&amp;Mortality!$C82,Map!$W$2:$W$67&amp;Map!$X$2:$X$67,0)),"")</f>
        <v/>
      </c>
      <c r="J82" s="418" t="s">
        <v>15</v>
      </c>
      <c r="K82" s="418" t="s">
        <v>4</v>
      </c>
      <c r="L82" s="455" t="str">
        <f t="array" ref="L82">IFERROR(IF(L$1="","",INDEX('Raw data'!$AB$4:$AB$267,MATCH(Mortality!L$1&amp;$A$1&amp;$A82,'Raw data'!$K$4:$K$267&amp;'Raw data'!$L$2&amp;'Raw data'!$L$4:$L$267,0))),"")</f>
        <v/>
      </c>
      <c r="M82" s="448" t="str">
        <f t="array" ref="M82">IFERROR(IF(M$1="","",INDEX('Raw data'!$AB$4:$AB$267,MATCH(Mortality!M$1&amp;$A$1&amp;$A82,'Raw data'!$K$4:$K$267&amp;'Raw data'!$L$2&amp;'Raw data'!$L$4:$L$267,0))),"")</f>
        <v/>
      </c>
      <c r="N82" s="448" t="str">
        <f t="array" ref="N82">IFERROR(IF(N$1="","",INDEX('Raw data'!$AB$4:$AB$267,MATCH(Mortality!N$1&amp;$A$1&amp;$A82,'Raw data'!$K$4:$K$267&amp;'Raw data'!$L$2&amp;'Raw data'!$L$4:$L$267,0))),"")</f>
        <v/>
      </c>
      <c r="O82" s="451" t="str">
        <f t="array" ref="O82">IFERROR(IF(O$1="","",INDEX('Raw data'!$AB$4:$AB$267,MATCH(Mortality!O$1&amp;$A$1&amp;$A82,'Raw data'!$K$4:$K$267&amp;'Raw data'!$L$2&amp;'Raw data'!$L$4:$L$267,0))),"")</f>
        <v/>
      </c>
    </row>
    <row r="83" spans="1:15" s="417" customFormat="1" hidden="1" x14ac:dyDescent="0.25">
      <c r="A83" s="432" t="str">
        <f t="array" ref="A83">IFERROR(INDEX(Map!$V$2:$V$67,MATCH(Mortality!$B83&amp;Mortality!$C83,Map!$W$2:$W$67&amp;Map!$X$2:$X$67,0)),"")</f>
        <v/>
      </c>
      <c r="B83" s="418" t="s">
        <v>15</v>
      </c>
      <c r="C83" s="418" t="s">
        <v>5</v>
      </c>
      <c r="D83" s="455" t="str">
        <f t="array" ref="D83">IFERROR(IF(D$1="","",INDEX('Raw data'!$Z$4:$Z$267,MATCH(Mortality!D$1&amp;$A$1&amp;$A83,'Raw data'!$K$4:$K$267&amp;'Raw data'!$L$2&amp;'Raw data'!$L$4:$L$267,0))),"")</f>
        <v/>
      </c>
      <c r="E83" s="448" t="str">
        <f t="array" ref="E83">IFERROR(IF(E$1="","",INDEX('Raw data'!$Z$4:$Z$267,MATCH(Mortality!E$1&amp;$A$1&amp;$A83,'Raw data'!$K$4:$K$267&amp;'Raw data'!$L$2&amp;'Raw data'!$L$4:$L$267,0))),"")</f>
        <v/>
      </c>
      <c r="F83" s="448" t="str">
        <f t="array" ref="F83">IFERROR(IF(F$1="","",INDEX('Raw data'!$Z$4:$Z$267,MATCH(Mortality!F$1&amp;$A$1&amp;$A83,'Raw data'!$K$4:$K$267&amp;'Raw data'!$L$2&amp;'Raw data'!$L$4:$L$267,0))),"")</f>
        <v/>
      </c>
      <c r="G83" s="451" t="str">
        <f t="array" ref="G83">IFERROR(IF(G$1="","",INDEX('Raw data'!$Z$4:$Z$267,MATCH(Mortality!G$1&amp;$A$1&amp;$A83,'Raw data'!$K$4:$K$267&amp;'Raw data'!$L$2&amp;'Raw data'!$L$4:$L$267,0))),"")</f>
        <v/>
      </c>
      <c r="H83" s="418"/>
      <c r="I83" s="432" t="str">
        <f t="array" ref="I83">IFERROR(INDEX(Map!$V$2:$V$67,MATCH(Mortality!$B83&amp;Mortality!$C83,Map!$W$2:$W$67&amp;Map!$X$2:$X$67,0)),"")</f>
        <v/>
      </c>
      <c r="J83" s="418" t="s">
        <v>15</v>
      </c>
      <c r="K83" s="418" t="s">
        <v>5</v>
      </c>
      <c r="L83" s="455" t="str">
        <f t="array" ref="L83">IFERROR(IF(L$1="","",INDEX('Raw data'!$AB$4:$AB$267,MATCH(Mortality!L$1&amp;$A$1&amp;$A83,'Raw data'!$K$4:$K$267&amp;'Raw data'!$L$2&amp;'Raw data'!$L$4:$L$267,0))),"")</f>
        <v/>
      </c>
      <c r="M83" s="448" t="str">
        <f t="array" ref="M83">IFERROR(IF(M$1="","",INDEX('Raw data'!$AB$4:$AB$267,MATCH(Mortality!M$1&amp;$A$1&amp;$A83,'Raw data'!$K$4:$K$267&amp;'Raw data'!$L$2&amp;'Raw data'!$L$4:$L$267,0))),"")</f>
        <v/>
      </c>
      <c r="N83" s="448" t="str">
        <f t="array" ref="N83">IFERROR(IF(N$1="","",INDEX('Raw data'!$AB$4:$AB$267,MATCH(Mortality!N$1&amp;$A$1&amp;$A83,'Raw data'!$K$4:$K$267&amp;'Raw data'!$L$2&amp;'Raw data'!$L$4:$L$267,0))),"")</f>
        <v/>
      </c>
      <c r="O83" s="451" t="str">
        <f t="array" ref="O83">IFERROR(IF(O$1="","",INDEX('Raw data'!$AB$4:$AB$267,MATCH(Mortality!O$1&amp;$A$1&amp;$A83,'Raw data'!$K$4:$K$267&amp;'Raw data'!$L$2&amp;'Raw data'!$L$4:$L$267,0))),"")</f>
        <v/>
      </c>
    </row>
    <row r="84" spans="1:15" s="417" customFormat="1" hidden="1" x14ac:dyDescent="0.25">
      <c r="A84" s="432" t="str">
        <f t="array" ref="A84">IFERROR(INDEX(Map!$V$2:$V$67,MATCH(Mortality!$B84&amp;Mortality!$C84,Map!$W$2:$W$67&amp;Map!$X$2:$X$67,0)),"")</f>
        <v/>
      </c>
      <c r="B84" s="418" t="s">
        <v>15</v>
      </c>
      <c r="C84" s="418" t="s">
        <v>6</v>
      </c>
      <c r="D84" s="455" t="str">
        <f t="array" ref="D84">IFERROR(IF(D$1="","",INDEX('Raw data'!$Z$4:$Z$267,MATCH(Mortality!D$1&amp;$A$1&amp;$A84,'Raw data'!$K$4:$K$267&amp;'Raw data'!$L$2&amp;'Raw data'!$L$4:$L$267,0))),"")</f>
        <v/>
      </c>
      <c r="E84" s="448" t="str">
        <f t="array" ref="E84">IFERROR(IF(E$1="","",INDEX('Raw data'!$Z$4:$Z$267,MATCH(Mortality!E$1&amp;$A$1&amp;$A84,'Raw data'!$K$4:$K$267&amp;'Raw data'!$L$2&amp;'Raw data'!$L$4:$L$267,0))),"")</f>
        <v/>
      </c>
      <c r="F84" s="448" t="str">
        <f t="array" ref="F84">IFERROR(IF(F$1="","",INDEX('Raw data'!$Z$4:$Z$267,MATCH(Mortality!F$1&amp;$A$1&amp;$A84,'Raw data'!$K$4:$K$267&amp;'Raw data'!$L$2&amp;'Raw data'!$L$4:$L$267,0))),"")</f>
        <v/>
      </c>
      <c r="G84" s="451" t="str">
        <f t="array" ref="G84">IFERROR(IF(G$1="","",INDEX('Raw data'!$Z$4:$Z$267,MATCH(Mortality!G$1&amp;$A$1&amp;$A84,'Raw data'!$K$4:$K$267&amp;'Raw data'!$L$2&amp;'Raw data'!$L$4:$L$267,0))),"")</f>
        <v/>
      </c>
      <c r="H84" s="418"/>
      <c r="I84" s="432" t="str">
        <f t="array" ref="I84">IFERROR(INDEX(Map!$V$2:$V$67,MATCH(Mortality!$B84&amp;Mortality!$C84,Map!$W$2:$W$67&amp;Map!$X$2:$X$67,0)),"")</f>
        <v/>
      </c>
      <c r="J84" s="418" t="s">
        <v>15</v>
      </c>
      <c r="K84" s="418" t="s">
        <v>6</v>
      </c>
      <c r="L84" s="455" t="str">
        <f t="array" ref="L84">IFERROR(IF(L$1="","",INDEX('Raw data'!$AB$4:$AB$267,MATCH(Mortality!L$1&amp;$A$1&amp;$A84,'Raw data'!$K$4:$K$267&amp;'Raw data'!$L$2&amp;'Raw data'!$L$4:$L$267,0))),"")</f>
        <v/>
      </c>
      <c r="M84" s="448" t="str">
        <f t="array" ref="M84">IFERROR(IF(M$1="","",INDEX('Raw data'!$AB$4:$AB$267,MATCH(Mortality!M$1&amp;$A$1&amp;$A84,'Raw data'!$K$4:$K$267&amp;'Raw data'!$L$2&amp;'Raw data'!$L$4:$L$267,0))),"")</f>
        <v/>
      </c>
      <c r="N84" s="448" t="str">
        <f t="array" ref="N84">IFERROR(IF(N$1="","",INDEX('Raw data'!$AB$4:$AB$267,MATCH(Mortality!N$1&amp;$A$1&amp;$A84,'Raw data'!$K$4:$K$267&amp;'Raw data'!$L$2&amp;'Raw data'!$L$4:$L$267,0))),"")</f>
        <v/>
      </c>
      <c r="O84" s="451" t="str">
        <f t="array" ref="O84">IFERROR(IF(O$1="","",INDEX('Raw data'!$AB$4:$AB$267,MATCH(Mortality!O$1&amp;$A$1&amp;$A84,'Raw data'!$K$4:$K$267&amp;'Raw data'!$L$2&amp;'Raw data'!$L$4:$L$267,0))),"")</f>
        <v/>
      </c>
    </row>
    <row r="85" spans="1:15" s="417" customFormat="1" hidden="1" x14ac:dyDescent="0.25">
      <c r="A85" s="432" t="str">
        <f t="array" ref="A85">IFERROR(INDEX(Map!$V$2:$V$67,MATCH(Mortality!$B85&amp;Mortality!$C85,Map!$W$2:$W$67&amp;Map!$X$2:$X$67,0)),"")</f>
        <v/>
      </c>
      <c r="B85" s="418" t="s">
        <v>15</v>
      </c>
      <c r="C85" s="418" t="s">
        <v>7</v>
      </c>
      <c r="D85" s="455" t="str">
        <f t="array" ref="D85">IFERROR(IF(D$1="","",INDEX('Raw data'!$Z$4:$Z$267,MATCH(Mortality!D$1&amp;$A$1&amp;$A85,'Raw data'!$K$4:$K$267&amp;'Raw data'!$L$2&amp;'Raw data'!$L$4:$L$267,0))),"")</f>
        <v/>
      </c>
      <c r="E85" s="448" t="str">
        <f t="array" ref="E85">IFERROR(IF(E$1="","",INDEX('Raw data'!$Z$4:$Z$267,MATCH(Mortality!E$1&amp;$A$1&amp;$A85,'Raw data'!$K$4:$K$267&amp;'Raw data'!$L$2&amp;'Raw data'!$L$4:$L$267,0))),"")</f>
        <v/>
      </c>
      <c r="F85" s="448" t="str">
        <f t="array" ref="F85">IFERROR(IF(F$1="","",INDEX('Raw data'!$Z$4:$Z$267,MATCH(Mortality!F$1&amp;$A$1&amp;$A85,'Raw data'!$K$4:$K$267&amp;'Raw data'!$L$2&amp;'Raw data'!$L$4:$L$267,0))),"")</f>
        <v/>
      </c>
      <c r="G85" s="451" t="str">
        <f t="array" ref="G85">IFERROR(IF(G$1="","",INDEX('Raw data'!$Z$4:$Z$267,MATCH(Mortality!G$1&amp;$A$1&amp;$A85,'Raw data'!$K$4:$K$267&amp;'Raw data'!$L$2&amp;'Raw data'!$L$4:$L$267,0))),"")</f>
        <v/>
      </c>
      <c r="H85" s="418"/>
      <c r="I85" s="432" t="str">
        <f t="array" ref="I85">IFERROR(INDEX(Map!$V$2:$V$67,MATCH(Mortality!$B85&amp;Mortality!$C85,Map!$W$2:$W$67&amp;Map!$X$2:$X$67,0)),"")</f>
        <v/>
      </c>
      <c r="J85" s="418" t="s">
        <v>15</v>
      </c>
      <c r="K85" s="418" t="s">
        <v>7</v>
      </c>
      <c r="L85" s="455" t="str">
        <f t="array" ref="L85">IFERROR(IF(L$1="","",INDEX('Raw data'!$AB$4:$AB$267,MATCH(Mortality!L$1&amp;$A$1&amp;$A85,'Raw data'!$K$4:$K$267&amp;'Raw data'!$L$2&amp;'Raw data'!$L$4:$L$267,0))),"")</f>
        <v/>
      </c>
      <c r="M85" s="448" t="str">
        <f t="array" ref="M85">IFERROR(IF(M$1="","",INDEX('Raw data'!$AB$4:$AB$267,MATCH(Mortality!M$1&amp;$A$1&amp;$A85,'Raw data'!$K$4:$K$267&amp;'Raw data'!$L$2&amp;'Raw data'!$L$4:$L$267,0))),"")</f>
        <v/>
      </c>
      <c r="N85" s="448" t="str">
        <f t="array" ref="N85">IFERROR(IF(N$1="","",INDEX('Raw data'!$AB$4:$AB$267,MATCH(Mortality!N$1&amp;$A$1&amp;$A85,'Raw data'!$K$4:$K$267&amp;'Raw data'!$L$2&amp;'Raw data'!$L$4:$L$267,0))),"")</f>
        <v/>
      </c>
      <c r="O85" s="451" t="str">
        <f t="array" ref="O85">IFERROR(IF(O$1="","",INDEX('Raw data'!$AB$4:$AB$267,MATCH(Mortality!O$1&amp;$A$1&amp;$A85,'Raw data'!$K$4:$K$267&amp;'Raw data'!$L$2&amp;'Raw data'!$L$4:$L$267,0))),"")</f>
        <v/>
      </c>
    </row>
    <row r="86" spans="1:15" s="417" customFormat="1" hidden="1" x14ac:dyDescent="0.25">
      <c r="A86" s="432" t="str">
        <f t="array" ref="A86">IFERROR(INDEX(Map!$V$2:$V$67,MATCH(Mortality!$B86&amp;Mortality!$C86,Map!$W$2:$W$67&amp;Map!$X$2:$X$67,0)),"")</f>
        <v/>
      </c>
      <c r="B86" s="418" t="s">
        <v>15</v>
      </c>
      <c r="C86" s="418" t="s">
        <v>8</v>
      </c>
      <c r="D86" s="455" t="str">
        <f t="array" ref="D86">IFERROR(IF(D$1="","",INDEX('Raw data'!$Z$4:$Z$267,MATCH(Mortality!D$1&amp;$A$1&amp;$A86,'Raw data'!$K$4:$K$267&amp;'Raw data'!$L$2&amp;'Raw data'!$L$4:$L$267,0))),"")</f>
        <v/>
      </c>
      <c r="E86" s="448" t="str">
        <f t="array" ref="E86">IFERROR(IF(E$1="","",INDEX('Raw data'!$Z$4:$Z$267,MATCH(Mortality!E$1&amp;$A$1&amp;$A86,'Raw data'!$K$4:$K$267&amp;'Raw data'!$L$2&amp;'Raw data'!$L$4:$L$267,0))),"")</f>
        <v/>
      </c>
      <c r="F86" s="448" t="str">
        <f t="array" ref="F86">IFERROR(IF(F$1="","",INDEX('Raw data'!$Z$4:$Z$267,MATCH(Mortality!F$1&amp;$A$1&amp;$A86,'Raw data'!$K$4:$K$267&amp;'Raw data'!$L$2&amp;'Raw data'!$L$4:$L$267,0))),"")</f>
        <v/>
      </c>
      <c r="G86" s="451" t="str">
        <f t="array" ref="G86">IFERROR(IF(G$1="","",INDEX('Raw data'!$Z$4:$Z$267,MATCH(Mortality!G$1&amp;$A$1&amp;$A86,'Raw data'!$K$4:$K$267&amp;'Raw data'!$L$2&amp;'Raw data'!$L$4:$L$267,0))),"")</f>
        <v/>
      </c>
      <c r="H86" s="418"/>
      <c r="I86" s="432" t="str">
        <f t="array" ref="I86">IFERROR(INDEX(Map!$V$2:$V$67,MATCH(Mortality!$B86&amp;Mortality!$C86,Map!$W$2:$W$67&amp;Map!$X$2:$X$67,0)),"")</f>
        <v/>
      </c>
      <c r="J86" s="418" t="s">
        <v>15</v>
      </c>
      <c r="K86" s="418" t="s">
        <v>8</v>
      </c>
      <c r="L86" s="455" t="str">
        <f t="array" ref="L86">IFERROR(IF(L$1="","",INDEX('Raw data'!$AB$4:$AB$267,MATCH(Mortality!L$1&amp;$A$1&amp;$A86,'Raw data'!$K$4:$K$267&amp;'Raw data'!$L$2&amp;'Raw data'!$L$4:$L$267,0))),"")</f>
        <v/>
      </c>
      <c r="M86" s="448" t="str">
        <f t="array" ref="M86">IFERROR(IF(M$1="","",INDEX('Raw data'!$AB$4:$AB$267,MATCH(Mortality!M$1&amp;$A$1&amp;$A86,'Raw data'!$K$4:$K$267&amp;'Raw data'!$L$2&amp;'Raw data'!$L$4:$L$267,0))),"")</f>
        <v/>
      </c>
      <c r="N86" s="448" t="str">
        <f t="array" ref="N86">IFERROR(IF(N$1="","",INDEX('Raw data'!$AB$4:$AB$267,MATCH(Mortality!N$1&amp;$A$1&amp;$A86,'Raw data'!$K$4:$K$267&amp;'Raw data'!$L$2&amp;'Raw data'!$L$4:$L$267,0))),"")</f>
        <v/>
      </c>
      <c r="O86" s="451" t="str">
        <f t="array" ref="O86">IFERROR(IF(O$1="","",INDEX('Raw data'!$AB$4:$AB$267,MATCH(Mortality!O$1&amp;$A$1&amp;$A86,'Raw data'!$K$4:$K$267&amp;'Raw data'!$L$2&amp;'Raw data'!$L$4:$L$267,0))),"")</f>
        <v/>
      </c>
    </row>
    <row r="87" spans="1:15" s="417" customFormat="1" hidden="1" x14ac:dyDescent="0.25">
      <c r="A87" s="432" t="str">
        <f t="array" ref="A87">IFERROR(INDEX(Map!$V$2:$V$67,MATCH(Mortality!$B87&amp;Mortality!$C87,Map!$W$2:$W$67&amp;Map!$X$2:$X$67,0)),"")</f>
        <v/>
      </c>
      <c r="B87" s="418" t="s">
        <v>15</v>
      </c>
      <c r="C87" s="418" t="s">
        <v>9</v>
      </c>
      <c r="D87" s="455" t="str">
        <f t="array" ref="D87">IFERROR(IF(D$1="","",INDEX('Raw data'!$Z$4:$Z$267,MATCH(Mortality!D$1&amp;$A$1&amp;$A87,'Raw data'!$K$4:$K$267&amp;'Raw data'!$L$2&amp;'Raw data'!$L$4:$L$267,0))),"")</f>
        <v/>
      </c>
      <c r="E87" s="448" t="str">
        <f t="array" ref="E87">IFERROR(IF(E$1="","",INDEX('Raw data'!$Z$4:$Z$267,MATCH(Mortality!E$1&amp;$A$1&amp;$A87,'Raw data'!$K$4:$K$267&amp;'Raw data'!$L$2&amp;'Raw data'!$L$4:$L$267,0))),"")</f>
        <v/>
      </c>
      <c r="F87" s="448" t="str">
        <f t="array" ref="F87">IFERROR(IF(F$1="","",INDEX('Raw data'!$Z$4:$Z$267,MATCH(Mortality!F$1&amp;$A$1&amp;$A87,'Raw data'!$K$4:$K$267&amp;'Raw data'!$L$2&amp;'Raw data'!$L$4:$L$267,0))),"")</f>
        <v/>
      </c>
      <c r="G87" s="451" t="str">
        <f t="array" ref="G87">IFERROR(IF(G$1="","",INDEX('Raw data'!$Z$4:$Z$267,MATCH(Mortality!G$1&amp;$A$1&amp;$A87,'Raw data'!$K$4:$K$267&amp;'Raw data'!$L$2&amp;'Raw data'!$L$4:$L$267,0))),"")</f>
        <v/>
      </c>
      <c r="H87" s="418"/>
      <c r="I87" s="432" t="str">
        <f t="array" ref="I87">IFERROR(INDEX(Map!$V$2:$V$67,MATCH(Mortality!$B87&amp;Mortality!$C87,Map!$W$2:$W$67&amp;Map!$X$2:$X$67,0)),"")</f>
        <v/>
      </c>
      <c r="J87" s="418" t="s">
        <v>15</v>
      </c>
      <c r="K87" s="418" t="s">
        <v>9</v>
      </c>
      <c r="L87" s="455" t="str">
        <f t="array" ref="L87">IFERROR(IF(L$1="","",INDEX('Raw data'!$AB$4:$AB$267,MATCH(Mortality!L$1&amp;$A$1&amp;$A87,'Raw data'!$K$4:$K$267&amp;'Raw data'!$L$2&amp;'Raw data'!$L$4:$L$267,0))),"")</f>
        <v/>
      </c>
      <c r="M87" s="448" t="str">
        <f t="array" ref="M87">IFERROR(IF(M$1="","",INDEX('Raw data'!$AB$4:$AB$267,MATCH(Mortality!M$1&amp;$A$1&amp;$A87,'Raw data'!$K$4:$K$267&amp;'Raw data'!$L$2&amp;'Raw data'!$L$4:$L$267,0))),"")</f>
        <v/>
      </c>
      <c r="N87" s="448" t="str">
        <f t="array" ref="N87">IFERROR(IF(N$1="","",INDEX('Raw data'!$AB$4:$AB$267,MATCH(Mortality!N$1&amp;$A$1&amp;$A87,'Raw data'!$K$4:$K$267&amp;'Raw data'!$L$2&amp;'Raw data'!$L$4:$L$267,0))),"")</f>
        <v/>
      </c>
      <c r="O87" s="451" t="str">
        <f t="array" ref="O87">IFERROR(IF(O$1="","",INDEX('Raw data'!$AB$4:$AB$267,MATCH(Mortality!O$1&amp;$A$1&amp;$A87,'Raw data'!$K$4:$K$267&amp;'Raw data'!$L$2&amp;'Raw data'!$L$4:$L$267,0))),"")</f>
        <v/>
      </c>
    </row>
    <row r="88" spans="1:15" s="417" customFormat="1" hidden="1" x14ac:dyDescent="0.25">
      <c r="A88" s="432" t="str">
        <f t="array" ref="A88">IFERROR(INDEX(Map!$V$2:$V$67,MATCH(Mortality!$B88&amp;Mortality!$C88,Map!$W$2:$W$67&amp;Map!$X$2:$X$67,0)),"")</f>
        <v/>
      </c>
      <c r="B88" s="418" t="s">
        <v>15</v>
      </c>
      <c r="C88" s="418" t="s">
        <v>22</v>
      </c>
      <c r="D88" s="455" t="str">
        <f t="array" ref="D88">IFERROR(IF(D$1="","",INDEX('Raw data'!$Z$4:$Z$267,MATCH(Mortality!D$1&amp;$A$1&amp;$A88,'Raw data'!$K$4:$K$267&amp;'Raw data'!$L$2&amp;'Raw data'!$L$4:$L$267,0))),"")</f>
        <v/>
      </c>
      <c r="E88" s="448" t="str">
        <f t="array" ref="E88">IFERROR(IF(E$1="","",INDEX('Raw data'!$Z$4:$Z$267,MATCH(Mortality!E$1&amp;$A$1&amp;$A88,'Raw data'!$K$4:$K$267&amp;'Raw data'!$L$2&amp;'Raw data'!$L$4:$L$267,0))),"")</f>
        <v/>
      </c>
      <c r="F88" s="448" t="str">
        <f t="array" ref="F88">IFERROR(IF(F$1="","",INDEX('Raw data'!$Z$4:$Z$267,MATCH(Mortality!F$1&amp;$A$1&amp;$A88,'Raw data'!$K$4:$K$267&amp;'Raw data'!$L$2&amp;'Raw data'!$L$4:$L$267,0))),"")</f>
        <v/>
      </c>
      <c r="G88" s="451" t="str">
        <f t="array" ref="G88">IFERROR(IF(G$1="","",INDEX('Raw data'!$Z$4:$Z$267,MATCH(Mortality!G$1&amp;$A$1&amp;$A88,'Raw data'!$K$4:$K$267&amp;'Raw data'!$L$2&amp;'Raw data'!$L$4:$L$267,0))),"")</f>
        <v/>
      </c>
      <c r="H88" s="418"/>
      <c r="I88" s="432" t="str">
        <f t="array" ref="I88">IFERROR(INDEX(Map!$V$2:$V$67,MATCH(Mortality!$B88&amp;Mortality!$C88,Map!$W$2:$W$67&amp;Map!$X$2:$X$67,0)),"")</f>
        <v/>
      </c>
      <c r="J88" s="418" t="s">
        <v>15</v>
      </c>
      <c r="K88" s="418" t="s">
        <v>22</v>
      </c>
      <c r="L88" s="455" t="str">
        <f t="array" ref="L88">IFERROR(IF(L$1="","",INDEX('Raw data'!$AB$4:$AB$267,MATCH(Mortality!L$1&amp;$A$1&amp;$A88,'Raw data'!$K$4:$K$267&amp;'Raw data'!$L$2&amp;'Raw data'!$L$4:$L$267,0))),"")</f>
        <v/>
      </c>
      <c r="M88" s="448" t="str">
        <f t="array" ref="M88">IFERROR(IF(M$1="","",INDEX('Raw data'!$AB$4:$AB$267,MATCH(Mortality!M$1&amp;$A$1&amp;$A88,'Raw data'!$K$4:$K$267&amp;'Raw data'!$L$2&amp;'Raw data'!$L$4:$L$267,0))),"")</f>
        <v/>
      </c>
      <c r="N88" s="448" t="str">
        <f t="array" ref="N88">IFERROR(IF(N$1="","",INDEX('Raw data'!$AB$4:$AB$267,MATCH(Mortality!N$1&amp;$A$1&amp;$A88,'Raw data'!$K$4:$K$267&amp;'Raw data'!$L$2&amp;'Raw data'!$L$4:$L$267,0))),"")</f>
        <v/>
      </c>
      <c r="O88" s="451" t="str">
        <f t="array" ref="O88">IFERROR(IF(O$1="","",INDEX('Raw data'!$AB$4:$AB$267,MATCH(Mortality!O$1&amp;$A$1&amp;$A88,'Raw data'!$K$4:$K$267&amp;'Raw data'!$L$2&amp;'Raw data'!$L$4:$L$267,0))),"")</f>
        <v/>
      </c>
    </row>
    <row r="89" spans="1:15" s="417" customFormat="1" hidden="1" x14ac:dyDescent="0.25">
      <c r="A89" s="432" t="str">
        <f t="array" ref="A89">IFERROR(INDEX(Map!$V$2:$V$67,MATCH(Mortality!$B89&amp;Mortality!$C89,Map!$W$2:$W$67&amp;Map!$X$2:$X$67,0)),"")</f>
        <v/>
      </c>
      <c r="B89" s="418" t="str">
        <f>B80</f>
        <v>T7</v>
      </c>
      <c r="C89" s="418" t="s">
        <v>101</v>
      </c>
      <c r="D89" s="455" t="str">
        <f t="array" ref="D89">IFERROR(IF(D$1="","",INDEX('Raw data'!$Z$4:$Z$267,MATCH(Mortality!D$1&amp;$A$1&amp;$A89,'Raw data'!$K$4:$K$267&amp;'Raw data'!$L$2&amp;'Raw data'!$L$4:$L$267,0))),"")</f>
        <v/>
      </c>
      <c r="E89" s="448" t="str">
        <f t="array" ref="E89">IFERROR(IF(E$1="","",INDEX('Raw data'!$Z$4:$Z$267,MATCH(Mortality!E$1&amp;$A$1&amp;$A89,'Raw data'!$K$4:$K$267&amp;'Raw data'!$L$2&amp;'Raw data'!$L$4:$L$267,0))),"")</f>
        <v/>
      </c>
      <c r="F89" s="448" t="str">
        <f t="array" ref="F89">IFERROR(IF(F$1="","",INDEX('Raw data'!$Z$4:$Z$267,MATCH(Mortality!F$1&amp;$A$1&amp;$A89,'Raw data'!$K$4:$K$267&amp;'Raw data'!$L$2&amp;'Raw data'!$L$4:$L$267,0))),"")</f>
        <v/>
      </c>
      <c r="G89" s="451" t="str">
        <f t="array" ref="G89">IFERROR(IF(G$1="","",INDEX('Raw data'!$Z$4:$Z$267,MATCH(Mortality!G$1&amp;$A$1&amp;$A89,'Raw data'!$K$4:$K$267&amp;'Raw data'!$L$2&amp;'Raw data'!$L$4:$L$267,0))),"")</f>
        <v/>
      </c>
      <c r="H89" s="418"/>
      <c r="I89" s="432" t="str">
        <f t="array" ref="I89">IFERROR(INDEX(Map!$V$2:$V$67,MATCH(Mortality!$B89&amp;Mortality!$C89,Map!$W$2:$W$67&amp;Map!$X$2:$X$67,0)),"")</f>
        <v/>
      </c>
      <c r="J89" s="418" t="str">
        <f>J80</f>
        <v>T7</v>
      </c>
      <c r="K89" s="418" t="s">
        <v>101</v>
      </c>
      <c r="L89" s="455" t="str">
        <f t="array" ref="L89">IFERROR(IF(L$1="","",INDEX('Raw data'!$AB$4:$AB$267,MATCH(Mortality!L$1&amp;$A$1&amp;$A89,'Raw data'!$K$4:$K$267&amp;'Raw data'!$L$2&amp;'Raw data'!$L$4:$L$267,0))),"")</f>
        <v/>
      </c>
      <c r="M89" s="448" t="str">
        <f t="array" ref="M89">IFERROR(IF(M$1="","",INDEX('Raw data'!$AB$4:$AB$267,MATCH(Mortality!M$1&amp;$A$1&amp;$A89,'Raw data'!$K$4:$K$267&amp;'Raw data'!$L$2&amp;'Raw data'!$L$4:$L$267,0))),"")</f>
        <v/>
      </c>
      <c r="N89" s="448" t="str">
        <f t="array" ref="N89">IFERROR(IF(N$1="","",INDEX('Raw data'!$AB$4:$AB$267,MATCH(Mortality!N$1&amp;$A$1&amp;$A89,'Raw data'!$K$4:$K$267&amp;'Raw data'!$L$2&amp;'Raw data'!$L$4:$L$267,0))),"")</f>
        <v/>
      </c>
      <c r="O89" s="451" t="str">
        <f t="array" ref="O89">IFERROR(IF(O$1="","",INDEX('Raw data'!$AB$4:$AB$267,MATCH(Mortality!O$1&amp;$A$1&amp;$A89,'Raw data'!$K$4:$K$267&amp;'Raw data'!$L$2&amp;'Raw data'!$L$4:$L$267,0))),"")</f>
        <v/>
      </c>
    </row>
    <row r="90" spans="1:15" s="417" customFormat="1" hidden="1" x14ac:dyDescent="0.25">
      <c r="A90" s="446" t="str">
        <f t="array" ref="A90">IFERROR(INDEX(Map!$V$2:$V$67,MATCH(Mortality!$B90&amp;Mortality!$C90,Map!$W$2:$W$67&amp;Map!$X$2:$X$67,0)),"")</f>
        <v/>
      </c>
      <c r="B90" s="418" t="str">
        <f>B80</f>
        <v>T7</v>
      </c>
      <c r="C90" s="418" t="s">
        <v>102</v>
      </c>
      <c r="D90" s="456" t="str">
        <f t="array" ref="D90">IFERROR(IF(D$1="","",INDEX('Raw data'!$Z$4:$Z$267,MATCH(Mortality!D$1&amp;$A$1&amp;$A90,'Raw data'!$K$4:$K$267&amp;'Raw data'!$L$2&amp;'Raw data'!$L$4:$L$267,0))),"")</f>
        <v/>
      </c>
      <c r="E90" s="449" t="str">
        <f t="array" ref="E90">IFERROR(IF(E$1="","",INDEX('Raw data'!$Z$4:$Z$267,MATCH(Mortality!E$1&amp;$A$1&amp;$A90,'Raw data'!$K$4:$K$267&amp;'Raw data'!$L$2&amp;'Raw data'!$L$4:$L$267,0))),"")</f>
        <v/>
      </c>
      <c r="F90" s="449" t="str">
        <f t="array" ref="F90">IFERROR(IF(F$1="","",INDEX('Raw data'!$Z$4:$Z$267,MATCH(Mortality!F$1&amp;$A$1&amp;$A90,'Raw data'!$K$4:$K$267&amp;'Raw data'!$L$2&amp;'Raw data'!$L$4:$L$267,0))),"")</f>
        <v/>
      </c>
      <c r="G90" s="452" t="str">
        <f t="array" ref="G90">IFERROR(IF(G$1="","",INDEX('Raw data'!$Z$4:$Z$267,MATCH(Mortality!G$1&amp;$A$1&amp;$A90,'Raw data'!$K$4:$K$267&amp;'Raw data'!$L$2&amp;'Raw data'!$L$4:$L$267,0))),"")</f>
        <v/>
      </c>
      <c r="H90" s="418"/>
      <c r="I90" s="446" t="str">
        <f t="array" ref="I90">IFERROR(INDEX(Map!$V$2:$V$67,MATCH(Mortality!$B90&amp;Mortality!$C90,Map!$W$2:$W$67&amp;Map!$X$2:$X$67,0)),"")</f>
        <v/>
      </c>
      <c r="J90" s="418" t="str">
        <f>J80</f>
        <v>T7</v>
      </c>
      <c r="K90" s="418" t="s">
        <v>102</v>
      </c>
      <c r="L90" s="456" t="str">
        <f t="array" ref="L90">IFERROR(IF(L$1="","",INDEX('Raw data'!$AB$4:$AB$267,MATCH(Mortality!L$1&amp;$A$1&amp;$A90,'Raw data'!$K$4:$K$267&amp;'Raw data'!$L$2&amp;'Raw data'!$L$4:$L$267,0))),"")</f>
        <v/>
      </c>
      <c r="M90" s="449" t="str">
        <f t="array" ref="M90">IFERROR(IF(M$1="","",INDEX('Raw data'!$AB$4:$AB$267,MATCH(Mortality!M$1&amp;$A$1&amp;$A90,'Raw data'!$K$4:$K$267&amp;'Raw data'!$L$2&amp;'Raw data'!$L$4:$L$267,0))),"")</f>
        <v/>
      </c>
      <c r="N90" s="449" t="str">
        <f t="array" ref="N90">IFERROR(IF(N$1="","",INDEX('Raw data'!$AB$4:$AB$267,MATCH(Mortality!N$1&amp;$A$1&amp;$A90,'Raw data'!$K$4:$K$267&amp;'Raw data'!$L$2&amp;'Raw data'!$L$4:$L$267,0))),"")</f>
        <v/>
      </c>
      <c r="O90" s="452" t="str">
        <f t="array" ref="O90">IFERROR(IF(O$1="","",INDEX('Raw data'!$AB$4:$AB$267,MATCH(Mortality!O$1&amp;$A$1&amp;$A90,'Raw data'!$K$4:$K$267&amp;'Raw data'!$L$2&amp;'Raw data'!$L$4:$L$267,0))),"")</f>
        <v/>
      </c>
    </row>
    <row r="91" spans="1:15" s="417" customFormat="1" hidden="1" x14ac:dyDescent="0.25">
      <c r="A91" s="432"/>
      <c r="B91" s="565" t="s">
        <v>1</v>
      </c>
      <c r="C91" s="566"/>
      <c r="D91" s="457">
        <f>IF(D$1="","",(SUM(D80:D88)))</f>
        <v>0</v>
      </c>
      <c r="E91" s="458">
        <f t="shared" ref="E91" si="0">IF(E$1="","",(SUM(E80:E88)))</f>
        <v>0</v>
      </c>
      <c r="F91" s="458">
        <f t="shared" ref="F91" si="1">IF(F$1="","",(SUM(F80:F88)))</f>
        <v>0</v>
      </c>
      <c r="G91" s="459">
        <f t="shared" ref="G91" si="2">IF(G$1="","",(SUM(G80:G88)))</f>
        <v>0</v>
      </c>
      <c r="H91" s="418"/>
      <c r="I91" s="432"/>
      <c r="J91" s="565" t="s">
        <v>1</v>
      </c>
      <c r="K91" s="566"/>
      <c r="L91" s="457">
        <f>IF(L$1="","",(SUM(L80:L88)))</f>
        <v>0</v>
      </c>
      <c r="M91" s="458">
        <f t="shared" ref="M91" si="3">IF(M$1="","",(SUM(M80:M88)))</f>
        <v>0</v>
      </c>
      <c r="N91" s="458">
        <f t="shared" ref="N91" si="4">IF(N$1="","",(SUM(N80:N88)))</f>
        <v>0</v>
      </c>
      <c r="O91" s="459">
        <f t="shared" ref="O91" si="5">IF(O$1="","",(SUM(O80:O88)))</f>
        <v>0</v>
      </c>
    </row>
    <row r="92" spans="1:15" s="417" customFormat="1" ht="15.75" hidden="1" thickBot="1" x14ac:dyDescent="0.3">
      <c r="A92" s="433"/>
      <c r="B92" s="567" t="s">
        <v>95</v>
      </c>
      <c r="C92" s="569"/>
      <c r="D92" s="453" t="str">
        <f>IF(D$1="","",Summary!B56)</f>
        <v/>
      </c>
      <c r="E92" s="438" t="str">
        <f>IF(E$1="","",Summary!C56)</f>
        <v/>
      </c>
      <c r="F92" s="438" t="str">
        <f>IF(F$1="","",Summary!D56)</f>
        <v/>
      </c>
      <c r="G92" s="445" t="str">
        <f>IF(G$1="","",Summary!E56)</f>
        <v/>
      </c>
      <c r="H92" s="418"/>
      <c r="I92" s="433"/>
      <c r="J92" s="567" t="s">
        <v>96</v>
      </c>
      <c r="K92" s="569"/>
      <c r="L92" s="453" t="str">
        <f>IF(L$1="","",Summary!I56)</f>
        <v/>
      </c>
      <c r="M92" s="438" t="str">
        <f>IF(M$1="","",Summary!J56)</f>
        <v/>
      </c>
      <c r="N92" s="438" t="str">
        <f>IF(N$1="","",Summary!K56)</f>
        <v/>
      </c>
      <c r="O92" s="445" t="str">
        <f>IF(O$1="","",Summary!L56)</f>
        <v/>
      </c>
    </row>
    <row r="93" spans="1:15" x14ac:dyDescent="0.25">
      <c r="A93" s="24"/>
      <c r="I93" s="24"/>
    </row>
  </sheetData>
  <mergeCells count="28">
    <mergeCell ref="B79:C79"/>
    <mergeCell ref="B13:C13"/>
    <mergeCell ref="B14:C14"/>
    <mergeCell ref="B26:C26"/>
    <mergeCell ref="B27:C27"/>
    <mergeCell ref="B39:C39"/>
    <mergeCell ref="B40:C40"/>
    <mergeCell ref="J92:K92"/>
    <mergeCell ref="B91:C91"/>
    <mergeCell ref="B92:C92"/>
    <mergeCell ref="J13:K13"/>
    <mergeCell ref="J14:K14"/>
    <mergeCell ref="J26:K26"/>
    <mergeCell ref="J27:K27"/>
    <mergeCell ref="J39:K39"/>
    <mergeCell ref="J40:K40"/>
    <mergeCell ref="J52:K52"/>
    <mergeCell ref="J53:K53"/>
    <mergeCell ref="B52:C52"/>
    <mergeCell ref="B53:C53"/>
    <mergeCell ref="B65:C65"/>
    <mergeCell ref="B66:C66"/>
    <mergeCell ref="B78:C78"/>
    <mergeCell ref="J65:K65"/>
    <mergeCell ref="J66:K66"/>
    <mergeCell ref="J78:K78"/>
    <mergeCell ref="J79:K79"/>
    <mergeCell ref="J91:K91"/>
  </mergeCells>
  <pageMargins left="0.511811024" right="0.511811024" top="0.78740157499999996" bottom="0.78740157499999996" header="0.31496062000000002" footer="0.31496062000000002"/>
  <pageSetup paperSize="9"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15</vt:i4>
      </vt:variant>
    </vt:vector>
  </HeadingPairs>
  <TitlesOfParts>
    <vt:vector size="15" baseType="lpstr">
      <vt:lpstr>Map</vt:lpstr>
      <vt:lpstr>1 day</vt:lpstr>
      <vt:lpstr>14 days</vt:lpstr>
      <vt:lpstr>23 days</vt:lpstr>
      <vt:lpstr>32 days</vt:lpstr>
      <vt:lpstr>39 days</vt:lpstr>
      <vt:lpstr>Raw data</vt:lpstr>
      <vt:lpstr>Wide data</vt:lpstr>
      <vt:lpstr>Chi square</vt:lpstr>
      <vt:lpstr>Summary</vt:lpstr>
      <vt:lpstr>Body weight</vt:lpstr>
      <vt:lpstr>Body weight gain</vt:lpstr>
      <vt:lpstr>Feed intake</vt:lpstr>
      <vt:lpstr>Feed conversion ratio</vt:lpstr>
      <vt:lpstr>Mortality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Angelo</dc:creator>
  <cp:lastModifiedBy>Augusto</cp:lastModifiedBy>
  <cp:lastPrinted>2017-05-05T12:05:44Z</cp:lastPrinted>
  <dcterms:created xsi:type="dcterms:W3CDTF">2014-04-01T12:28:49Z</dcterms:created>
  <dcterms:modified xsi:type="dcterms:W3CDTF">2019-05-06T18:25:44Z</dcterms:modified>
</cp:coreProperties>
</file>